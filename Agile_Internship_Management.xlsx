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Config" sheetId="3" state="visible" r:id="rId5"/>
    <sheet name="Lists" sheetId="4" state="visible" r:id="rId6"/>
    <sheet name="Students" sheetId="5" state="visible" r:id="rId7"/>
    <sheet name="Weekly Check-in" sheetId="6" state="visible" r:id="rId8"/>
    <sheet name="Backlog" sheetId="7" state="visible" r:id="rId9"/>
    <sheet name="Sprint Reviews" sheetId="8" state="visible" r:id="rId10"/>
    <sheet name="Track Guide" sheetId="9" state="visible" r:id="rId11"/>
    <sheet name="Milestone Schedule" sheetId="10" state="visible" r:id="rId12"/>
  </sheets>
  <definedNames>
    <definedName function="false" hidden="true" localSheetId="6" name="_xlnm._FilterDatabase" vbProcedure="false">Backlog!$A$3:$M$1503</definedName>
    <definedName function="false" hidden="true" localSheetId="1" name="_xlnm._FilterDatabase" vbProcedure="false">Dashboard!$A$10:$M$60</definedName>
    <definedName function="false" hidden="true" localSheetId="7" name="_xlnm._FilterDatabase" vbProcedure="false">'Sprint Reviews'!$A$3:$P$803</definedName>
    <definedName function="false" hidden="true" localSheetId="4" name="_xlnm._FilterDatabase" vbProcedure="false">Students!$A$3:$T$203</definedName>
    <definedName function="false" hidden="true" localSheetId="5" name="_xlnm._FilterDatabase" vbProcedure="false">'Weekly Check-in'!$A$3:$L$1003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<sst xmlns="http://schemas.openxmlformats.org/spreadsheetml/2006/main" count="336" uniqueCount="245">
  <si>
    <t xml:space="preserve">AGILE INTERNSHIP MANAGEMENT — ROLLING 10-WEEK MODEL</t>
  </si>
  <si>
    <t xml:space="preserve">Mục đích</t>
  </si>
  <si>
    <t xml:space="preserve">Quản lý nhóm sinh viên thực tập bắt đầu không đồng thời; mỗi sinh viên làm một project riêng thuộc Software Development, Data Analytics, AI/ML Research hoặc Software Testing.</t>
  </si>
  <si>
    <t xml:space="preserve">Cách dùng nhanh</t>
  </si>
  <si>
    <t xml:space="preserve">1) Nhập sinh viên ở sheet Students. 2) Chỉ cần nhập Start Date; các mốc 10 tuần tự tính. 3) Cập nhật Weekly Check-in. 4) Ghi Sprint Review khi đến mốc. 5) Theo dõi Dashboard để ưu tiên các trường hợp At Risk / Off Track.</t>
  </si>
  <si>
    <t xml:space="preserve">Quy ước màu chữ</t>
  </si>
  <si>
    <t xml:space="preserve">Xanh dương = người dùng nhập; đen = công thức; xám = giá trị tĩnh / hướng dẫn.</t>
  </si>
  <si>
    <t xml:space="preserve">Risk</t>
  </si>
  <si>
    <t xml:space="preserve">GREEN = On Track; YELLOW = cần chú ý; RED = chậm/blocked. Có thể nhập Manual Risk trong Students; nếu để trống, file dùng Auto Risk dựa trên milestone, blocker và số ngày từ lần cập nhật gần nhất.</t>
  </si>
  <si>
    <t xml:space="preserve">Timeline</t>
  </si>
  <si>
    <t xml:space="preserve">Week 1: Onboarding; Weeks 2–3: Sprint 1; Weeks 4–5: Sprint 2; Weeks 6–7: Sprint 3; Weeks 8–9: Sprint 4; Week 10: Final Review.</t>
  </si>
  <si>
    <t xml:space="preserve">Google Sheets</t>
  </si>
  <si>
    <t xml:space="preserve">File sử dụng các hàm phổ biến (IF, TODAY, COUNTIF, INDEX/MATCH, MAXIFS...) để dễ import lên Google Sheets. Một số chart/format có thể hiển thị hơi khác sau khi import.</t>
  </si>
  <si>
    <t xml:space="preserve">Lưu ý Agile</t>
  </si>
  <si>
    <t xml:space="preserve">Không dùng % complete làm chỉ số chính. Ưu tiên Sprint Goal → Increment/Evidence → Blocker → Risk → Next Milestone.</t>
  </si>
  <si>
    <t xml:space="preserve">AGILE INTERNSHIP DASHBOARD</t>
  </si>
  <si>
    <t xml:space="preserve">As of</t>
  </si>
  <si>
    <t xml:space="preserve">Active Students</t>
  </si>
  <si>
    <t xml:space="preserve">GREEN</t>
  </si>
  <si>
    <t xml:space="preserve">YELLOW</t>
  </si>
  <si>
    <t xml:space="preserve">RED</t>
  </si>
  <si>
    <t xml:space="preserve">Student ID</t>
  </si>
  <si>
    <t xml:space="preserve">Student Name</t>
  </si>
  <si>
    <t xml:space="preserve">Track</t>
  </si>
  <si>
    <t xml:space="preserve">Week</t>
  </si>
  <si>
    <t xml:space="preserve">Stage</t>
  </si>
  <si>
    <t xml:space="preserve">Next Milestone</t>
  </si>
  <si>
    <t xml:space="preserve">Due Date</t>
  </si>
  <si>
    <t xml:space="preserve">Days Left</t>
  </si>
  <si>
    <t xml:space="preserve">Blockers</t>
  </si>
  <si>
    <t xml:space="preserve">Last Check-in</t>
  </si>
  <si>
    <t xml:space="preserve">Status</t>
  </si>
  <si>
    <t xml:space="preserve">Project</t>
  </si>
  <si>
    <t xml:space="preserve">Software Development</t>
  </si>
  <si>
    <t xml:space="preserve">Data Analytics</t>
  </si>
  <si>
    <t xml:space="preserve">AI/ML Research</t>
  </si>
  <si>
    <t xml:space="preserve">Software Testing</t>
  </si>
  <si>
    <t xml:space="preserve">CONFIGURATION</t>
  </si>
  <si>
    <t xml:space="preserve">Parameter</t>
  </si>
  <si>
    <t xml:space="preserve">Value</t>
  </si>
  <si>
    <t xml:space="preserve">Description</t>
  </si>
  <si>
    <t xml:space="preserve">Internship Duration (weeks)</t>
  </si>
  <si>
    <t xml:space="preserve">Tổng số tuần thực tập</t>
  </si>
  <si>
    <t xml:space="preserve">Sprint Length (weeks)</t>
  </si>
  <si>
    <t xml:space="preserve">Độ dài mỗi Sprint</t>
  </si>
  <si>
    <t xml:space="preserve">Inactive Warning (days)</t>
  </si>
  <si>
    <t xml:space="preserve">Không có cập nhật quá số ngày này → Yellow</t>
  </si>
  <si>
    <t xml:space="preserve">Inactive Critical (days)</t>
  </si>
  <si>
    <t xml:space="preserve">Không có cập nhật quá số ngày này → Red</t>
  </si>
  <si>
    <t xml:space="preserve">Milestone Warning (days)</t>
  </si>
  <si>
    <t xml:space="preserve">Còn &lt;= số ngày này đến milestone và có blocker → Yellow</t>
  </si>
  <si>
    <t xml:space="preserve">REFERENCE LISTS</t>
  </si>
  <si>
    <t xml:space="preserve">Student Status</t>
  </si>
  <si>
    <t xml:space="preserve">Backlog Status</t>
  </si>
  <si>
    <t xml:space="preserve">Item Type</t>
  </si>
  <si>
    <t xml:space="preserve">Priority</t>
  </si>
  <si>
    <t xml:space="preserve">Sprint</t>
  </si>
  <si>
    <t xml:space="preserve">Review Result</t>
  </si>
  <si>
    <t xml:space="preserve">Active</t>
  </si>
  <si>
    <t xml:space="preserve">Backlog</t>
  </si>
  <si>
    <t xml:space="preserve">Feature</t>
  </si>
  <si>
    <t xml:space="preserve">Must</t>
  </si>
  <si>
    <t xml:space="preserve">Onboarding</t>
  </si>
  <si>
    <t xml:space="preserve">Achieved</t>
  </si>
  <si>
    <t xml:space="preserve">Completed</t>
  </si>
  <si>
    <t xml:space="preserve">Todo</t>
  </si>
  <si>
    <t xml:space="preserve">Research</t>
  </si>
  <si>
    <t xml:space="preserve">Should</t>
  </si>
  <si>
    <t xml:space="preserve">Sprint 1</t>
  </si>
  <si>
    <t xml:space="preserve">Partially Achieved</t>
  </si>
  <si>
    <t xml:space="preserve">On Hold</t>
  </si>
  <si>
    <t xml:space="preserve">In Progress</t>
  </si>
  <si>
    <t xml:space="preserve">Experiment</t>
  </si>
  <si>
    <t xml:space="preserve">Could</t>
  </si>
  <si>
    <t xml:space="preserve">Sprint 2</t>
  </si>
  <si>
    <t xml:space="preserve">Not Achieved</t>
  </si>
  <si>
    <t xml:space="preserve">Withdrawn</t>
  </si>
  <si>
    <t xml:space="preserve">Review</t>
  </si>
  <si>
    <t xml:space="preserve">Analysis</t>
  </si>
  <si>
    <t xml:space="preserve">Sprint 3</t>
  </si>
  <si>
    <t xml:space="preserve">Done</t>
  </si>
  <si>
    <t xml:space="preserve">Test</t>
  </si>
  <si>
    <t xml:space="preserve">Sprint 4</t>
  </si>
  <si>
    <t xml:space="preserve">Blocked</t>
  </si>
  <si>
    <t xml:space="preserve">Documentation</t>
  </si>
  <si>
    <t xml:space="preserve">Final</t>
  </si>
  <si>
    <t xml:space="preserve">Bug</t>
  </si>
  <si>
    <t xml:space="preserve">Spike</t>
  </si>
  <si>
    <t xml:space="preserve">STUDENT INTERNSHIP PORTFOLIO</t>
  </si>
  <si>
    <t xml:space="preserve">Project Title</t>
  </si>
  <si>
    <t xml:space="preserve">Start Date</t>
  </si>
  <si>
    <t xml:space="preserve">End Date</t>
  </si>
  <si>
    <t xml:space="preserve">Current Week</t>
  </si>
  <si>
    <t xml:space="preserve">Current Stage</t>
  </si>
  <si>
    <t xml:space="preserve">Next Milestone Date</t>
  </si>
  <si>
    <t xml:space="preserve">Days to Milestone</t>
  </si>
  <si>
    <t xml:space="preserve">Days Since Update</t>
  </si>
  <si>
    <t xml:space="preserve">Open Blockers</t>
  </si>
  <si>
    <t xml:space="preserve">Auto Risk</t>
  </si>
  <si>
    <t xml:space="preserve">Manual Risk</t>
  </si>
  <si>
    <t xml:space="preserve">Overall Risk</t>
  </si>
  <si>
    <t xml:space="preserve">Supervisor Notes</t>
  </si>
  <si>
    <t xml:space="preserve">Repository / Evidence Link</t>
  </si>
  <si>
    <t xml:space="preserve">SAMPLE01</t>
  </si>
  <si>
    <t xml:space="preserve">Nguyễn Văn A</t>
  </si>
  <si>
    <t xml:space="preserve">Web-based Internship Portal</t>
  </si>
  <si>
    <t xml:space="preserve">SAMPLE – xóa hoặc thay bằng dữ liệu thật</t>
  </si>
  <si>
    <t xml:space="preserve">SAMPLE02</t>
  </si>
  <si>
    <t xml:space="preserve">Trần Thị B</t>
  </si>
  <si>
    <t xml:space="preserve">Network Intrusion Detection using ML</t>
  </si>
  <si>
    <t xml:space="preserve">SAMPLE03</t>
  </si>
  <si>
    <t xml:space="preserve">Lê Văn C</t>
  </si>
  <si>
    <t xml:space="preserve">Electricity Usage Analytics</t>
  </si>
  <si>
    <t xml:space="preserve">SAMPLE04</t>
  </si>
  <si>
    <t xml:space="preserve">Phạm Thị D</t>
  </si>
  <si>
    <t xml:space="preserve">E-commerce Automation Testing</t>
  </si>
  <si>
    <t xml:space="preserve">WEEKLY CHECK-IN — DONE / NEXT / BLOCKER / EVIDENCE</t>
  </si>
  <si>
    <t xml:space="preserve">Check-in Date</t>
  </si>
  <si>
    <t xml:space="preserve">Current Goal</t>
  </si>
  <si>
    <t xml:space="preserve">DONE since last update</t>
  </si>
  <si>
    <t xml:space="preserve">NEXT</t>
  </si>
  <si>
    <t xml:space="preserve">BLOCKER</t>
  </si>
  <si>
    <t xml:space="preserve">EVIDENCE / Link</t>
  </si>
  <si>
    <t xml:space="preserve">Risk Self-Assessment</t>
  </si>
  <si>
    <t xml:space="preserve">Mentor Action</t>
  </si>
  <si>
    <t xml:space="preserve">Notes</t>
  </si>
  <si>
    <t xml:space="preserve">Implement authentication</t>
  </si>
  <si>
    <t xml:space="preserve">Database schema + login API</t>
  </si>
  <si>
    <t xml:space="preserve">Complete dashboard core flow</t>
  </si>
  <si>
    <t xml:space="preserve">https://github.com/example/sample01</t>
  </si>
  <si>
    <t xml:space="preserve">Review API security</t>
  </si>
  <si>
    <t xml:space="preserve">Establish baseline</t>
  </si>
  <si>
    <t xml:space="preserve">Prepared dataset and RF baseline</t>
  </si>
  <si>
    <t xml:space="preserve">Evaluate XGBoost</t>
  </si>
  <si>
    <t xml:space="preserve">Class imbalance</t>
  </si>
  <si>
    <t xml:space="preserve">experiment-log/sample02</t>
  </si>
  <si>
    <t xml:space="preserve">Review sampling strategy</t>
  </si>
  <si>
    <t xml:space="preserve">UNIFIED PRODUCT / RESEARCH BACKLOG</t>
  </si>
  <si>
    <t xml:space="preserve">Item ID</t>
  </si>
  <si>
    <t xml:space="preserve">Sprint/Stage</t>
  </si>
  <si>
    <t xml:space="preserve">Title</t>
  </si>
  <si>
    <t xml:space="preserve">Acceptance Criteria</t>
  </si>
  <si>
    <t xml:space="preserve">Estimate</t>
  </si>
  <si>
    <t xml:space="preserve">Evidence Link</t>
  </si>
  <si>
    <t xml:space="preserve">Last Updated</t>
  </si>
  <si>
    <t xml:space="preserve">SPRINT REVIEW &amp; RETROSPECTIVE LOG</t>
  </si>
  <si>
    <t xml:space="preserve">Review Date</t>
  </si>
  <si>
    <t xml:space="preserve">Sprint Goal</t>
  </si>
  <si>
    <t xml:space="preserve">Goal Result</t>
  </si>
  <si>
    <t xml:space="preserve">Increment / Deliverable</t>
  </si>
  <si>
    <t xml:space="preserve">Technical Findings</t>
  </si>
  <si>
    <t xml:space="preserve">KEEP</t>
  </si>
  <si>
    <t xml:space="preserve">PROBLEM</t>
  </si>
  <si>
    <t xml:space="preserve">TRY</t>
  </si>
  <si>
    <t xml:space="preserve">Backlog Changes</t>
  </si>
  <si>
    <t xml:space="preserve">Mentor Feedback</t>
  </si>
  <si>
    <t xml:space="preserve">Score (0-10)</t>
  </si>
  <si>
    <t xml:space="preserve">Next Review Date</t>
  </si>
  <si>
    <t xml:space="preserve">TRACK-SPECIFIC SPRINT OUTCOMES &amp; DEFINITION OF DONE</t>
  </si>
  <si>
    <t xml:space="preserve">Primary Focus</t>
  </si>
  <si>
    <t xml:space="preserve">Expected Increment</t>
  </si>
  <si>
    <t xml:space="preserve">Definition of Done / Evidence</t>
  </si>
  <si>
    <t xml:space="preserve">Typical Backlog Types</t>
  </si>
  <si>
    <t xml:space="preserve">Suggested Metrics</t>
  </si>
  <si>
    <t xml:space="preserve">Requirements + Architecture + Prototype</t>
  </si>
  <si>
    <t xml:space="preserve">Runnable skeleton / MVP</t>
  </si>
  <si>
    <t xml:space="preserve">Code pushed; build/run succeeds; acceptance criteria met; basic tests; demoable</t>
  </si>
  <si>
    <t xml:space="preserve">Feature, Spike, Bug</t>
  </si>
  <si>
    <t xml:space="preserve">Working features, defects, test pass rate</t>
  </si>
  <si>
    <t xml:space="preserve">Core Features</t>
  </si>
  <si>
    <t xml:space="preserve">Core workflow works end-to-end</t>
  </si>
  <si>
    <t xml:space="preserve">Same DoD + integrated core function</t>
  </si>
  <si>
    <t xml:space="preserve">Feature, Bug, Test</t>
  </si>
  <si>
    <t xml:space="preserve">Core scenario completion</t>
  </si>
  <si>
    <t xml:space="preserve">Integration + Quality</t>
  </si>
  <si>
    <t xml:space="preserve">Integrated system</t>
  </si>
  <si>
    <t xml:space="preserve">Integration tests; error handling; no critical known bug</t>
  </si>
  <si>
    <t xml:space="preserve">Feature, Test, Bug</t>
  </si>
  <si>
    <t xml:space="preserve">Defect trend, integration success</t>
  </si>
  <si>
    <t xml:space="preserve">Release + Deployment</t>
  </si>
  <si>
    <t xml:space="preserve">Release candidate</t>
  </si>
  <si>
    <t xml:space="preserve">Deployable; documentation; regression passed</t>
  </si>
  <si>
    <t xml:space="preserve">Test, Documentation, Bug</t>
  </si>
  <si>
    <t xml:space="preserve">Release readiness</t>
  </si>
  <si>
    <t xml:space="preserve">Problem + Data Understanding + EDA</t>
  </si>
  <si>
    <t xml:space="preserve">Dataset, data dictionary, EDA</t>
  </si>
  <si>
    <t xml:space="preserve">Question defined; data documented; EDA reproducible; findings evidenced</t>
  </si>
  <si>
    <t xml:space="preserve">Analysis, Research</t>
  </si>
  <si>
    <t xml:space="preserve">Data completeness, EDA findings</t>
  </si>
  <si>
    <t xml:space="preserve">Data Processing</t>
  </si>
  <si>
    <t xml:space="preserve">Clean data + reproducible pipeline</t>
  </si>
  <si>
    <t xml:space="preserve">Cleaning documented; pipeline reproducible; quality checks</t>
  </si>
  <si>
    <t xml:space="preserve">Analysis, Documentation</t>
  </si>
  <si>
    <t xml:space="preserve">Missingness, data quality</t>
  </si>
  <si>
    <t xml:space="preserve">Validated insights</t>
  </si>
  <si>
    <t xml:space="preserve">Method appropriate; visualization; evidence; limitations</t>
  </si>
  <si>
    <t xml:space="preserve">Statistical/analytical evidence</t>
  </si>
  <si>
    <t xml:space="preserve">Communication</t>
  </si>
  <si>
    <t xml:space="preserve">Dashboard/report + recommendations</t>
  </si>
  <si>
    <t xml:space="preserve">Findings traceable to evidence; report/dashboard usable</t>
  </si>
  <si>
    <t xml:space="preserve">Insight quality, usability</t>
  </si>
  <si>
    <t xml:space="preserve">Literature + Dataset + Baseline</t>
  </si>
  <si>
    <t xml:space="preserve">Reproducible baseline</t>
  </si>
  <si>
    <t xml:space="preserve">Dataset/version logged; baseline code; metrics; experiment log</t>
  </si>
  <si>
    <t xml:space="preserve">Research, Experiment</t>
  </si>
  <si>
    <t xml:space="preserve">Baseline metrics</t>
  </si>
  <si>
    <t xml:space="preserve">Proposed Method</t>
  </si>
  <si>
    <t xml:space="preserve">First experiments</t>
  </si>
  <si>
    <t xml:space="preserve">Hypothesis; configuration; reproducible code; results recorded</t>
  </si>
  <si>
    <t xml:space="preserve">Experiment, Research</t>
  </si>
  <si>
    <t xml:space="preserve">Metric vs baseline</t>
  </si>
  <si>
    <t xml:space="preserve">Comparative Experiments</t>
  </si>
  <si>
    <t xml:space="preserve">Comparison + ablation/validation</t>
  </si>
  <si>
    <t xml:space="preserve">Appropriate metrics; repeated/controlled experiments; interpretation</t>
  </si>
  <si>
    <t xml:space="preserve">F1/AUC/etc., variance</t>
  </si>
  <si>
    <t xml:space="preserve">Validation + Report</t>
  </si>
  <si>
    <t xml:space="preserve">Final results + limitations</t>
  </si>
  <si>
    <t xml:space="preserve">Final experiment set; comparison; negative results documented; reproducibility</t>
  </si>
  <si>
    <t xml:space="preserve">Experiment, Documentation</t>
  </si>
  <si>
    <t xml:space="preserve">Generalization, reproducibility</t>
  </si>
  <si>
    <t xml:space="preserve">System Understanding + Risk</t>
  </si>
  <si>
    <t xml:space="preserve">Test strategy</t>
  </si>
  <si>
    <t xml:space="preserve">Scope, risks, scenarios, environment documented</t>
  </si>
  <si>
    <t xml:space="preserve">Test, Research</t>
  </si>
  <si>
    <t xml:space="preserve">Risk coverage</t>
  </si>
  <si>
    <t xml:space="preserve">Test Design</t>
  </si>
  <si>
    <t xml:space="preserve">Prioritized test cases</t>
  </si>
  <si>
    <t xml:space="preserve">Expected result; traceability; critical flows covered</t>
  </si>
  <si>
    <t xml:space="preserve">Requirement/risk coverage</t>
  </si>
  <si>
    <t xml:space="preserve">Automation</t>
  </si>
  <si>
    <t xml:space="preserve">Automated test suite</t>
  </si>
  <si>
    <t xml:space="preserve">Executable; results recorded; defects linked; code in Git</t>
  </si>
  <si>
    <t xml:space="preserve">Test, Bug</t>
  </si>
  <si>
    <t xml:space="preserve">Automation rate, pass rate</t>
  </si>
  <si>
    <t xml:space="preserve">Regression + Reporting</t>
  </si>
  <si>
    <t xml:space="preserve">Final QA report</t>
  </si>
  <si>
    <t xml:space="preserve">Regression executed; evidence; defect summary; recommendations</t>
  </si>
  <si>
    <t xml:space="preserve">Defect severity, regression pass rate</t>
  </si>
  <si>
    <t xml:space="preserve">MILESTONE SCHEDULE — AUTO-GENERATED FROM START DATE</t>
  </si>
  <si>
    <t xml:space="preserve">Charter Approved</t>
  </si>
  <si>
    <t xml:space="preserve">Sprint 1 Review</t>
  </si>
  <si>
    <t xml:space="preserve">Sprint 2 Review</t>
  </si>
  <si>
    <t xml:space="preserve">Sprint 3 Review</t>
  </si>
  <si>
    <t xml:space="preserve">Sprint 4 Review</t>
  </si>
  <si>
    <t xml:space="preserve">Final Review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</si>
</sst>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sz val="11"/>
      <name val="Aptos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7F7F7"/>
        <bgColor rgb="FFF9F9F9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  <fill>
      <patternFill patternType="solid">
        <fgColor rgb="FFEAF2F8"/>
        <bgColor rgb="FFF7F7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7F7F7"/>
      <rgbColor rgb="FFE7E6E6"/>
      <rgbColor rgb="FFF9F9F9"/>
      <rgbColor rgb="FFCC99FF"/>
      <rgbColor rgb="FFF4CCCC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Students by Track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Dashboard!$A$64:$A$67</c:f>
              <c:strCache>
                <c:ptCount val="4"/>
                <c:pt idx="0">
                  <c:v>Software Development</c:v>
                </c:pt>
                <c:pt idx="1">
                  <c:v>Data Analytics</c:v>
                </c:pt>
                <c:pt idx="2">
                  <c:v>AI/ML Research</c:v>
                </c:pt>
                <c:pt idx="3">
                  <c:v>Software Testing</c:v>
                </c:pt>
              </c:strCache>
            </c:strRef>
          </c:cat>
          <c:val>
            <c:numRef>
              <c:f>Dashboard!$B$64:$B$67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0693365"/>
        <c:axId val="46560356"/>
      </c:barChart>
      <c:catAx>
        <c:axId val="106933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60356"/>
        <c:crosses val="autoZero"/>
        <c:auto val="1"/>
        <c:lblAlgn val="ctr"/>
        <c:lblOffset val="100"/>
        <c:noMultiLvlLbl val="0"/>
      </c:catAx>
      <c:valAx>
        <c:axId val="46560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693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Dashboard!$D$64:$D$66</c:f>
              <c:strCache>
                <c:ptCount val="3"/>
                <c:pt idx="0">
                  <c:v>GREEN</c:v>
                </c:pt>
                <c:pt idx="1">
                  <c:v>YELLOW</c:v>
                </c:pt>
                <c:pt idx="2">
                  <c:v>RED</c:v>
                </c:pt>
              </c:strCache>
            </c:strRef>
          </c:cat>
          <c:val>
            <c:numRef>
              <c:f>Dashboard!$E$64:$E$66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100800</xdr:rowOff>
    </xdr:from>
    <xdr:to>
      <xdr:col>2</xdr:col>
      <xdr:colOff>1061640</xdr:colOff>
      <xdr:row>79</xdr:row>
      <xdr:rowOff>164520</xdr:rowOff>
    </xdr:to>
    <xdr:graphicFrame>
      <xdr:nvGraphicFramePr>
        <xdr:cNvPr id="0" name="Chart 1"/>
        <xdr:cNvGraphicFramePr/>
      </xdr:nvGraphicFramePr>
      <xdr:xfrm>
        <a:off x="0" y="13511880"/>
        <a:ext cx="359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68</xdr:row>
      <xdr:rowOff>100800</xdr:rowOff>
    </xdr:from>
    <xdr:to>
      <xdr:col>10</xdr:col>
      <xdr:colOff>553320</xdr:colOff>
      <xdr:row>79</xdr:row>
      <xdr:rowOff>164520</xdr:rowOff>
    </xdr:to>
    <xdr:graphicFrame>
      <xdr:nvGraphicFramePr>
        <xdr:cNvPr id="1" name="Chart 2"/>
        <xdr:cNvGraphicFramePr/>
      </xdr:nvGraphicFramePr>
      <xdr:xfrm>
        <a:off x="8105760" y="13511880"/>
        <a:ext cx="287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8" min="3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4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4"/>
      <c r="H3" s="4"/>
    </row>
    <row r="4" customFormat="false" ht="4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  <c r="G4" s="4"/>
      <c r="H4" s="4"/>
    </row>
    <row r="5" customFormat="false" ht="34.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  <c r="G5" s="4"/>
      <c r="H5" s="4"/>
    </row>
    <row r="6" customFormat="false" ht="34.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  <c r="G6" s="4"/>
      <c r="H6" s="4"/>
    </row>
    <row r="7" customFormat="false" ht="34.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  <c r="G7" s="4"/>
      <c r="H7" s="4"/>
    </row>
    <row r="8" customFormat="false" ht="34.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  <c r="G8" s="4"/>
      <c r="H8" s="4"/>
    </row>
    <row r="9" customFormat="false" ht="34.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  <c r="G9" s="4"/>
      <c r="H9" s="4"/>
    </row>
  </sheetData>
  <mergeCells count="8">
    <mergeCell ref="A1:H1"/>
    <mergeCell ref="B3:H3"/>
    <mergeCell ref="B4:H4"/>
    <mergeCell ref="B5:H5"/>
    <mergeCell ref="B6:H6"/>
    <mergeCell ref="B7:H7"/>
    <mergeCell ref="B8:H8"/>
    <mergeCell ref="B9:H9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32"/>
  </cols>
  <sheetData>
    <row r="1" customFormat="false" ht="27.75" hidden="false" customHeight="true" outlineLevel="0" collapsed="false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customFormat="false" ht="15" hidden="false" customHeight="true" outlineLevel="0" collapsed="false">
      <c r="A3" s="6" t="s">
        <v>16</v>
      </c>
      <c r="B3" s="7" t="n">
        <f aca="true">TODAY()</f>
        <v>46262</v>
      </c>
    </row>
    <row r="5" customFormat="false" ht="15" hidden="false" customHeight="true" outlineLevel="0" collapsed="false">
      <c r="A5" s="8" t="s">
        <v>17</v>
      </c>
      <c r="B5" s="8"/>
      <c r="D5" s="8" t="s">
        <v>18</v>
      </c>
      <c r="E5" s="8"/>
      <c r="G5" s="8" t="s">
        <v>19</v>
      </c>
      <c r="H5" s="8"/>
      <c r="J5" s="8" t="s">
        <v>20</v>
      </c>
      <c r="K5" s="8"/>
    </row>
    <row r="6" customFormat="false" ht="21.75" hidden="false" customHeight="true" outlineLevel="0" collapsed="false">
      <c r="A6" s="9" t="n">
        <f aca="false">COUNTIF(Students!$R$4:$R$203,"Active")</f>
        <v>4</v>
      </c>
      <c r="B6" s="9"/>
      <c r="D6" s="9" t="n">
        <f aca="false">COUNTIF(Students!$Q$4:$Q$203,"GREEN")</f>
        <v>4</v>
      </c>
      <c r="E6" s="9"/>
      <c r="G6" s="9" t="n">
        <f aca="false">COUNTIF(Students!$Q$4:$Q$203,"YELLOW")</f>
        <v>0</v>
      </c>
      <c r="H6" s="9"/>
      <c r="J6" s="9" t="n">
        <f aca="false">COUNTIF(Students!$Q$4:$Q$203,"RED")</f>
        <v>0</v>
      </c>
      <c r="K6" s="9"/>
    </row>
    <row r="10" customFormat="false" ht="31.5" hidden="false" customHeight="true" outlineLevel="0" collapsed="false">
      <c r="A10" s="10" t="s">
        <v>21</v>
      </c>
      <c r="B10" s="10" t="s">
        <v>22</v>
      </c>
      <c r="C10" s="10" t="s">
        <v>23</v>
      </c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7</v>
      </c>
      <c r="K10" s="10" t="s">
        <v>30</v>
      </c>
      <c r="L10" s="10" t="s">
        <v>31</v>
      </c>
      <c r="M10" s="10" t="s">
        <v>32</v>
      </c>
    </row>
    <row r="11" customFormat="false" ht="15" hidden="false" customHeight="true" outlineLevel="0" collapsed="false">
      <c r="A11" s="11" t="str">
        <f aca="false">IF(Students!A4="","",Students!A4)</f>
        <v>SAMPLE01</v>
      </c>
      <c r="B11" s="11" t="str">
        <f aca="false">IF(Students!A4="","",Students!B4)</f>
        <v>Nguyễn Văn A</v>
      </c>
      <c r="C11" s="11" t="str">
        <f aca="false">IF(Students!A4="","",Students!C4)</f>
        <v>Software Development</v>
      </c>
      <c r="D11" s="11" t="n">
        <f aca="false">IF(Students!A4="","",Students!G4)</f>
        <v>2</v>
      </c>
      <c r="E11" s="11" t="str">
        <f aca="false">IF(Students!A4="","",Students!H4)</f>
        <v>Sprint 1</v>
      </c>
      <c r="F11" s="11" t="str">
        <f aca="false">IF(Students!A4="","",Students!I4)</f>
        <v>Sprint 1 Review</v>
      </c>
      <c r="G11" s="7" t="n">
        <f aca="false">IF(Students!A4="","",Students!J4)</f>
        <v>46272</v>
      </c>
      <c r="H11" s="11" t="n">
        <f aca="false">IF(Students!A4="","",Students!K4)</f>
        <v>10</v>
      </c>
      <c r="I11" s="11" t="n">
        <f aca="false">IF(Students!A4="","",Students!N4)</f>
        <v>0</v>
      </c>
      <c r="J11" s="11" t="str">
        <f aca="false">IF(Students!A4="","",Students!Q4)</f>
        <v>GREEN</v>
      </c>
      <c r="K11" s="7" t="n">
        <f aca="false">IF(Students!A4="","",Students!L4)</f>
        <v>46262</v>
      </c>
      <c r="L11" s="11" t="str">
        <f aca="false">IF(Students!A4="","",Students!R4)</f>
        <v>Active</v>
      </c>
      <c r="M11" s="11" t="str">
        <f aca="false">IF(Students!A4="","",Students!D4)</f>
        <v>Web-based Internship Portal</v>
      </c>
    </row>
    <row r="12" customFormat="false" ht="15" hidden="false" customHeight="true" outlineLevel="0" collapsed="false">
      <c r="A12" s="11" t="str">
        <f aca="false">IF(Students!A5="","",Students!A5)</f>
        <v>SAMPLE02</v>
      </c>
      <c r="B12" s="11" t="str">
        <f aca="false">IF(Students!A5="","",Students!B5)</f>
        <v>Trần Thị B</v>
      </c>
      <c r="C12" s="11" t="str">
        <f aca="false">IF(Students!A5="","",Students!C5)</f>
        <v>AI/ML Research</v>
      </c>
      <c r="D12" s="11" t="n">
        <f aca="false">IF(Students!A5="","",Students!G5)</f>
        <v>0</v>
      </c>
      <c r="E12" s="11" t="str">
        <f aca="false">IF(Students!A5="","",Students!H5)</f>
        <v>Not Started</v>
      </c>
      <c r="F12" s="11" t="str">
        <f aca="false">IF(Students!A5="","",Students!I5)</f>
        <v>Start</v>
      </c>
      <c r="G12" s="7" t="n">
        <f aca="false">IF(Students!A5="","",Students!J5)</f>
        <v>46265</v>
      </c>
      <c r="H12" s="11" t="n">
        <f aca="false">IF(Students!A5="","",Students!K5)</f>
        <v>3</v>
      </c>
      <c r="I12" s="11" t="n">
        <f aca="false">IF(Students!A5="","",Students!N5)</f>
        <v>1</v>
      </c>
      <c r="J12" s="11" t="str">
        <f aca="false">IF(Students!A5="","",Students!Q5)</f>
        <v>GREEN</v>
      </c>
      <c r="K12" s="7" t="n">
        <f aca="false">IF(Students!A5="","",Students!L5)</f>
        <v>46262</v>
      </c>
      <c r="L12" s="11" t="str">
        <f aca="false">IF(Students!A5="","",Students!R5)</f>
        <v>Active</v>
      </c>
      <c r="M12" s="11" t="str">
        <f aca="false">IF(Students!A5="","",Students!D5)</f>
        <v>Network Intrusion Detection using ML</v>
      </c>
    </row>
    <row r="13" customFormat="false" ht="15" hidden="false" customHeight="true" outlineLevel="0" collapsed="false">
      <c r="A13" s="11" t="str">
        <f aca="false">IF(Students!A6="","",Students!A6)</f>
        <v>SAMPLE03</v>
      </c>
      <c r="B13" s="11" t="str">
        <f aca="false">IF(Students!A6="","",Students!B6)</f>
        <v>Lê Văn C</v>
      </c>
      <c r="C13" s="11" t="str">
        <f aca="false">IF(Students!A6="","",Students!C6)</f>
        <v>Data Analytics</v>
      </c>
      <c r="D13" s="11" t="n">
        <f aca="false">IF(Students!A6="","",Students!G6)</f>
        <v>0</v>
      </c>
      <c r="E13" s="11" t="str">
        <f aca="false">IF(Students!A6="","",Students!H6)</f>
        <v>Not Started</v>
      </c>
      <c r="F13" s="11" t="str">
        <f aca="false">IF(Students!A6="","",Students!I6)</f>
        <v>Start</v>
      </c>
      <c r="G13" s="7" t="n">
        <f aca="false">IF(Students!A6="","",Students!J6)</f>
        <v>46279</v>
      </c>
      <c r="H13" s="11" t="n">
        <f aca="false">IF(Students!A6="","",Students!K6)</f>
        <v>17</v>
      </c>
      <c r="I13" s="11" t="n">
        <f aca="false">IF(Students!A6="","",Students!N6)</f>
        <v>0</v>
      </c>
      <c r="J13" s="11" t="str">
        <f aca="false">IF(Students!A6="","",Students!Q6)</f>
        <v>GREEN</v>
      </c>
      <c r="K13" s="7" t="str">
        <f aca="false">IF(Students!A6="","",Students!L6)</f>
        <v/>
      </c>
      <c r="L13" s="11" t="str">
        <f aca="false">IF(Students!A6="","",Students!R6)</f>
        <v>Active</v>
      </c>
      <c r="M13" s="11" t="str">
        <f aca="false">IF(Students!A6="","",Students!D6)</f>
        <v>Electricity Usage Analytics</v>
      </c>
    </row>
    <row r="14" customFormat="false" ht="15" hidden="false" customHeight="true" outlineLevel="0" collapsed="false">
      <c r="A14" s="11" t="str">
        <f aca="false">IF(Students!A7="","",Students!A7)</f>
        <v>SAMPLE04</v>
      </c>
      <c r="B14" s="11" t="str">
        <f aca="false">IF(Students!A7="","",Students!B7)</f>
        <v>Phạm Thị D</v>
      </c>
      <c r="C14" s="11" t="str">
        <f aca="false">IF(Students!A7="","",Students!C7)</f>
        <v>Software Testing</v>
      </c>
      <c r="D14" s="11" t="n">
        <f aca="false">IF(Students!A7="","",Students!G7)</f>
        <v>0</v>
      </c>
      <c r="E14" s="11" t="str">
        <f aca="false">IF(Students!A7="","",Students!H7)</f>
        <v>Not Started</v>
      </c>
      <c r="F14" s="11" t="str">
        <f aca="false">IF(Students!A7="","",Students!I7)</f>
        <v>Start</v>
      </c>
      <c r="G14" s="7" t="n">
        <f aca="false">IF(Students!A7="","",Students!J7)</f>
        <v>46293</v>
      </c>
      <c r="H14" s="11" t="n">
        <f aca="false">IF(Students!A7="","",Students!K7)</f>
        <v>31</v>
      </c>
      <c r="I14" s="11" t="n">
        <f aca="false">IF(Students!A7="","",Students!N7)</f>
        <v>0</v>
      </c>
      <c r="J14" s="11" t="str">
        <f aca="false">IF(Students!A7="","",Students!Q7)</f>
        <v>GREEN</v>
      </c>
      <c r="K14" s="7" t="str">
        <f aca="false">IF(Students!A7="","",Students!L7)</f>
        <v/>
      </c>
      <c r="L14" s="11" t="str">
        <f aca="false">IF(Students!A7="","",Students!R7)</f>
        <v>Active</v>
      </c>
      <c r="M14" s="11" t="str">
        <f aca="false">IF(Students!A7="","",Students!D7)</f>
        <v>E-commerce Automation Testing</v>
      </c>
    </row>
    <row r="15" customFormat="false" ht="15" hidden="false" customHeight="true" outlineLevel="0" collapsed="false">
      <c r="A15" s="11" t="str">
        <f aca="false">IF(Students!A8="","",Students!A8)</f>
        <v/>
      </c>
      <c r="B15" s="11" t="str">
        <f aca="false">IF(Students!A8="","",Students!B8)</f>
        <v/>
      </c>
      <c r="C15" s="11" t="str">
        <f aca="false">IF(Students!A8="","",Students!C8)</f>
        <v/>
      </c>
      <c r="D15" s="11" t="str">
        <f aca="false">IF(Students!A8="","",Students!G8)</f>
        <v/>
      </c>
      <c r="E15" s="11" t="str">
        <f aca="false">IF(Students!A8="","",Students!H8)</f>
        <v/>
      </c>
      <c r="F15" s="11" t="str">
        <f aca="false">IF(Students!A8="","",Students!I8)</f>
        <v/>
      </c>
      <c r="G15" s="7" t="str">
        <f aca="false">IF(Students!A8="","",Students!J8)</f>
        <v/>
      </c>
      <c r="H15" s="11" t="str">
        <f aca="false">IF(Students!A8="","",Students!K8)</f>
        <v/>
      </c>
      <c r="I15" s="11" t="str">
        <f aca="false">IF(Students!A8="","",Students!N8)</f>
        <v/>
      </c>
      <c r="J15" s="11" t="str">
        <f aca="false">IF(Students!A8="","",Students!Q8)</f>
        <v/>
      </c>
      <c r="K15" s="7" t="str">
        <f aca="false">IF(Students!A8="","",Students!L8)</f>
        <v/>
      </c>
      <c r="L15" s="11" t="str">
        <f aca="false">IF(Students!A8="","",Students!R8)</f>
        <v/>
      </c>
      <c r="M15" s="11" t="str">
        <f aca="false">IF(Students!A8="","",Students!D8)</f>
        <v/>
      </c>
    </row>
    <row r="16" customFormat="false" ht="15" hidden="false" customHeight="true" outlineLevel="0" collapsed="false">
      <c r="A16" s="11" t="str">
        <f aca="false">IF(Students!A9="","",Students!A9)</f>
        <v/>
      </c>
      <c r="B16" s="11" t="str">
        <f aca="false">IF(Students!A9="","",Students!B9)</f>
        <v/>
      </c>
      <c r="C16" s="11" t="str">
        <f aca="false">IF(Students!A9="","",Students!C9)</f>
        <v/>
      </c>
      <c r="D16" s="11" t="str">
        <f aca="false">IF(Students!A9="","",Students!G9)</f>
        <v/>
      </c>
      <c r="E16" s="11" t="str">
        <f aca="false">IF(Students!A9="","",Students!H9)</f>
        <v/>
      </c>
      <c r="F16" s="11" t="str">
        <f aca="false">IF(Students!A9="","",Students!I9)</f>
        <v/>
      </c>
      <c r="G16" s="7" t="str">
        <f aca="false">IF(Students!A9="","",Students!J9)</f>
        <v/>
      </c>
      <c r="H16" s="11" t="str">
        <f aca="false">IF(Students!A9="","",Students!K9)</f>
        <v/>
      </c>
      <c r="I16" s="11" t="str">
        <f aca="false">IF(Students!A9="","",Students!N9)</f>
        <v/>
      </c>
      <c r="J16" s="11" t="str">
        <f aca="false">IF(Students!A9="","",Students!Q9)</f>
        <v/>
      </c>
      <c r="K16" s="7" t="str">
        <f aca="false">IF(Students!A9="","",Students!L9)</f>
        <v/>
      </c>
      <c r="L16" s="11" t="str">
        <f aca="false">IF(Students!A9="","",Students!R9)</f>
        <v/>
      </c>
      <c r="M16" s="11" t="str">
        <f aca="false">IF(Students!A9="","",Students!D9)</f>
        <v/>
      </c>
    </row>
    <row r="17" customFormat="false" ht="15" hidden="false" customHeight="true" outlineLevel="0" collapsed="false">
      <c r="A17" s="11" t="str">
        <f aca="false">IF(Students!A10="","",Students!A10)</f>
        <v/>
      </c>
      <c r="B17" s="11" t="str">
        <f aca="false">IF(Students!A10="","",Students!B10)</f>
        <v/>
      </c>
      <c r="C17" s="11" t="str">
        <f aca="false">IF(Students!A10="","",Students!C10)</f>
        <v/>
      </c>
      <c r="D17" s="11" t="str">
        <f aca="false">IF(Students!A10="","",Students!G10)</f>
        <v/>
      </c>
      <c r="E17" s="11" t="str">
        <f aca="false">IF(Students!A10="","",Students!H10)</f>
        <v/>
      </c>
      <c r="F17" s="11" t="str">
        <f aca="false">IF(Students!A10="","",Students!I10)</f>
        <v/>
      </c>
      <c r="G17" s="7" t="str">
        <f aca="false">IF(Students!A10="","",Students!J10)</f>
        <v/>
      </c>
      <c r="H17" s="11" t="str">
        <f aca="false">IF(Students!A10="","",Students!K10)</f>
        <v/>
      </c>
      <c r="I17" s="11" t="str">
        <f aca="false">IF(Students!A10="","",Students!N10)</f>
        <v/>
      </c>
      <c r="J17" s="11" t="str">
        <f aca="false">IF(Students!A10="","",Students!Q10)</f>
        <v/>
      </c>
      <c r="K17" s="7" t="str">
        <f aca="false">IF(Students!A10="","",Students!L10)</f>
        <v/>
      </c>
      <c r="L17" s="11" t="str">
        <f aca="false">IF(Students!A10="","",Students!R10)</f>
        <v/>
      </c>
      <c r="M17" s="11" t="str">
        <f aca="false">IF(Students!A10="","",Students!D10)</f>
        <v/>
      </c>
    </row>
    <row r="18" customFormat="false" ht="15" hidden="false" customHeight="true" outlineLevel="0" collapsed="false">
      <c r="A18" s="11" t="str">
        <f aca="false">IF(Students!A11="","",Students!A11)</f>
        <v/>
      </c>
      <c r="B18" s="11" t="str">
        <f aca="false">IF(Students!A11="","",Students!B11)</f>
        <v/>
      </c>
      <c r="C18" s="11" t="str">
        <f aca="false">IF(Students!A11="","",Students!C11)</f>
        <v/>
      </c>
      <c r="D18" s="11" t="str">
        <f aca="false">IF(Students!A11="","",Students!G11)</f>
        <v/>
      </c>
      <c r="E18" s="11" t="str">
        <f aca="false">IF(Students!A11="","",Students!H11)</f>
        <v/>
      </c>
      <c r="F18" s="11" t="str">
        <f aca="false">IF(Students!A11="","",Students!I11)</f>
        <v/>
      </c>
      <c r="G18" s="7" t="str">
        <f aca="false">IF(Students!A11="","",Students!J11)</f>
        <v/>
      </c>
      <c r="H18" s="11" t="str">
        <f aca="false">IF(Students!A11="","",Students!K11)</f>
        <v/>
      </c>
      <c r="I18" s="11" t="str">
        <f aca="false">IF(Students!A11="","",Students!N11)</f>
        <v/>
      </c>
      <c r="J18" s="11" t="str">
        <f aca="false">IF(Students!A11="","",Students!Q11)</f>
        <v/>
      </c>
      <c r="K18" s="7" t="str">
        <f aca="false">IF(Students!A11="","",Students!L11)</f>
        <v/>
      </c>
      <c r="L18" s="11" t="str">
        <f aca="false">IF(Students!A11="","",Students!R11)</f>
        <v/>
      </c>
      <c r="M18" s="11" t="str">
        <f aca="false">IF(Students!A11="","",Students!D11)</f>
        <v/>
      </c>
    </row>
    <row r="19" customFormat="false" ht="15" hidden="false" customHeight="true" outlineLevel="0" collapsed="false">
      <c r="A19" s="11" t="str">
        <f aca="false">IF(Students!A12="","",Students!A12)</f>
        <v/>
      </c>
      <c r="B19" s="11" t="str">
        <f aca="false">IF(Students!A12="","",Students!B12)</f>
        <v/>
      </c>
      <c r="C19" s="11" t="str">
        <f aca="false">IF(Students!A12="","",Students!C12)</f>
        <v/>
      </c>
      <c r="D19" s="11" t="str">
        <f aca="false">IF(Students!A12="","",Students!G12)</f>
        <v/>
      </c>
      <c r="E19" s="11" t="str">
        <f aca="false">IF(Students!A12="","",Students!H12)</f>
        <v/>
      </c>
      <c r="F19" s="11" t="str">
        <f aca="false">IF(Students!A12="","",Students!I12)</f>
        <v/>
      </c>
      <c r="G19" s="7" t="str">
        <f aca="false">IF(Students!A12="","",Students!J12)</f>
        <v/>
      </c>
      <c r="H19" s="11" t="str">
        <f aca="false">IF(Students!A12="","",Students!K12)</f>
        <v/>
      </c>
      <c r="I19" s="11" t="str">
        <f aca="false">IF(Students!A12="","",Students!N12)</f>
        <v/>
      </c>
      <c r="J19" s="11" t="str">
        <f aca="false">IF(Students!A12="","",Students!Q12)</f>
        <v/>
      </c>
      <c r="K19" s="7" t="str">
        <f aca="false">IF(Students!A12="","",Students!L12)</f>
        <v/>
      </c>
      <c r="L19" s="11" t="str">
        <f aca="false">IF(Students!A12="","",Students!R12)</f>
        <v/>
      </c>
      <c r="M19" s="11" t="str">
        <f aca="false">IF(Students!A12="","",Students!D12)</f>
        <v/>
      </c>
    </row>
    <row r="20" customFormat="false" ht="15" hidden="false" customHeight="true" outlineLevel="0" collapsed="false">
      <c r="A20" s="11" t="str">
        <f aca="false">IF(Students!A13="","",Students!A13)</f>
        <v/>
      </c>
      <c r="B20" s="11" t="str">
        <f aca="false">IF(Students!A13="","",Students!B13)</f>
        <v/>
      </c>
      <c r="C20" s="11" t="str">
        <f aca="false">IF(Students!A13="","",Students!C13)</f>
        <v/>
      </c>
      <c r="D20" s="11" t="str">
        <f aca="false">IF(Students!A13="","",Students!G13)</f>
        <v/>
      </c>
      <c r="E20" s="11" t="str">
        <f aca="false">IF(Students!A13="","",Students!H13)</f>
        <v/>
      </c>
      <c r="F20" s="11" t="str">
        <f aca="false">IF(Students!A13="","",Students!I13)</f>
        <v/>
      </c>
      <c r="G20" s="7" t="str">
        <f aca="false">IF(Students!A13="","",Students!J13)</f>
        <v/>
      </c>
      <c r="H20" s="11" t="str">
        <f aca="false">IF(Students!A13="","",Students!K13)</f>
        <v/>
      </c>
      <c r="I20" s="11" t="str">
        <f aca="false">IF(Students!A13="","",Students!N13)</f>
        <v/>
      </c>
      <c r="J20" s="11" t="str">
        <f aca="false">IF(Students!A13="","",Students!Q13)</f>
        <v/>
      </c>
      <c r="K20" s="7" t="str">
        <f aca="false">IF(Students!A13="","",Students!L13)</f>
        <v/>
      </c>
      <c r="L20" s="11" t="str">
        <f aca="false">IF(Students!A13="","",Students!R13)</f>
        <v/>
      </c>
      <c r="M20" s="11" t="str">
        <f aca="false">IF(Students!A13="","",Students!D13)</f>
        <v/>
      </c>
    </row>
    <row r="21" customFormat="false" ht="15" hidden="false" customHeight="true" outlineLevel="0" collapsed="false">
      <c r="A21" s="11" t="str">
        <f aca="false">IF(Students!A14="","",Students!A14)</f>
        <v/>
      </c>
      <c r="B21" s="11" t="str">
        <f aca="false">IF(Students!A14="","",Students!B14)</f>
        <v/>
      </c>
      <c r="C21" s="11" t="str">
        <f aca="false">IF(Students!A14="","",Students!C14)</f>
        <v/>
      </c>
      <c r="D21" s="11" t="str">
        <f aca="false">IF(Students!A14="","",Students!G14)</f>
        <v/>
      </c>
      <c r="E21" s="11" t="str">
        <f aca="false">IF(Students!A14="","",Students!H14)</f>
        <v/>
      </c>
      <c r="F21" s="11" t="str">
        <f aca="false">IF(Students!A14="","",Students!I14)</f>
        <v/>
      </c>
      <c r="G21" s="7" t="str">
        <f aca="false">IF(Students!A14="","",Students!J14)</f>
        <v/>
      </c>
      <c r="H21" s="11" t="str">
        <f aca="false">IF(Students!A14="","",Students!K14)</f>
        <v/>
      </c>
      <c r="I21" s="11" t="str">
        <f aca="false">IF(Students!A14="","",Students!N14)</f>
        <v/>
      </c>
      <c r="J21" s="11" t="str">
        <f aca="false">IF(Students!A14="","",Students!Q14)</f>
        <v/>
      </c>
      <c r="K21" s="7" t="str">
        <f aca="false">IF(Students!A14="","",Students!L14)</f>
        <v/>
      </c>
      <c r="L21" s="11" t="str">
        <f aca="false">IF(Students!A14="","",Students!R14)</f>
        <v/>
      </c>
      <c r="M21" s="11" t="str">
        <f aca="false">IF(Students!A14="","",Students!D14)</f>
        <v/>
      </c>
    </row>
    <row r="22" customFormat="false" ht="15" hidden="false" customHeight="true" outlineLevel="0" collapsed="false">
      <c r="A22" s="11" t="str">
        <f aca="false">IF(Students!A15="","",Students!A15)</f>
        <v/>
      </c>
      <c r="B22" s="11" t="str">
        <f aca="false">IF(Students!A15="","",Students!B15)</f>
        <v/>
      </c>
      <c r="C22" s="11" t="str">
        <f aca="false">IF(Students!A15="","",Students!C15)</f>
        <v/>
      </c>
      <c r="D22" s="11" t="str">
        <f aca="false">IF(Students!A15="","",Students!G15)</f>
        <v/>
      </c>
      <c r="E22" s="11" t="str">
        <f aca="false">IF(Students!A15="","",Students!H15)</f>
        <v/>
      </c>
      <c r="F22" s="11" t="str">
        <f aca="false">IF(Students!A15="","",Students!I15)</f>
        <v/>
      </c>
      <c r="G22" s="7" t="str">
        <f aca="false">IF(Students!A15="","",Students!J15)</f>
        <v/>
      </c>
      <c r="H22" s="11" t="str">
        <f aca="false">IF(Students!A15="","",Students!K15)</f>
        <v/>
      </c>
      <c r="I22" s="11" t="str">
        <f aca="false">IF(Students!A15="","",Students!N15)</f>
        <v/>
      </c>
      <c r="J22" s="11" t="str">
        <f aca="false">IF(Students!A15="","",Students!Q15)</f>
        <v/>
      </c>
      <c r="K22" s="7" t="str">
        <f aca="false">IF(Students!A15="","",Students!L15)</f>
        <v/>
      </c>
      <c r="L22" s="11" t="str">
        <f aca="false">IF(Students!A15="","",Students!R15)</f>
        <v/>
      </c>
      <c r="M22" s="11" t="str">
        <f aca="false">IF(Students!A15="","",Students!D15)</f>
        <v/>
      </c>
    </row>
    <row r="23" customFormat="false" ht="15" hidden="false" customHeight="true" outlineLevel="0" collapsed="false">
      <c r="A23" s="11" t="str">
        <f aca="false">IF(Students!A16="","",Students!A16)</f>
        <v/>
      </c>
      <c r="B23" s="11" t="str">
        <f aca="false">IF(Students!A16="","",Students!B16)</f>
        <v/>
      </c>
      <c r="C23" s="11" t="str">
        <f aca="false">IF(Students!A16="","",Students!C16)</f>
        <v/>
      </c>
      <c r="D23" s="11" t="str">
        <f aca="false">IF(Students!A16="","",Students!G16)</f>
        <v/>
      </c>
      <c r="E23" s="11" t="str">
        <f aca="false">IF(Students!A16="","",Students!H16)</f>
        <v/>
      </c>
      <c r="F23" s="11" t="str">
        <f aca="false">IF(Students!A16="","",Students!I16)</f>
        <v/>
      </c>
      <c r="G23" s="7" t="str">
        <f aca="false">IF(Students!A16="","",Students!J16)</f>
        <v/>
      </c>
      <c r="H23" s="11" t="str">
        <f aca="false">IF(Students!A16="","",Students!K16)</f>
        <v/>
      </c>
      <c r="I23" s="11" t="str">
        <f aca="false">IF(Students!A16="","",Students!N16)</f>
        <v/>
      </c>
      <c r="J23" s="11" t="str">
        <f aca="false">IF(Students!A16="","",Students!Q16)</f>
        <v/>
      </c>
      <c r="K23" s="7" t="str">
        <f aca="false">IF(Students!A16="","",Students!L16)</f>
        <v/>
      </c>
      <c r="L23" s="11" t="str">
        <f aca="false">IF(Students!A16="","",Students!R16)</f>
        <v/>
      </c>
      <c r="M23" s="11" t="str">
        <f aca="false">IF(Students!A16="","",Students!D16)</f>
        <v/>
      </c>
    </row>
    <row r="24" customFormat="false" ht="15" hidden="false" customHeight="true" outlineLevel="0" collapsed="false">
      <c r="A24" s="11" t="str">
        <f aca="false">IF(Students!A17="","",Students!A17)</f>
        <v/>
      </c>
      <c r="B24" s="11" t="str">
        <f aca="false">IF(Students!A17="","",Students!B17)</f>
        <v/>
      </c>
      <c r="C24" s="11" t="str">
        <f aca="false">IF(Students!A17="","",Students!C17)</f>
        <v/>
      </c>
      <c r="D24" s="11" t="str">
        <f aca="false">IF(Students!A17="","",Students!G17)</f>
        <v/>
      </c>
      <c r="E24" s="11" t="str">
        <f aca="false">IF(Students!A17="","",Students!H17)</f>
        <v/>
      </c>
      <c r="F24" s="11" t="str">
        <f aca="false">IF(Students!A17="","",Students!I17)</f>
        <v/>
      </c>
      <c r="G24" s="7" t="str">
        <f aca="false">IF(Students!A17="","",Students!J17)</f>
        <v/>
      </c>
      <c r="H24" s="11" t="str">
        <f aca="false">IF(Students!A17="","",Students!K17)</f>
        <v/>
      </c>
      <c r="I24" s="11" t="str">
        <f aca="false">IF(Students!A17="","",Students!N17)</f>
        <v/>
      </c>
      <c r="J24" s="11" t="str">
        <f aca="false">IF(Students!A17="","",Students!Q17)</f>
        <v/>
      </c>
      <c r="K24" s="7" t="str">
        <f aca="false">IF(Students!A17="","",Students!L17)</f>
        <v/>
      </c>
      <c r="L24" s="11" t="str">
        <f aca="false">IF(Students!A17="","",Students!R17)</f>
        <v/>
      </c>
      <c r="M24" s="11" t="str">
        <f aca="false">IF(Students!A17="","",Students!D17)</f>
        <v/>
      </c>
    </row>
    <row r="25" customFormat="false" ht="15" hidden="false" customHeight="true" outlineLevel="0" collapsed="false">
      <c r="A25" s="11" t="str">
        <f aca="false">IF(Students!A18="","",Students!A18)</f>
        <v/>
      </c>
      <c r="B25" s="11" t="str">
        <f aca="false">IF(Students!A18="","",Students!B18)</f>
        <v/>
      </c>
      <c r="C25" s="11" t="str">
        <f aca="false">IF(Students!A18="","",Students!C18)</f>
        <v/>
      </c>
      <c r="D25" s="11" t="str">
        <f aca="false">IF(Students!A18="","",Students!G18)</f>
        <v/>
      </c>
      <c r="E25" s="11" t="str">
        <f aca="false">IF(Students!A18="","",Students!H18)</f>
        <v/>
      </c>
      <c r="F25" s="11" t="str">
        <f aca="false">IF(Students!A18="","",Students!I18)</f>
        <v/>
      </c>
      <c r="G25" s="7" t="str">
        <f aca="false">IF(Students!A18="","",Students!J18)</f>
        <v/>
      </c>
      <c r="H25" s="11" t="str">
        <f aca="false">IF(Students!A18="","",Students!K18)</f>
        <v/>
      </c>
      <c r="I25" s="11" t="str">
        <f aca="false">IF(Students!A18="","",Students!N18)</f>
        <v/>
      </c>
      <c r="J25" s="11" t="str">
        <f aca="false">IF(Students!A18="","",Students!Q18)</f>
        <v/>
      </c>
      <c r="K25" s="7" t="str">
        <f aca="false">IF(Students!A18="","",Students!L18)</f>
        <v/>
      </c>
      <c r="L25" s="11" t="str">
        <f aca="false">IF(Students!A18="","",Students!R18)</f>
        <v/>
      </c>
      <c r="M25" s="11" t="str">
        <f aca="false">IF(Students!A18="","",Students!D18)</f>
        <v/>
      </c>
    </row>
    <row r="26" customFormat="false" ht="15" hidden="false" customHeight="true" outlineLevel="0" collapsed="false">
      <c r="A26" s="11" t="str">
        <f aca="false">IF(Students!A19="","",Students!A19)</f>
        <v/>
      </c>
      <c r="B26" s="11" t="str">
        <f aca="false">IF(Students!A19="","",Students!B19)</f>
        <v/>
      </c>
      <c r="C26" s="11" t="str">
        <f aca="false">IF(Students!A19="","",Students!C19)</f>
        <v/>
      </c>
      <c r="D26" s="11" t="str">
        <f aca="false">IF(Students!A19="","",Students!G19)</f>
        <v/>
      </c>
      <c r="E26" s="11" t="str">
        <f aca="false">IF(Students!A19="","",Students!H19)</f>
        <v/>
      </c>
      <c r="F26" s="11" t="str">
        <f aca="false">IF(Students!A19="","",Students!I19)</f>
        <v/>
      </c>
      <c r="G26" s="7" t="str">
        <f aca="false">IF(Students!A19="","",Students!J19)</f>
        <v/>
      </c>
      <c r="H26" s="11" t="str">
        <f aca="false">IF(Students!A19="","",Students!K19)</f>
        <v/>
      </c>
      <c r="I26" s="11" t="str">
        <f aca="false">IF(Students!A19="","",Students!N19)</f>
        <v/>
      </c>
      <c r="J26" s="11" t="str">
        <f aca="false">IF(Students!A19="","",Students!Q19)</f>
        <v/>
      </c>
      <c r="K26" s="7" t="str">
        <f aca="false">IF(Students!A19="","",Students!L19)</f>
        <v/>
      </c>
      <c r="L26" s="11" t="str">
        <f aca="false">IF(Students!A19="","",Students!R19)</f>
        <v/>
      </c>
      <c r="M26" s="11" t="str">
        <f aca="false">IF(Students!A19="","",Students!D19)</f>
        <v/>
      </c>
    </row>
    <row r="27" customFormat="false" ht="15" hidden="false" customHeight="true" outlineLevel="0" collapsed="false">
      <c r="A27" s="11" t="str">
        <f aca="false">IF(Students!A20="","",Students!A20)</f>
        <v/>
      </c>
      <c r="B27" s="11" t="str">
        <f aca="false">IF(Students!A20="","",Students!B20)</f>
        <v/>
      </c>
      <c r="C27" s="11" t="str">
        <f aca="false">IF(Students!A20="","",Students!C20)</f>
        <v/>
      </c>
      <c r="D27" s="11" t="str">
        <f aca="false">IF(Students!A20="","",Students!G20)</f>
        <v/>
      </c>
      <c r="E27" s="11" t="str">
        <f aca="false">IF(Students!A20="","",Students!H20)</f>
        <v/>
      </c>
      <c r="F27" s="11" t="str">
        <f aca="false">IF(Students!A20="","",Students!I20)</f>
        <v/>
      </c>
      <c r="G27" s="7" t="str">
        <f aca="false">IF(Students!A20="","",Students!J20)</f>
        <v/>
      </c>
      <c r="H27" s="11" t="str">
        <f aca="false">IF(Students!A20="","",Students!K20)</f>
        <v/>
      </c>
      <c r="I27" s="11" t="str">
        <f aca="false">IF(Students!A20="","",Students!N20)</f>
        <v/>
      </c>
      <c r="J27" s="11" t="str">
        <f aca="false">IF(Students!A20="","",Students!Q20)</f>
        <v/>
      </c>
      <c r="K27" s="7" t="str">
        <f aca="false">IF(Students!A20="","",Students!L20)</f>
        <v/>
      </c>
      <c r="L27" s="11" t="str">
        <f aca="false">IF(Students!A20="","",Students!R20)</f>
        <v/>
      </c>
      <c r="M27" s="11" t="str">
        <f aca="false">IF(Students!A20="","",Students!D20)</f>
        <v/>
      </c>
    </row>
    <row r="28" customFormat="false" ht="15" hidden="false" customHeight="true" outlineLevel="0" collapsed="false">
      <c r="A28" s="11" t="str">
        <f aca="false">IF(Students!A21="","",Students!A21)</f>
        <v/>
      </c>
      <c r="B28" s="11" t="str">
        <f aca="false">IF(Students!A21="","",Students!B21)</f>
        <v/>
      </c>
      <c r="C28" s="11" t="str">
        <f aca="false">IF(Students!A21="","",Students!C21)</f>
        <v/>
      </c>
      <c r="D28" s="11" t="str">
        <f aca="false">IF(Students!A21="","",Students!G21)</f>
        <v/>
      </c>
      <c r="E28" s="11" t="str">
        <f aca="false">IF(Students!A21="","",Students!H21)</f>
        <v/>
      </c>
      <c r="F28" s="11" t="str">
        <f aca="false">IF(Students!A21="","",Students!I21)</f>
        <v/>
      </c>
      <c r="G28" s="7" t="str">
        <f aca="false">IF(Students!A21="","",Students!J21)</f>
        <v/>
      </c>
      <c r="H28" s="11" t="str">
        <f aca="false">IF(Students!A21="","",Students!K21)</f>
        <v/>
      </c>
      <c r="I28" s="11" t="str">
        <f aca="false">IF(Students!A21="","",Students!N21)</f>
        <v/>
      </c>
      <c r="J28" s="11" t="str">
        <f aca="false">IF(Students!A21="","",Students!Q21)</f>
        <v/>
      </c>
      <c r="K28" s="7" t="str">
        <f aca="false">IF(Students!A21="","",Students!L21)</f>
        <v/>
      </c>
      <c r="L28" s="11" t="str">
        <f aca="false">IF(Students!A21="","",Students!R21)</f>
        <v/>
      </c>
      <c r="M28" s="11" t="str">
        <f aca="false">IF(Students!A21="","",Students!D21)</f>
        <v/>
      </c>
    </row>
    <row r="29" customFormat="false" ht="15" hidden="false" customHeight="true" outlineLevel="0" collapsed="false">
      <c r="A29" s="11" t="str">
        <f aca="false">IF(Students!A22="","",Students!A22)</f>
        <v/>
      </c>
      <c r="B29" s="11" t="str">
        <f aca="false">IF(Students!A22="","",Students!B22)</f>
        <v/>
      </c>
      <c r="C29" s="11" t="str">
        <f aca="false">IF(Students!A22="","",Students!C22)</f>
        <v/>
      </c>
      <c r="D29" s="11" t="str">
        <f aca="false">IF(Students!A22="","",Students!G22)</f>
        <v/>
      </c>
      <c r="E29" s="11" t="str">
        <f aca="false">IF(Students!A22="","",Students!H22)</f>
        <v/>
      </c>
      <c r="F29" s="11" t="str">
        <f aca="false">IF(Students!A22="","",Students!I22)</f>
        <v/>
      </c>
      <c r="G29" s="7" t="str">
        <f aca="false">IF(Students!A22="","",Students!J22)</f>
        <v/>
      </c>
      <c r="H29" s="11" t="str">
        <f aca="false">IF(Students!A22="","",Students!K22)</f>
        <v/>
      </c>
      <c r="I29" s="11" t="str">
        <f aca="false">IF(Students!A22="","",Students!N22)</f>
        <v/>
      </c>
      <c r="J29" s="11" t="str">
        <f aca="false">IF(Students!A22="","",Students!Q22)</f>
        <v/>
      </c>
      <c r="K29" s="7" t="str">
        <f aca="false">IF(Students!A22="","",Students!L22)</f>
        <v/>
      </c>
      <c r="L29" s="11" t="str">
        <f aca="false">IF(Students!A22="","",Students!R22)</f>
        <v/>
      </c>
      <c r="M29" s="11" t="str">
        <f aca="false">IF(Students!A22="","",Students!D22)</f>
        <v/>
      </c>
    </row>
    <row r="30" customFormat="false" ht="15" hidden="false" customHeight="true" outlineLevel="0" collapsed="false">
      <c r="A30" s="11" t="str">
        <f aca="false">IF(Students!A23="","",Students!A23)</f>
        <v/>
      </c>
      <c r="B30" s="11" t="str">
        <f aca="false">IF(Students!A23="","",Students!B23)</f>
        <v/>
      </c>
      <c r="C30" s="11" t="str">
        <f aca="false">IF(Students!A23="","",Students!C23)</f>
        <v/>
      </c>
      <c r="D30" s="11" t="str">
        <f aca="false">IF(Students!A23="","",Students!G23)</f>
        <v/>
      </c>
      <c r="E30" s="11" t="str">
        <f aca="false">IF(Students!A23="","",Students!H23)</f>
        <v/>
      </c>
      <c r="F30" s="11" t="str">
        <f aca="false">IF(Students!A23="","",Students!I23)</f>
        <v/>
      </c>
      <c r="G30" s="7" t="str">
        <f aca="false">IF(Students!A23="","",Students!J23)</f>
        <v/>
      </c>
      <c r="H30" s="11" t="str">
        <f aca="false">IF(Students!A23="","",Students!K23)</f>
        <v/>
      </c>
      <c r="I30" s="11" t="str">
        <f aca="false">IF(Students!A23="","",Students!N23)</f>
        <v/>
      </c>
      <c r="J30" s="11" t="str">
        <f aca="false">IF(Students!A23="","",Students!Q23)</f>
        <v/>
      </c>
      <c r="K30" s="7" t="str">
        <f aca="false">IF(Students!A23="","",Students!L23)</f>
        <v/>
      </c>
      <c r="L30" s="11" t="str">
        <f aca="false">IF(Students!A23="","",Students!R23)</f>
        <v/>
      </c>
      <c r="M30" s="11" t="str">
        <f aca="false">IF(Students!A23="","",Students!D23)</f>
        <v/>
      </c>
    </row>
    <row r="31" customFormat="false" ht="15" hidden="false" customHeight="true" outlineLevel="0" collapsed="false">
      <c r="A31" s="11" t="str">
        <f aca="false">IF(Students!A24="","",Students!A24)</f>
        <v/>
      </c>
      <c r="B31" s="11" t="str">
        <f aca="false">IF(Students!A24="","",Students!B24)</f>
        <v/>
      </c>
      <c r="C31" s="11" t="str">
        <f aca="false">IF(Students!A24="","",Students!C24)</f>
        <v/>
      </c>
      <c r="D31" s="11" t="str">
        <f aca="false">IF(Students!A24="","",Students!G24)</f>
        <v/>
      </c>
      <c r="E31" s="11" t="str">
        <f aca="false">IF(Students!A24="","",Students!H24)</f>
        <v/>
      </c>
      <c r="F31" s="11" t="str">
        <f aca="false">IF(Students!A24="","",Students!I24)</f>
        <v/>
      </c>
      <c r="G31" s="7" t="str">
        <f aca="false">IF(Students!A24="","",Students!J24)</f>
        <v/>
      </c>
      <c r="H31" s="11" t="str">
        <f aca="false">IF(Students!A24="","",Students!K24)</f>
        <v/>
      </c>
      <c r="I31" s="11" t="str">
        <f aca="false">IF(Students!A24="","",Students!N24)</f>
        <v/>
      </c>
      <c r="J31" s="11" t="str">
        <f aca="false">IF(Students!A24="","",Students!Q24)</f>
        <v/>
      </c>
      <c r="K31" s="7" t="str">
        <f aca="false">IF(Students!A24="","",Students!L24)</f>
        <v/>
      </c>
      <c r="L31" s="11" t="str">
        <f aca="false">IF(Students!A24="","",Students!R24)</f>
        <v/>
      </c>
      <c r="M31" s="11" t="str">
        <f aca="false">IF(Students!A24="","",Students!D24)</f>
        <v/>
      </c>
    </row>
    <row r="32" customFormat="false" ht="15" hidden="false" customHeight="true" outlineLevel="0" collapsed="false">
      <c r="A32" s="11" t="str">
        <f aca="false">IF(Students!A25="","",Students!A25)</f>
        <v/>
      </c>
      <c r="B32" s="11" t="str">
        <f aca="false">IF(Students!A25="","",Students!B25)</f>
        <v/>
      </c>
      <c r="C32" s="11" t="str">
        <f aca="false">IF(Students!A25="","",Students!C25)</f>
        <v/>
      </c>
      <c r="D32" s="11" t="str">
        <f aca="false">IF(Students!A25="","",Students!G25)</f>
        <v/>
      </c>
      <c r="E32" s="11" t="str">
        <f aca="false">IF(Students!A25="","",Students!H25)</f>
        <v/>
      </c>
      <c r="F32" s="11" t="str">
        <f aca="false">IF(Students!A25="","",Students!I25)</f>
        <v/>
      </c>
      <c r="G32" s="7" t="str">
        <f aca="false">IF(Students!A25="","",Students!J25)</f>
        <v/>
      </c>
      <c r="H32" s="11" t="str">
        <f aca="false">IF(Students!A25="","",Students!K25)</f>
        <v/>
      </c>
      <c r="I32" s="11" t="str">
        <f aca="false">IF(Students!A25="","",Students!N25)</f>
        <v/>
      </c>
      <c r="J32" s="11" t="str">
        <f aca="false">IF(Students!A25="","",Students!Q25)</f>
        <v/>
      </c>
      <c r="K32" s="7" t="str">
        <f aca="false">IF(Students!A25="","",Students!L25)</f>
        <v/>
      </c>
      <c r="L32" s="11" t="str">
        <f aca="false">IF(Students!A25="","",Students!R25)</f>
        <v/>
      </c>
      <c r="M32" s="11" t="str">
        <f aca="false">IF(Students!A25="","",Students!D25)</f>
        <v/>
      </c>
    </row>
    <row r="33" customFormat="false" ht="15" hidden="false" customHeight="true" outlineLevel="0" collapsed="false">
      <c r="A33" s="11" t="str">
        <f aca="false">IF(Students!A26="","",Students!A26)</f>
        <v/>
      </c>
      <c r="B33" s="11" t="str">
        <f aca="false">IF(Students!A26="","",Students!B26)</f>
        <v/>
      </c>
      <c r="C33" s="11" t="str">
        <f aca="false">IF(Students!A26="","",Students!C26)</f>
        <v/>
      </c>
      <c r="D33" s="11" t="str">
        <f aca="false">IF(Students!A26="","",Students!G26)</f>
        <v/>
      </c>
      <c r="E33" s="11" t="str">
        <f aca="false">IF(Students!A26="","",Students!H26)</f>
        <v/>
      </c>
      <c r="F33" s="11" t="str">
        <f aca="false">IF(Students!A26="","",Students!I26)</f>
        <v/>
      </c>
      <c r="G33" s="7" t="str">
        <f aca="false">IF(Students!A26="","",Students!J26)</f>
        <v/>
      </c>
      <c r="H33" s="11" t="str">
        <f aca="false">IF(Students!A26="","",Students!K26)</f>
        <v/>
      </c>
      <c r="I33" s="11" t="str">
        <f aca="false">IF(Students!A26="","",Students!N26)</f>
        <v/>
      </c>
      <c r="J33" s="11" t="str">
        <f aca="false">IF(Students!A26="","",Students!Q26)</f>
        <v/>
      </c>
      <c r="K33" s="7" t="str">
        <f aca="false">IF(Students!A26="","",Students!L26)</f>
        <v/>
      </c>
      <c r="L33" s="11" t="str">
        <f aca="false">IF(Students!A26="","",Students!R26)</f>
        <v/>
      </c>
      <c r="M33" s="11" t="str">
        <f aca="false">IF(Students!A26="","",Students!D26)</f>
        <v/>
      </c>
    </row>
    <row r="34" customFormat="false" ht="15" hidden="false" customHeight="true" outlineLevel="0" collapsed="false">
      <c r="A34" s="11" t="str">
        <f aca="false">IF(Students!A27="","",Students!A27)</f>
        <v/>
      </c>
      <c r="B34" s="11" t="str">
        <f aca="false">IF(Students!A27="","",Students!B27)</f>
        <v/>
      </c>
      <c r="C34" s="11" t="str">
        <f aca="false">IF(Students!A27="","",Students!C27)</f>
        <v/>
      </c>
      <c r="D34" s="11" t="str">
        <f aca="false">IF(Students!A27="","",Students!G27)</f>
        <v/>
      </c>
      <c r="E34" s="11" t="str">
        <f aca="false">IF(Students!A27="","",Students!H27)</f>
        <v/>
      </c>
      <c r="F34" s="11" t="str">
        <f aca="false">IF(Students!A27="","",Students!I27)</f>
        <v/>
      </c>
      <c r="G34" s="7" t="str">
        <f aca="false">IF(Students!A27="","",Students!J27)</f>
        <v/>
      </c>
      <c r="H34" s="11" t="str">
        <f aca="false">IF(Students!A27="","",Students!K27)</f>
        <v/>
      </c>
      <c r="I34" s="11" t="str">
        <f aca="false">IF(Students!A27="","",Students!N27)</f>
        <v/>
      </c>
      <c r="J34" s="11" t="str">
        <f aca="false">IF(Students!A27="","",Students!Q27)</f>
        <v/>
      </c>
      <c r="K34" s="7" t="str">
        <f aca="false">IF(Students!A27="","",Students!L27)</f>
        <v/>
      </c>
      <c r="L34" s="11" t="str">
        <f aca="false">IF(Students!A27="","",Students!R27)</f>
        <v/>
      </c>
      <c r="M34" s="11" t="str">
        <f aca="false">IF(Students!A27="","",Students!D27)</f>
        <v/>
      </c>
    </row>
    <row r="35" customFormat="false" ht="15" hidden="false" customHeight="true" outlineLevel="0" collapsed="false">
      <c r="A35" s="11" t="str">
        <f aca="false">IF(Students!A28="","",Students!A28)</f>
        <v/>
      </c>
      <c r="B35" s="11" t="str">
        <f aca="false">IF(Students!A28="","",Students!B28)</f>
        <v/>
      </c>
      <c r="C35" s="11" t="str">
        <f aca="false">IF(Students!A28="","",Students!C28)</f>
        <v/>
      </c>
      <c r="D35" s="11" t="str">
        <f aca="false">IF(Students!A28="","",Students!G28)</f>
        <v/>
      </c>
      <c r="E35" s="11" t="str">
        <f aca="false">IF(Students!A28="","",Students!H28)</f>
        <v/>
      </c>
      <c r="F35" s="11" t="str">
        <f aca="false">IF(Students!A28="","",Students!I28)</f>
        <v/>
      </c>
      <c r="G35" s="7" t="str">
        <f aca="false">IF(Students!A28="","",Students!J28)</f>
        <v/>
      </c>
      <c r="H35" s="11" t="str">
        <f aca="false">IF(Students!A28="","",Students!K28)</f>
        <v/>
      </c>
      <c r="I35" s="11" t="str">
        <f aca="false">IF(Students!A28="","",Students!N28)</f>
        <v/>
      </c>
      <c r="J35" s="11" t="str">
        <f aca="false">IF(Students!A28="","",Students!Q28)</f>
        <v/>
      </c>
      <c r="K35" s="7" t="str">
        <f aca="false">IF(Students!A28="","",Students!L28)</f>
        <v/>
      </c>
      <c r="L35" s="11" t="str">
        <f aca="false">IF(Students!A28="","",Students!R28)</f>
        <v/>
      </c>
      <c r="M35" s="11" t="str">
        <f aca="false">IF(Students!A28="","",Students!D28)</f>
        <v/>
      </c>
    </row>
    <row r="36" customFormat="false" ht="15" hidden="false" customHeight="true" outlineLevel="0" collapsed="false">
      <c r="A36" s="11" t="str">
        <f aca="false">IF(Students!A29="","",Students!A29)</f>
        <v/>
      </c>
      <c r="B36" s="11" t="str">
        <f aca="false">IF(Students!A29="","",Students!B29)</f>
        <v/>
      </c>
      <c r="C36" s="11" t="str">
        <f aca="false">IF(Students!A29="","",Students!C29)</f>
        <v/>
      </c>
      <c r="D36" s="11" t="str">
        <f aca="false">IF(Students!A29="","",Students!G29)</f>
        <v/>
      </c>
      <c r="E36" s="11" t="str">
        <f aca="false">IF(Students!A29="","",Students!H29)</f>
        <v/>
      </c>
      <c r="F36" s="11" t="str">
        <f aca="false">IF(Students!A29="","",Students!I29)</f>
        <v/>
      </c>
      <c r="G36" s="7" t="str">
        <f aca="false">IF(Students!A29="","",Students!J29)</f>
        <v/>
      </c>
      <c r="H36" s="11" t="str">
        <f aca="false">IF(Students!A29="","",Students!K29)</f>
        <v/>
      </c>
      <c r="I36" s="11" t="str">
        <f aca="false">IF(Students!A29="","",Students!N29)</f>
        <v/>
      </c>
      <c r="J36" s="11" t="str">
        <f aca="false">IF(Students!A29="","",Students!Q29)</f>
        <v/>
      </c>
      <c r="K36" s="7" t="str">
        <f aca="false">IF(Students!A29="","",Students!L29)</f>
        <v/>
      </c>
      <c r="L36" s="11" t="str">
        <f aca="false">IF(Students!A29="","",Students!R29)</f>
        <v/>
      </c>
      <c r="M36" s="11" t="str">
        <f aca="false">IF(Students!A29="","",Students!D29)</f>
        <v/>
      </c>
    </row>
    <row r="37" customFormat="false" ht="15" hidden="false" customHeight="true" outlineLevel="0" collapsed="false">
      <c r="A37" s="11" t="str">
        <f aca="false">IF(Students!A30="","",Students!A30)</f>
        <v/>
      </c>
      <c r="B37" s="11" t="str">
        <f aca="false">IF(Students!A30="","",Students!B30)</f>
        <v/>
      </c>
      <c r="C37" s="11" t="str">
        <f aca="false">IF(Students!A30="","",Students!C30)</f>
        <v/>
      </c>
      <c r="D37" s="11" t="str">
        <f aca="false">IF(Students!A30="","",Students!G30)</f>
        <v/>
      </c>
      <c r="E37" s="11" t="str">
        <f aca="false">IF(Students!A30="","",Students!H30)</f>
        <v/>
      </c>
      <c r="F37" s="11" t="str">
        <f aca="false">IF(Students!A30="","",Students!I30)</f>
        <v/>
      </c>
      <c r="G37" s="7" t="str">
        <f aca="false">IF(Students!A30="","",Students!J30)</f>
        <v/>
      </c>
      <c r="H37" s="11" t="str">
        <f aca="false">IF(Students!A30="","",Students!K30)</f>
        <v/>
      </c>
      <c r="I37" s="11" t="str">
        <f aca="false">IF(Students!A30="","",Students!N30)</f>
        <v/>
      </c>
      <c r="J37" s="11" t="str">
        <f aca="false">IF(Students!A30="","",Students!Q30)</f>
        <v/>
      </c>
      <c r="K37" s="7" t="str">
        <f aca="false">IF(Students!A30="","",Students!L30)</f>
        <v/>
      </c>
      <c r="L37" s="11" t="str">
        <f aca="false">IF(Students!A30="","",Students!R30)</f>
        <v/>
      </c>
      <c r="M37" s="11" t="str">
        <f aca="false">IF(Students!A30="","",Students!D30)</f>
        <v/>
      </c>
    </row>
    <row r="38" customFormat="false" ht="15" hidden="false" customHeight="true" outlineLevel="0" collapsed="false">
      <c r="A38" s="11" t="str">
        <f aca="false">IF(Students!A31="","",Students!A31)</f>
        <v/>
      </c>
      <c r="B38" s="11" t="str">
        <f aca="false">IF(Students!A31="","",Students!B31)</f>
        <v/>
      </c>
      <c r="C38" s="11" t="str">
        <f aca="false">IF(Students!A31="","",Students!C31)</f>
        <v/>
      </c>
      <c r="D38" s="11" t="str">
        <f aca="false">IF(Students!A31="","",Students!G31)</f>
        <v/>
      </c>
      <c r="E38" s="11" t="str">
        <f aca="false">IF(Students!A31="","",Students!H31)</f>
        <v/>
      </c>
      <c r="F38" s="11" t="str">
        <f aca="false">IF(Students!A31="","",Students!I31)</f>
        <v/>
      </c>
      <c r="G38" s="7" t="str">
        <f aca="false">IF(Students!A31="","",Students!J31)</f>
        <v/>
      </c>
      <c r="H38" s="11" t="str">
        <f aca="false">IF(Students!A31="","",Students!K31)</f>
        <v/>
      </c>
      <c r="I38" s="11" t="str">
        <f aca="false">IF(Students!A31="","",Students!N31)</f>
        <v/>
      </c>
      <c r="J38" s="11" t="str">
        <f aca="false">IF(Students!A31="","",Students!Q31)</f>
        <v/>
      </c>
      <c r="K38" s="7" t="str">
        <f aca="false">IF(Students!A31="","",Students!L31)</f>
        <v/>
      </c>
      <c r="L38" s="11" t="str">
        <f aca="false">IF(Students!A31="","",Students!R31)</f>
        <v/>
      </c>
      <c r="M38" s="11" t="str">
        <f aca="false">IF(Students!A31="","",Students!D31)</f>
        <v/>
      </c>
    </row>
    <row r="39" customFormat="false" ht="15" hidden="false" customHeight="true" outlineLevel="0" collapsed="false">
      <c r="A39" s="11" t="str">
        <f aca="false">IF(Students!A32="","",Students!A32)</f>
        <v/>
      </c>
      <c r="B39" s="11" t="str">
        <f aca="false">IF(Students!A32="","",Students!B32)</f>
        <v/>
      </c>
      <c r="C39" s="11" t="str">
        <f aca="false">IF(Students!A32="","",Students!C32)</f>
        <v/>
      </c>
      <c r="D39" s="11" t="str">
        <f aca="false">IF(Students!A32="","",Students!G32)</f>
        <v/>
      </c>
      <c r="E39" s="11" t="str">
        <f aca="false">IF(Students!A32="","",Students!H32)</f>
        <v/>
      </c>
      <c r="F39" s="11" t="str">
        <f aca="false">IF(Students!A32="","",Students!I32)</f>
        <v/>
      </c>
      <c r="G39" s="7" t="str">
        <f aca="false">IF(Students!A32="","",Students!J32)</f>
        <v/>
      </c>
      <c r="H39" s="11" t="str">
        <f aca="false">IF(Students!A32="","",Students!K32)</f>
        <v/>
      </c>
      <c r="I39" s="11" t="str">
        <f aca="false">IF(Students!A32="","",Students!N32)</f>
        <v/>
      </c>
      <c r="J39" s="11" t="str">
        <f aca="false">IF(Students!A32="","",Students!Q32)</f>
        <v/>
      </c>
      <c r="K39" s="7" t="str">
        <f aca="false">IF(Students!A32="","",Students!L32)</f>
        <v/>
      </c>
      <c r="L39" s="11" t="str">
        <f aca="false">IF(Students!A32="","",Students!R32)</f>
        <v/>
      </c>
      <c r="M39" s="11" t="str">
        <f aca="false">IF(Students!A32="","",Students!D32)</f>
        <v/>
      </c>
    </row>
    <row r="40" customFormat="false" ht="15" hidden="false" customHeight="true" outlineLevel="0" collapsed="false">
      <c r="A40" s="11" t="str">
        <f aca="false">IF(Students!A33="","",Students!A33)</f>
        <v/>
      </c>
      <c r="B40" s="11" t="str">
        <f aca="false">IF(Students!A33="","",Students!B33)</f>
        <v/>
      </c>
      <c r="C40" s="11" t="str">
        <f aca="false">IF(Students!A33="","",Students!C33)</f>
        <v/>
      </c>
      <c r="D40" s="11" t="str">
        <f aca="false">IF(Students!A33="","",Students!G33)</f>
        <v/>
      </c>
      <c r="E40" s="11" t="str">
        <f aca="false">IF(Students!A33="","",Students!H33)</f>
        <v/>
      </c>
      <c r="F40" s="11" t="str">
        <f aca="false">IF(Students!A33="","",Students!I33)</f>
        <v/>
      </c>
      <c r="G40" s="7" t="str">
        <f aca="false">IF(Students!A33="","",Students!J33)</f>
        <v/>
      </c>
      <c r="H40" s="11" t="str">
        <f aca="false">IF(Students!A33="","",Students!K33)</f>
        <v/>
      </c>
      <c r="I40" s="11" t="str">
        <f aca="false">IF(Students!A33="","",Students!N33)</f>
        <v/>
      </c>
      <c r="J40" s="11" t="str">
        <f aca="false">IF(Students!A33="","",Students!Q33)</f>
        <v/>
      </c>
      <c r="K40" s="7" t="str">
        <f aca="false">IF(Students!A33="","",Students!L33)</f>
        <v/>
      </c>
      <c r="L40" s="11" t="str">
        <f aca="false">IF(Students!A33="","",Students!R33)</f>
        <v/>
      </c>
      <c r="M40" s="11" t="str">
        <f aca="false">IF(Students!A33="","",Students!D33)</f>
        <v/>
      </c>
    </row>
    <row r="41" customFormat="false" ht="15" hidden="false" customHeight="true" outlineLevel="0" collapsed="false">
      <c r="A41" s="11" t="str">
        <f aca="false">IF(Students!A34="","",Students!A34)</f>
        <v/>
      </c>
      <c r="B41" s="11" t="str">
        <f aca="false">IF(Students!A34="","",Students!B34)</f>
        <v/>
      </c>
      <c r="C41" s="11" t="str">
        <f aca="false">IF(Students!A34="","",Students!C34)</f>
        <v/>
      </c>
      <c r="D41" s="11" t="str">
        <f aca="false">IF(Students!A34="","",Students!G34)</f>
        <v/>
      </c>
      <c r="E41" s="11" t="str">
        <f aca="false">IF(Students!A34="","",Students!H34)</f>
        <v/>
      </c>
      <c r="F41" s="11" t="str">
        <f aca="false">IF(Students!A34="","",Students!I34)</f>
        <v/>
      </c>
      <c r="G41" s="7" t="str">
        <f aca="false">IF(Students!A34="","",Students!J34)</f>
        <v/>
      </c>
      <c r="H41" s="11" t="str">
        <f aca="false">IF(Students!A34="","",Students!K34)</f>
        <v/>
      </c>
      <c r="I41" s="11" t="str">
        <f aca="false">IF(Students!A34="","",Students!N34)</f>
        <v/>
      </c>
      <c r="J41" s="11" t="str">
        <f aca="false">IF(Students!A34="","",Students!Q34)</f>
        <v/>
      </c>
      <c r="K41" s="7" t="str">
        <f aca="false">IF(Students!A34="","",Students!L34)</f>
        <v/>
      </c>
      <c r="L41" s="11" t="str">
        <f aca="false">IF(Students!A34="","",Students!R34)</f>
        <v/>
      </c>
      <c r="M41" s="11" t="str">
        <f aca="false">IF(Students!A34="","",Students!D34)</f>
        <v/>
      </c>
    </row>
    <row r="42" customFormat="false" ht="15" hidden="false" customHeight="true" outlineLevel="0" collapsed="false">
      <c r="A42" s="11" t="str">
        <f aca="false">IF(Students!A35="","",Students!A35)</f>
        <v/>
      </c>
      <c r="B42" s="11" t="str">
        <f aca="false">IF(Students!A35="","",Students!B35)</f>
        <v/>
      </c>
      <c r="C42" s="11" t="str">
        <f aca="false">IF(Students!A35="","",Students!C35)</f>
        <v/>
      </c>
      <c r="D42" s="11" t="str">
        <f aca="false">IF(Students!A35="","",Students!G35)</f>
        <v/>
      </c>
      <c r="E42" s="11" t="str">
        <f aca="false">IF(Students!A35="","",Students!H35)</f>
        <v/>
      </c>
      <c r="F42" s="11" t="str">
        <f aca="false">IF(Students!A35="","",Students!I35)</f>
        <v/>
      </c>
      <c r="G42" s="7" t="str">
        <f aca="false">IF(Students!A35="","",Students!J35)</f>
        <v/>
      </c>
      <c r="H42" s="11" t="str">
        <f aca="false">IF(Students!A35="","",Students!K35)</f>
        <v/>
      </c>
      <c r="I42" s="11" t="str">
        <f aca="false">IF(Students!A35="","",Students!N35)</f>
        <v/>
      </c>
      <c r="J42" s="11" t="str">
        <f aca="false">IF(Students!A35="","",Students!Q35)</f>
        <v/>
      </c>
      <c r="K42" s="7" t="str">
        <f aca="false">IF(Students!A35="","",Students!L35)</f>
        <v/>
      </c>
      <c r="L42" s="11" t="str">
        <f aca="false">IF(Students!A35="","",Students!R35)</f>
        <v/>
      </c>
      <c r="M42" s="11" t="str">
        <f aca="false">IF(Students!A35="","",Students!D35)</f>
        <v/>
      </c>
    </row>
    <row r="43" customFormat="false" ht="15" hidden="false" customHeight="true" outlineLevel="0" collapsed="false">
      <c r="A43" s="11" t="str">
        <f aca="false">IF(Students!A36="","",Students!A36)</f>
        <v/>
      </c>
      <c r="B43" s="11" t="str">
        <f aca="false">IF(Students!A36="","",Students!B36)</f>
        <v/>
      </c>
      <c r="C43" s="11" t="str">
        <f aca="false">IF(Students!A36="","",Students!C36)</f>
        <v/>
      </c>
      <c r="D43" s="11" t="str">
        <f aca="false">IF(Students!A36="","",Students!G36)</f>
        <v/>
      </c>
      <c r="E43" s="11" t="str">
        <f aca="false">IF(Students!A36="","",Students!H36)</f>
        <v/>
      </c>
      <c r="F43" s="11" t="str">
        <f aca="false">IF(Students!A36="","",Students!I36)</f>
        <v/>
      </c>
      <c r="G43" s="7" t="str">
        <f aca="false">IF(Students!A36="","",Students!J36)</f>
        <v/>
      </c>
      <c r="H43" s="11" t="str">
        <f aca="false">IF(Students!A36="","",Students!K36)</f>
        <v/>
      </c>
      <c r="I43" s="11" t="str">
        <f aca="false">IF(Students!A36="","",Students!N36)</f>
        <v/>
      </c>
      <c r="J43" s="11" t="str">
        <f aca="false">IF(Students!A36="","",Students!Q36)</f>
        <v/>
      </c>
      <c r="K43" s="7" t="str">
        <f aca="false">IF(Students!A36="","",Students!L36)</f>
        <v/>
      </c>
      <c r="L43" s="11" t="str">
        <f aca="false">IF(Students!A36="","",Students!R36)</f>
        <v/>
      </c>
      <c r="M43" s="11" t="str">
        <f aca="false">IF(Students!A36="","",Students!D36)</f>
        <v/>
      </c>
    </row>
    <row r="44" customFormat="false" ht="15" hidden="false" customHeight="true" outlineLevel="0" collapsed="false">
      <c r="A44" s="11" t="str">
        <f aca="false">IF(Students!A37="","",Students!A37)</f>
        <v/>
      </c>
      <c r="B44" s="11" t="str">
        <f aca="false">IF(Students!A37="","",Students!B37)</f>
        <v/>
      </c>
      <c r="C44" s="11" t="str">
        <f aca="false">IF(Students!A37="","",Students!C37)</f>
        <v/>
      </c>
      <c r="D44" s="11" t="str">
        <f aca="false">IF(Students!A37="","",Students!G37)</f>
        <v/>
      </c>
      <c r="E44" s="11" t="str">
        <f aca="false">IF(Students!A37="","",Students!H37)</f>
        <v/>
      </c>
      <c r="F44" s="11" t="str">
        <f aca="false">IF(Students!A37="","",Students!I37)</f>
        <v/>
      </c>
      <c r="G44" s="7" t="str">
        <f aca="false">IF(Students!A37="","",Students!J37)</f>
        <v/>
      </c>
      <c r="H44" s="11" t="str">
        <f aca="false">IF(Students!A37="","",Students!K37)</f>
        <v/>
      </c>
      <c r="I44" s="11" t="str">
        <f aca="false">IF(Students!A37="","",Students!N37)</f>
        <v/>
      </c>
      <c r="J44" s="11" t="str">
        <f aca="false">IF(Students!A37="","",Students!Q37)</f>
        <v/>
      </c>
      <c r="K44" s="7" t="str">
        <f aca="false">IF(Students!A37="","",Students!L37)</f>
        <v/>
      </c>
      <c r="L44" s="11" t="str">
        <f aca="false">IF(Students!A37="","",Students!R37)</f>
        <v/>
      </c>
      <c r="M44" s="11" t="str">
        <f aca="false">IF(Students!A37="","",Students!D37)</f>
        <v/>
      </c>
    </row>
    <row r="45" customFormat="false" ht="15" hidden="false" customHeight="true" outlineLevel="0" collapsed="false">
      <c r="A45" s="11" t="str">
        <f aca="false">IF(Students!A38="","",Students!A38)</f>
        <v/>
      </c>
      <c r="B45" s="11" t="str">
        <f aca="false">IF(Students!A38="","",Students!B38)</f>
        <v/>
      </c>
      <c r="C45" s="11" t="str">
        <f aca="false">IF(Students!A38="","",Students!C38)</f>
        <v/>
      </c>
      <c r="D45" s="11" t="str">
        <f aca="false">IF(Students!A38="","",Students!G38)</f>
        <v/>
      </c>
      <c r="E45" s="11" t="str">
        <f aca="false">IF(Students!A38="","",Students!H38)</f>
        <v/>
      </c>
      <c r="F45" s="11" t="str">
        <f aca="false">IF(Students!A38="","",Students!I38)</f>
        <v/>
      </c>
      <c r="G45" s="7" t="str">
        <f aca="false">IF(Students!A38="","",Students!J38)</f>
        <v/>
      </c>
      <c r="H45" s="11" t="str">
        <f aca="false">IF(Students!A38="","",Students!K38)</f>
        <v/>
      </c>
      <c r="I45" s="11" t="str">
        <f aca="false">IF(Students!A38="","",Students!N38)</f>
        <v/>
      </c>
      <c r="J45" s="11" t="str">
        <f aca="false">IF(Students!A38="","",Students!Q38)</f>
        <v/>
      </c>
      <c r="K45" s="7" t="str">
        <f aca="false">IF(Students!A38="","",Students!L38)</f>
        <v/>
      </c>
      <c r="L45" s="11" t="str">
        <f aca="false">IF(Students!A38="","",Students!R38)</f>
        <v/>
      </c>
      <c r="M45" s="11" t="str">
        <f aca="false">IF(Students!A38="","",Students!D38)</f>
        <v/>
      </c>
    </row>
    <row r="46" customFormat="false" ht="15" hidden="false" customHeight="true" outlineLevel="0" collapsed="false">
      <c r="A46" s="11" t="str">
        <f aca="false">IF(Students!A39="","",Students!A39)</f>
        <v/>
      </c>
      <c r="B46" s="11" t="str">
        <f aca="false">IF(Students!A39="","",Students!B39)</f>
        <v/>
      </c>
      <c r="C46" s="11" t="str">
        <f aca="false">IF(Students!A39="","",Students!C39)</f>
        <v/>
      </c>
      <c r="D46" s="11" t="str">
        <f aca="false">IF(Students!A39="","",Students!G39)</f>
        <v/>
      </c>
      <c r="E46" s="11" t="str">
        <f aca="false">IF(Students!A39="","",Students!H39)</f>
        <v/>
      </c>
      <c r="F46" s="11" t="str">
        <f aca="false">IF(Students!A39="","",Students!I39)</f>
        <v/>
      </c>
      <c r="G46" s="7" t="str">
        <f aca="false">IF(Students!A39="","",Students!J39)</f>
        <v/>
      </c>
      <c r="H46" s="11" t="str">
        <f aca="false">IF(Students!A39="","",Students!K39)</f>
        <v/>
      </c>
      <c r="I46" s="11" t="str">
        <f aca="false">IF(Students!A39="","",Students!N39)</f>
        <v/>
      </c>
      <c r="J46" s="11" t="str">
        <f aca="false">IF(Students!A39="","",Students!Q39)</f>
        <v/>
      </c>
      <c r="K46" s="7" t="str">
        <f aca="false">IF(Students!A39="","",Students!L39)</f>
        <v/>
      </c>
      <c r="L46" s="11" t="str">
        <f aca="false">IF(Students!A39="","",Students!R39)</f>
        <v/>
      </c>
      <c r="M46" s="11" t="str">
        <f aca="false">IF(Students!A39="","",Students!D39)</f>
        <v/>
      </c>
    </row>
    <row r="47" customFormat="false" ht="15" hidden="false" customHeight="true" outlineLevel="0" collapsed="false">
      <c r="A47" s="11" t="str">
        <f aca="false">IF(Students!A40="","",Students!A40)</f>
        <v/>
      </c>
      <c r="B47" s="11" t="str">
        <f aca="false">IF(Students!A40="","",Students!B40)</f>
        <v/>
      </c>
      <c r="C47" s="11" t="str">
        <f aca="false">IF(Students!A40="","",Students!C40)</f>
        <v/>
      </c>
      <c r="D47" s="11" t="str">
        <f aca="false">IF(Students!A40="","",Students!G40)</f>
        <v/>
      </c>
      <c r="E47" s="11" t="str">
        <f aca="false">IF(Students!A40="","",Students!H40)</f>
        <v/>
      </c>
      <c r="F47" s="11" t="str">
        <f aca="false">IF(Students!A40="","",Students!I40)</f>
        <v/>
      </c>
      <c r="G47" s="7" t="str">
        <f aca="false">IF(Students!A40="","",Students!J40)</f>
        <v/>
      </c>
      <c r="H47" s="11" t="str">
        <f aca="false">IF(Students!A40="","",Students!K40)</f>
        <v/>
      </c>
      <c r="I47" s="11" t="str">
        <f aca="false">IF(Students!A40="","",Students!N40)</f>
        <v/>
      </c>
      <c r="J47" s="11" t="str">
        <f aca="false">IF(Students!A40="","",Students!Q40)</f>
        <v/>
      </c>
      <c r="K47" s="7" t="str">
        <f aca="false">IF(Students!A40="","",Students!L40)</f>
        <v/>
      </c>
      <c r="L47" s="11" t="str">
        <f aca="false">IF(Students!A40="","",Students!R40)</f>
        <v/>
      </c>
      <c r="M47" s="11" t="str">
        <f aca="false">IF(Students!A40="","",Students!D40)</f>
        <v/>
      </c>
    </row>
    <row r="48" customFormat="false" ht="15" hidden="false" customHeight="true" outlineLevel="0" collapsed="false">
      <c r="A48" s="11" t="str">
        <f aca="false">IF(Students!A41="","",Students!A41)</f>
        <v/>
      </c>
      <c r="B48" s="11" t="str">
        <f aca="false">IF(Students!A41="","",Students!B41)</f>
        <v/>
      </c>
      <c r="C48" s="11" t="str">
        <f aca="false">IF(Students!A41="","",Students!C41)</f>
        <v/>
      </c>
      <c r="D48" s="11" t="str">
        <f aca="false">IF(Students!A41="","",Students!G41)</f>
        <v/>
      </c>
      <c r="E48" s="11" t="str">
        <f aca="false">IF(Students!A41="","",Students!H41)</f>
        <v/>
      </c>
      <c r="F48" s="11" t="str">
        <f aca="false">IF(Students!A41="","",Students!I41)</f>
        <v/>
      </c>
      <c r="G48" s="7" t="str">
        <f aca="false">IF(Students!A41="","",Students!J41)</f>
        <v/>
      </c>
      <c r="H48" s="11" t="str">
        <f aca="false">IF(Students!A41="","",Students!K41)</f>
        <v/>
      </c>
      <c r="I48" s="11" t="str">
        <f aca="false">IF(Students!A41="","",Students!N41)</f>
        <v/>
      </c>
      <c r="J48" s="11" t="str">
        <f aca="false">IF(Students!A41="","",Students!Q41)</f>
        <v/>
      </c>
      <c r="K48" s="7" t="str">
        <f aca="false">IF(Students!A41="","",Students!L41)</f>
        <v/>
      </c>
      <c r="L48" s="11" t="str">
        <f aca="false">IF(Students!A41="","",Students!R41)</f>
        <v/>
      </c>
      <c r="M48" s="11" t="str">
        <f aca="false">IF(Students!A41="","",Students!D41)</f>
        <v/>
      </c>
    </row>
    <row r="49" customFormat="false" ht="15" hidden="false" customHeight="true" outlineLevel="0" collapsed="false">
      <c r="A49" s="11" t="str">
        <f aca="false">IF(Students!A42="","",Students!A42)</f>
        <v/>
      </c>
      <c r="B49" s="11" t="str">
        <f aca="false">IF(Students!A42="","",Students!B42)</f>
        <v/>
      </c>
      <c r="C49" s="11" t="str">
        <f aca="false">IF(Students!A42="","",Students!C42)</f>
        <v/>
      </c>
      <c r="D49" s="11" t="str">
        <f aca="false">IF(Students!A42="","",Students!G42)</f>
        <v/>
      </c>
      <c r="E49" s="11" t="str">
        <f aca="false">IF(Students!A42="","",Students!H42)</f>
        <v/>
      </c>
      <c r="F49" s="11" t="str">
        <f aca="false">IF(Students!A42="","",Students!I42)</f>
        <v/>
      </c>
      <c r="G49" s="7" t="str">
        <f aca="false">IF(Students!A42="","",Students!J42)</f>
        <v/>
      </c>
      <c r="H49" s="11" t="str">
        <f aca="false">IF(Students!A42="","",Students!K42)</f>
        <v/>
      </c>
      <c r="I49" s="11" t="str">
        <f aca="false">IF(Students!A42="","",Students!N42)</f>
        <v/>
      </c>
      <c r="J49" s="11" t="str">
        <f aca="false">IF(Students!A42="","",Students!Q42)</f>
        <v/>
      </c>
      <c r="K49" s="7" t="str">
        <f aca="false">IF(Students!A42="","",Students!L42)</f>
        <v/>
      </c>
      <c r="L49" s="11" t="str">
        <f aca="false">IF(Students!A42="","",Students!R42)</f>
        <v/>
      </c>
      <c r="M49" s="11" t="str">
        <f aca="false">IF(Students!A42="","",Students!D42)</f>
        <v/>
      </c>
    </row>
    <row r="50" customFormat="false" ht="15" hidden="false" customHeight="true" outlineLevel="0" collapsed="false">
      <c r="A50" s="11" t="str">
        <f aca="false">IF(Students!A43="","",Students!A43)</f>
        <v/>
      </c>
      <c r="B50" s="11" t="str">
        <f aca="false">IF(Students!A43="","",Students!B43)</f>
        <v/>
      </c>
      <c r="C50" s="11" t="str">
        <f aca="false">IF(Students!A43="","",Students!C43)</f>
        <v/>
      </c>
      <c r="D50" s="11" t="str">
        <f aca="false">IF(Students!A43="","",Students!G43)</f>
        <v/>
      </c>
      <c r="E50" s="11" t="str">
        <f aca="false">IF(Students!A43="","",Students!H43)</f>
        <v/>
      </c>
      <c r="F50" s="11" t="str">
        <f aca="false">IF(Students!A43="","",Students!I43)</f>
        <v/>
      </c>
      <c r="G50" s="7" t="str">
        <f aca="false">IF(Students!A43="","",Students!J43)</f>
        <v/>
      </c>
      <c r="H50" s="11" t="str">
        <f aca="false">IF(Students!A43="","",Students!K43)</f>
        <v/>
      </c>
      <c r="I50" s="11" t="str">
        <f aca="false">IF(Students!A43="","",Students!N43)</f>
        <v/>
      </c>
      <c r="J50" s="11" t="str">
        <f aca="false">IF(Students!A43="","",Students!Q43)</f>
        <v/>
      </c>
      <c r="K50" s="7" t="str">
        <f aca="false">IF(Students!A43="","",Students!L43)</f>
        <v/>
      </c>
      <c r="L50" s="11" t="str">
        <f aca="false">IF(Students!A43="","",Students!R43)</f>
        <v/>
      </c>
      <c r="M50" s="11" t="str">
        <f aca="false">IF(Students!A43="","",Students!D43)</f>
        <v/>
      </c>
    </row>
    <row r="51" customFormat="false" ht="15" hidden="false" customHeight="true" outlineLevel="0" collapsed="false">
      <c r="A51" s="11" t="str">
        <f aca="false">IF(Students!A44="","",Students!A44)</f>
        <v/>
      </c>
      <c r="B51" s="11" t="str">
        <f aca="false">IF(Students!A44="","",Students!B44)</f>
        <v/>
      </c>
      <c r="C51" s="11" t="str">
        <f aca="false">IF(Students!A44="","",Students!C44)</f>
        <v/>
      </c>
      <c r="D51" s="11" t="str">
        <f aca="false">IF(Students!A44="","",Students!G44)</f>
        <v/>
      </c>
      <c r="E51" s="11" t="str">
        <f aca="false">IF(Students!A44="","",Students!H44)</f>
        <v/>
      </c>
      <c r="F51" s="11" t="str">
        <f aca="false">IF(Students!A44="","",Students!I44)</f>
        <v/>
      </c>
      <c r="G51" s="7" t="str">
        <f aca="false">IF(Students!A44="","",Students!J44)</f>
        <v/>
      </c>
      <c r="H51" s="11" t="str">
        <f aca="false">IF(Students!A44="","",Students!K44)</f>
        <v/>
      </c>
      <c r="I51" s="11" t="str">
        <f aca="false">IF(Students!A44="","",Students!N44)</f>
        <v/>
      </c>
      <c r="J51" s="11" t="str">
        <f aca="false">IF(Students!A44="","",Students!Q44)</f>
        <v/>
      </c>
      <c r="K51" s="7" t="str">
        <f aca="false">IF(Students!A44="","",Students!L44)</f>
        <v/>
      </c>
      <c r="L51" s="11" t="str">
        <f aca="false">IF(Students!A44="","",Students!R44)</f>
        <v/>
      </c>
      <c r="M51" s="11" t="str">
        <f aca="false">IF(Students!A44="","",Students!D44)</f>
        <v/>
      </c>
    </row>
    <row r="52" customFormat="false" ht="15" hidden="false" customHeight="true" outlineLevel="0" collapsed="false">
      <c r="A52" s="11" t="str">
        <f aca="false">IF(Students!A45="","",Students!A45)</f>
        <v/>
      </c>
      <c r="B52" s="11" t="str">
        <f aca="false">IF(Students!A45="","",Students!B45)</f>
        <v/>
      </c>
      <c r="C52" s="11" t="str">
        <f aca="false">IF(Students!A45="","",Students!C45)</f>
        <v/>
      </c>
      <c r="D52" s="11" t="str">
        <f aca="false">IF(Students!A45="","",Students!G45)</f>
        <v/>
      </c>
      <c r="E52" s="11" t="str">
        <f aca="false">IF(Students!A45="","",Students!H45)</f>
        <v/>
      </c>
      <c r="F52" s="11" t="str">
        <f aca="false">IF(Students!A45="","",Students!I45)</f>
        <v/>
      </c>
      <c r="G52" s="7" t="str">
        <f aca="false">IF(Students!A45="","",Students!J45)</f>
        <v/>
      </c>
      <c r="H52" s="11" t="str">
        <f aca="false">IF(Students!A45="","",Students!K45)</f>
        <v/>
      </c>
      <c r="I52" s="11" t="str">
        <f aca="false">IF(Students!A45="","",Students!N45)</f>
        <v/>
      </c>
      <c r="J52" s="11" t="str">
        <f aca="false">IF(Students!A45="","",Students!Q45)</f>
        <v/>
      </c>
      <c r="K52" s="7" t="str">
        <f aca="false">IF(Students!A45="","",Students!L45)</f>
        <v/>
      </c>
      <c r="L52" s="11" t="str">
        <f aca="false">IF(Students!A45="","",Students!R45)</f>
        <v/>
      </c>
      <c r="M52" s="11" t="str">
        <f aca="false">IF(Students!A45="","",Students!D45)</f>
        <v/>
      </c>
    </row>
    <row r="53" customFormat="false" ht="15" hidden="false" customHeight="true" outlineLevel="0" collapsed="false">
      <c r="A53" s="11" t="str">
        <f aca="false">IF(Students!A46="","",Students!A46)</f>
        <v/>
      </c>
      <c r="B53" s="11" t="str">
        <f aca="false">IF(Students!A46="","",Students!B46)</f>
        <v/>
      </c>
      <c r="C53" s="11" t="str">
        <f aca="false">IF(Students!A46="","",Students!C46)</f>
        <v/>
      </c>
      <c r="D53" s="11" t="str">
        <f aca="false">IF(Students!A46="","",Students!G46)</f>
        <v/>
      </c>
      <c r="E53" s="11" t="str">
        <f aca="false">IF(Students!A46="","",Students!H46)</f>
        <v/>
      </c>
      <c r="F53" s="11" t="str">
        <f aca="false">IF(Students!A46="","",Students!I46)</f>
        <v/>
      </c>
      <c r="G53" s="7" t="str">
        <f aca="false">IF(Students!A46="","",Students!J46)</f>
        <v/>
      </c>
      <c r="H53" s="11" t="str">
        <f aca="false">IF(Students!A46="","",Students!K46)</f>
        <v/>
      </c>
      <c r="I53" s="11" t="str">
        <f aca="false">IF(Students!A46="","",Students!N46)</f>
        <v/>
      </c>
      <c r="J53" s="11" t="str">
        <f aca="false">IF(Students!A46="","",Students!Q46)</f>
        <v/>
      </c>
      <c r="K53" s="7" t="str">
        <f aca="false">IF(Students!A46="","",Students!L46)</f>
        <v/>
      </c>
      <c r="L53" s="11" t="str">
        <f aca="false">IF(Students!A46="","",Students!R46)</f>
        <v/>
      </c>
      <c r="M53" s="11" t="str">
        <f aca="false">IF(Students!A46="","",Students!D46)</f>
        <v/>
      </c>
    </row>
    <row r="54" customFormat="false" ht="15" hidden="false" customHeight="true" outlineLevel="0" collapsed="false">
      <c r="A54" s="11" t="str">
        <f aca="false">IF(Students!A47="","",Students!A47)</f>
        <v/>
      </c>
      <c r="B54" s="11" t="str">
        <f aca="false">IF(Students!A47="","",Students!B47)</f>
        <v/>
      </c>
      <c r="C54" s="11" t="str">
        <f aca="false">IF(Students!A47="","",Students!C47)</f>
        <v/>
      </c>
      <c r="D54" s="11" t="str">
        <f aca="false">IF(Students!A47="","",Students!G47)</f>
        <v/>
      </c>
      <c r="E54" s="11" t="str">
        <f aca="false">IF(Students!A47="","",Students!H47)</f>
        <v/>
      </c>
      <c r="F54" s="11" t="str">
        <f aca="false">IF(Students!A47="","",Students!I47)</f>
        <v/>
      </c>
      <c r="G54" s="7" t="str">
        <f aca="false">IF(Students!A47="","",Students!J47)</f>
        <v/>
      </c>
      <c r="H54" s="11" t="str">
        <f aca="false">IF(Students!A47="","",Students!K47)</f>
        <v/>
      </c>
      <c r="I54" s="11" t="str">
        <f aca="false">IF(Students!A47="","",Students!N47)</f>
        <v/>
      </c>
      <c r="J54" s="11" t="str">
        <f aca="false">IF(Students!A47="","",Students!Q47)</f>
        <v/>
      </c>
      <c r="K54" s="7" t="str">
        <f aca="false">IF(Students!A47="","",Students!L47)</f>
        <v/>
      </c>
      <c r="L54" s="11" t="str">
        <f aca="false">IF(Students!A47="","",Students!R47)</f>
        <v/>
      </c>
      <c r="M54" s="11" t="str">
        <f aca="false">IF(Students!A47="","",Students!D47)</f>
        <v/>
      </c>
    </row>
    <row r="55" customFormat="false" ht="15" hidden="false" customHeight="true" outlineLevel="0" collapsed="false">
      <c r="A55" s="11" t="str">
        <f aca="false">IF(Students!A48="","",Students!A48)</f>
        <v/>
      </c>
      <c r="B55" s="11" t="str">
        <f aca="false">IF(Students!A48="","",Students!B48)</f>
        <v/>
      </c>
      <c r="C55" s="11" t="str">
        <f aca="false">IF(Students!A48="","",Students!C48)</f>
        <v/>
      </c>
      <c r="D55" s="11" t="str">
        <f aca="false">IF(Students!A48="","",Students!G48)</f>
        <v/>
      </c>
      <c r="E55" s="11" t="str">
        <f aca="false">IF(Students!A48="","",Students!H48)</f>
        <v/>
      </c>
      <c r="F55" s="11" t="str">
        <f aca="false">IF(Students!A48="","",Students!I48)</f>
        <v/>
      </c>
      <c r="G55" s="7" t="str">
        <f aca="false">IF(Students!A48="","",Students!J48)</f>
        <v/>
      </c>
      <c r="H55" s="11" t="str">
        <f aca="false">IF(Students!A48="","",Students!K48)</f>
        <v/>
      </c>
      <c r="I55" s="11" t="str">
        <f aca="false">IF(Students!A48="","",Students!N48)</f>
        <v/>
      </c>
      <c r="J55" s="11" t="str">
        <f aca="false">IF(Students!A48="","",Students!Q48)</f>
        <v/>
      </c>
      <c r="K55" s="7" t="str">
        <f aca="false">IF(Students!A48="","",Students!L48)</f>
        <v/>
      </c>
      <c r="L55" s="11" t="str">
        <f aca="false">IF(Students!A48="","",Students!R48)</f>
        <v/>
      </c>
      <c r="M55" s="11" t="str">
        <f aca="false">IF(Students!A48="","",Students!D48)</f>
        <v/>
      </c>
    </row>
    <row r="56" customFormat="false" ht="15" hidden="false" customHeight="true" outlineLevel="0" collapsed="false">
      <c r="A56" s="11" t="str">
        <f aca="false">IF(Students!A49="","",Students!A49)</f>
        <v/>
      </c>
      <c r="B56" s="11" t="str">
        <f aca="false">IF(Students!A49="","",Students!B49)</f>
        <v/>
      </c>
      <c r="C56" s="11" t="str">
        <f aca="false">IF(Students!A49="","",Students!C49)</f>
        <v/>
      </c>
      <c r="D56" s="11" t="str">
        <f aca="false">IF(Students!A49="","",Students!G49)</f>
        <v/>
      </c>
      <c r="E56" s="11" t="str">
        <f aca="false">IF(Students!A49="","",Students!H49)</f>
        <v/>
      </c>
      <c r="F56" s="11" t="str">
        <f aca="false">IF(Students!A49="","",Students!I49)</f>
        <v/>
      </c>
      <c r="G56" s="7" t="str">
        <f aca="false">IF(Students!A49="","",Students!J49)</f>
        <v/>
      </c>
      <c r="H56" s="11" t="str">
        <f aca="false">IF(Students!A49="","",Students!K49)</f>
        <v/>
      </c>
      <c r="I56" s="11" t="str">
        <f aca="false">IF(Students!A49="","",Students!N49)</f>
        <v/>
      </c>
      <c r="J56" s="11" t="str">
        <f aca="false">IF(Students!A49="","",Students!Q49)</f>
        <v/>
      </c>
      <c r="K56" s="7" t="str">
        <f aca="false">IF(Students!A49="","",Students!L49)</f>
        <v/>
      </c>
      <c r="L56" s="11" t="str">
        <f aca="false">IF(Students!A49="","",Students!R49)</f>
        <v/>
      </c>
      <c r="M56" s="11" t="str">
        <f aca="false">IF(Students!A49="","",Students!D49)</f>
        <v/>
      </c>
    </row>
    <row r="57" customFormat="false" ht="15" hidden="false" customHeight="true" outlineLevel="0" collapsed="false">
      <c r="A57" s="11" t="str">
        <f aca="false">IF(Students!A50="","",Students!A50)</f>
        <v/>
      </c>
      <c r="B57" s="11" t="str">
        <f aca="false">IF(Students!A50="","",Students!B50)</f>
        <v/>
      </c>
      <c r="C57" s="11" t="str">
        <f aca="false">IF(Students!A50="","",Students!C50)</f>
        <v/>
      </c>
      <c r="D57" s="11" t="str">
        <f aca="false">IF(Students!A50="","",Students!G50)</f>
        <v/>
      </c>
      <c r="E57" s="11" t="str">
        <f aca="false">IF(Students!A50="","",Students!H50)</f>
        <v/>
      </c>
      <c r="F57" s="11" t="str">
        <f aca="false">IF(Students!A50="","",Students!I50)</f>
        <v/>
      </c>
      <c r="G57" s="7" t="str">
        <f aca="false">IF(Students!A50="","",Students!J50)</f>
        <v/>
      </c>
      <c r="H57" s="11" t="str">
        <f aca="false">IF(Students!A50="","",Students!K50)</f>
        <v/>
      </c>
      <c r="I57" s="11" t="str">
        <f aca="false">IF(Students!A50="","",Students!N50)</f>
        <v/>
      </c>
      <c r="J57" s="11" t="str">
        <f aca="false">IF(Students!A50="","",Students!Q50)</f>
        <v/>
      </c>
      <c r="K57" s="7" t="str">
        <f aca="false">IF(Students!A50="","",Students!L50)</f>
        <v/>
      </c>
      <c r="L57" s="11" t="str">
        <f aca="false">IF(Students!A50="","",Students!R50)</f>
        <v/>
      </c>
      <c r="M57" s="11" t="str">
        <f aca="false">IF(Students!A50="","",Students!D50)</f>
        <v/>
      </c>
    </row>
    <row r="58" customFormat="false" ht="15" hidden="false" customHeight="true" outlineLevel="0" collapsed="false">
      <c r="A58" s="11" t="str">
        <f aca="false">IF(Students!A51="","",Students!A51)</f>
        <v/>
      </c>
      <c r="B58" s="11" t="str">
        <f aca="false">IF(Students!A51="","",Students!B51)</f>
        <v/>
      </c>
      <c r="C58" s="11" t="str">
        <f aca="false">IF(Students!A51="","",Students!C51)</f>
        <v/>
      </c>
      <c r="D58" s="11" t="str">
        <f aca="false">IF(Students!A51="","",Students!G51)</f>
        <v/>
      </c>
      <c r="E58" s="11" t="str">
        <f aca="false">IF(Students!A51="","",Students!H51)</f>
        <v/>
      </c>
      <c r="F58" s="11" t="str">
        <f aca="false">IF(Students!A51="","",Students!I51)</f>
        <v/>
      </c>
      <c r="G58" s="7" t="str">
        <f aca="false">IF(Students!A51="","",Students!J51)</f>
        <v/>
      </c>
      <c r="H58" s="11" t="str">
        <f aca="false">IF(Students!A51="","",Students!K51)</f>
        <v/>
      </c>
      <c r="I58" s="11" t="str">
        <f aca="false">IF(Students!A51="","",Students!N51)</f>
        <v/>
      </c>
      <c r="J58" s="11" t="str">
        <f aca="false">IF(Students!A51="","",Students!Q51)</f>
        <v/>
      </c>
      <c r="K58" s="7" t="str">
        <f aca="false">IF(Students!A51="","",Students!L51)</f>
        <v/>
      </c>
      <c r="L58" s="11" t="str">
        <f aca="false">IF(Students!A51="","",Students!R51)</f>
        <v/>
      </c>
      <c r="M58" s="11" t="str">
        <f aca="false">IF(Students!A51="","",Students!D51)</f>
        <v/>
      </c>
    </row>
    <row r="59" customFormat="false" ht="15" hidden="false" customHeight="true" outlineLevel="0" collapsed="false">
      <c r="A59" s="11" t="str">
        <f aca="false">IF(Students!A52="","",Students!A52)</f>
        <v/>
      </c>
      <c r="B59" s="11" t="str">
        <f aca="false">IF(Students!A52="","",Students!B52)</f>
        <v/>
      </c>
      <c r="C59" s="11" t="str">
        <f aca="false">IF(Students!A52="","",Students!C52)</f>
        <v/>
      </c>
      <c r="D59" s="11" t="str">
        <f aca="false">IF(Students!A52="","",Students!G52)</f>
        <v/>
      </c>
      <c r="E59" s="11" t="str">
        <f aca="false">IF(Students!A52="","",Students!H52)</f>
        <v/>
      </c>
      <c r="F59" s="11" t="str">
        <f aca="false">IF(Students!A52="","",Students!I52)</f>
        <v/>
      </c>
      <c r="G59" s="7" t="str">
        <f aca="false">IF(Students!A52="","",Students!J52)</f>
        <v/>
      </c>
      <c r="H59" s="11" t="str">
        <f aca="false">IF(Students!A52="","",Students!K52)</f>
        <v/>
      </c>
      <c r="I59" s="11" t="str">
        <f aca="false">IF(Students!A52="","",Students!N52)</f>
        <v/>
      </c>
      <c r="J59" s="11" t="str">
        <f aca="false">IF(Students!A52="","",Students!Q52)</f>
        <v/>
      </c>
      <c r="K59" s="7" t="str">
        <f aca="false">IF(Students!A52="","",Students!L52)</f>
        <v/>
      </c>
      <c r="L59" s="11" t="str">
        <f aca="false">IF(Students!A52="","",Students!R52)</f>
        <v/>
      </c>
      <c r="M59" s="11" t="str">
        <f aca="false">IF(Students!A52="","",Students!D52)</f>
        <v/>
      </c>
    </row>
    <row r="60" customFormat="false" ht="15" hidden="false" customHeight="true" outlineLevel="0" collapsed="false">
      <c r="A60" s="11" t="str">
        <f aca="false">IF(Students!A53="","",Students!A53)</f>
        <v/>
      </c>
      <c r="B60" s="11" t="str">
        <f aca="false">IF(Students!A53="","",Students!B53)</f>
        <v/>
      </c>
      <c r="C60" s="11" t="str">
        <f aca="false">IF(Students!A53="","",Students!C53)</f>
        <v/>
      </c>
      <c r="D60" s="11" t="str">
        <f aca="false">IF(Students!A53="","",Students!G53)</f>
        <v/>
      </c>
      <c r="E60" s="11" t="str">
        <f aca="false">IF(Students!A53="","",Students!H53)</f>
        <v/>
      </c>
      <c r="F60" s="11" t="str">
        <f aca="false">IF(Students!A53="","",Students!I53)</f>
        <v/>
      </c>
      <c r="G60" s="7" t="str">
        <f aca="false">IF(Students!A53="","",Students!J53)</f>
        <v/>
      </c>
      <c r="H60" s="11" t="str">
        <f aca="false">IF(Students!A53="","",Students!K53)</f>
        <v/>
      </c>
      <c r="I60" s="11" t="str">
        <f aca="false">IF(Students!A53="","",Students!N53)</f>
        <v/>
      </c>
      <c r="J60" s="11" t="str">
        <f aca="false">IF(Students!A53="","",Students!Q53)</f>
        <v/>
      </c>
      <c r="K60" s="7" t="str">
        <f aca="false">IF(Students!A53="","",Students!L53)</f>
        <v/>
      </c>
      <c r="L60" s="11" t="str">
        <f aca="false">IF(Students!A53="","",Students!R53)</f>
        <v/>
      </c>
      <c r="M60" s="11" t="str">
        <f aca="false">IF(Students!A53="","",Students!D53)</f>
        <v/>
      </c>
    </row>
    <row r="64" customFormat="false" ht="15" hidden="false" customHeight="true" outlineLevel="0" collapsed="false">
      <c r="A64" s="12" t="s">
        <v>33</v>
      </c>
      <c r="B64" s="12" t="n">
        <f aca="false">COUNTIF(Students!$C$4:$C$203,A64)</f>
        <v>1</v>
      </c>
      <c r="D64" s="12" t="s">
        <v>18</v>
      </c>
      <c r="E64" s="12" t="n">
        <f aca="false">COUNTIF(Students!$Q$4:$Q$203,D64)</f>
        <v>4</v>
      </c>
    </row>
    <row r="65" customFormat="false" ht="15" hidden="false" customHeight="true" outlineLevel="0" collapsed="false">
      <c r="A65" s="12" t="s">
        <v>34</v>
      </c>
      <c r="B65" s="12" t="n">
        <f aca="false">COUNTIF(Students!$C$4:$C$203,A65)</f>
        <v>1</v>
      </c>
      <c r="D65" s="12" t="s">
        <v>19</v>
      </c>
      <c r="E65" s="12" t="n">
        <f aca="false">COUNTIF(Students!$Q$4:$Q$203,D65)</f>
        <v>0</v>
      </c>
    </row>
    <row r="66" customFormat="false" ht="15" hidden="false" customHeight="true" outlineLevel="0" collapsed="false">
      <c r="A66" s="12" t="s">
        <v>35</v>
      </c>
      <c r="B66" s="12" t="n">
        <f aca="false">COUNTIF(Students!$C$4:$C$203,A66)</f>
        <v>1</v>
      </c>
      <c r="D66" s="12" t="s">
        <v>20</v>
      </c>
      <c r="E66" s="12" t="n">
        <f aca="false">COUNTIF(Students!$Q$4:$Q$203,D66)</f>
        <v>0</v>
      </c>
    </row>
    <row r="67" customFormat="false" ht="15" hidden="false" customHeight="true" outlineLevel="0" collapsed="false">
      <c r="A67" s="12" t="s">
        <v>36</v>
      </c>
      <c r="B67" s="12" t="n">
        <f aca="false">COUNTIF(Students!$C$4:$C$203,A67)</f>
        <v>1</v>
      </c>
    </row>
  </sheetData>
  <autoFilter ref="A10:M60"/>
  <mergeCells count="9">
    <mergeCell ref="A1:M1"/>
    <mergeCell ref="A5:B5"/>
    <mergeCell ref="D5:E5"/>
    <mergeCell ref="G5:H5"/>
    <mergeCell ref="J5:K5"/>
    <mergeCell ref="A6:B6"/>
    <mergeCell ref="D6:E6"/>
    <mergeCell ref="G6:H6"/>
    <mergeCell ref="J6:K6"/>
  </mergeCells>
  <conditionalFormatting sqref="J11:J60">
    <cfRule type="expression" priority="2" aboveAverage="0" equalAverage="0" bottom="0" percent="0" rank="0" text="" dxfId="5">
      <formula>J11="GREEN"</formula>
    </cfRule>
    <cfRule type="expression" priority="3" aboveAverage="0" equalAverage="0" bottom="0" percent="0" rank="0" text="" dxfId="6">
      <formula>J11="YELLOW"</formula>
    </cfRule>
    <cfRule type="expression" priority="4" aboveAverage="0" equalAverage="0" bottom="0" percent="0" rank="0" text="" dxfId="7">
      <formula>J11="RED"</formula>
    </cfRule>
  </conditionalFormatting>
  <conditionalFormatting sqref="H11:H60"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55"/>
  </cols>
  <sheetData>
    <row r="1" customFormat="false" ht="27.75" hidden="false" customHeight="true" outlineLevel="0" collapsed="false">
      <c r="A1" s="5" t="s">
        <v>37</v>
      </c>
      <c r="B1" s="5"/>
      <c r="C1" s="5"/>
      <c r="D1" s="5"/>
      <c r="E1" s="5"/>
    </row>
    <row r="3" customFormat="false" ht="31.5" hidden="false" customHeight="true" outlineLevel="0" collapsed="false">
      <c r="A3" s="10" t="s">
        <v>38</v>
      </c>
      <c r="B3" s="10" t="s">
        <v>39</v>
      </c>
      <c r="C3" s="10" t="s">
        <v>40</v>
      </c>
    </row>
    <row r="4" customFormat="false" ht="15" hidden="false" customHeight="true" outlineLevel="0" collapsed="false">
      <c r="A4" s="13" t="s">
        <v>41</v>
      </c>
      <c r="B4" s="14" t="n">
        <v>10</v>
      </c>
      <c r="C4" s="13" t="s">
        <v>42</v>
      </c>
    </row>
    <row r="5" customFormat="false" ht="15" hidden="false" customHeight="true" outlineLevel="0" collapsed="false">
      <c r="A5" s="13" t="s">
        <v>43</v>
      </c>
      <c r="B5" s="14" t="n">
        <v>2</v>
      </c>
      <c r="C5" s="13" t="s">
        <v>44</v>
      </c>
    </row>
    <row r="6" customFormat="false" ht="15" hidden="false" customHeight="true" outlineLevel="0" collapsed="false">
      <c r="A6" s="13" t="s">
        <v>45</v>
      </c>
      <c r="B6" s="14" t="n">
        <v>4</v>
      </c>
      <c r="C6" s="13" t="s">
        <v>46</v>
      </c>
    </row>
    <row r="7" customFormat="false" ht="15" hidden="false" customHeight="true" outlineLevel="0" collapsed="false">
      <c r="A7" s="13" t="s">
        <v>47</v>
      </c>
      <c r="B7" s="14" t="n">
        <v>7</v>
      </c>
      <c r="C7" s="13" t="s">
        <v>48</v>
      </c>
    </row>
    <row r="8" customFormat="false" ht="15" hidden="false" customHeight="true" outlineLevel="0" collapsed="false">
      <c r="A8" s="13" t="s">
        <v>49</v>
      </c>
      <c r="B8" s="14" t="n">
        <v>2</v>
      </c>
      <c r="C8" s="13" t="s">
        <v>50</v>
      </c>
    </row>
  </sheetData>
  <mergeCells count="1">
    <mergeCell ref="A1:E1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" width="22"/>
  </cols>
  <sheetData>
    <row r="1" customFormat="false" ht="27.75" hidden="false" customHeight="true" outlineLevel="0" collapsed="false">
      <c r="A1" s="5" t="s">
        <v>51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15" t="s">
        <v>23</v>
      </c>
      <c r="B2" s="15" t="s">
        <v>52</v>
      </c>
      <c r="C2" s="15" t="s">
        <v>7</v>
      </c>
      <c r="D2" s="15" t="s">
        <v>53</v>
      </c>
      <c r="E2" s="15" t="s">
        <v>54</v>
      </c>
      <c r="F2" s="15" t="s">
        <v>55</v>
      </c>
      <c r="G2" s="15" t="s">
        <v>56</v>
      </c>
      <c r="H2" s="15" t="s">
        <v>57</v>
      </c>
    </row>
    <row r="3" customFormat="false" ht="15" hidden="false" customHeight="true" outlineLevel="0" collapsed="false">
      <c r="A3" s="12" t="s">
        <v>33</v>
      </c>
      <c r="B3" s="12" t="s">
        <v>58</v>
      </c>
      <c r="C3" s="12" t="s">
        <v>18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</row>
    <row r="4" customFormat="false" ht="15" hidden="false" customHeight="true" outlineLevel="0" collapsed="false">
      <c r="A4" s="12" t="s">
        <v>34</v>
      </c>
      <c r="B4" s="12" t="s">
        <v>64</v>
      </c>
      <c r="C4" s="12" t="s">
        <v>19</v>
      </c>
      <c r="D4" s="12" t="s">
        <v>65</v>
      </c>
      <c r="E4" s="12" t="s">
        <v>66</v>
      </c>
      <c r="F4" s="12" t="s">
        <v>67</v>
      </c>
      <c r="G4" s="12" t="s">
        <v>68</v>
      </c>
      <c r="H4" s="12" t="s">
        <v>69</v>
      </c>
    </row>
    <row r="5" customFormat="false" ht="15" hidden="false" customHeight="true" outlineLevel="0" collapsed="false">
      <c r="A5" s="12" t="s">
        <v>35</v>
      </c>
      <c r="B5" s="12" t="s">
        <v>70</v>
      </c>
      <c r="C5" s="12" t="s">
        <v>20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</row>
    <row r="6" customFormat="false" ht="15" hidden="false" customHeight="true" outlineLevel="0" collapsed="false">
      <c r="A6" s="12" t="s">
        <v>36</v>
      </c>
      <c r="B6" s="12" t="s">
        <v>76</v>
      </c>
      <c r="D6" s="12" t="s">
        <v>77</v>
      </c>
      <c r="E6" s="12" t="s">
        <v>78</v>
      </c>
      <c r="G6" s="12" t="s">
        <v>79</v>
      </c>
    </row>
    <row r="7" customFormat="false" ht="15" hidden="false" customHeight="true" outlineLevel="0" collapsed="false">
      <c r="D7" s="12" t="s">
        <v>80</v>
      </c>
      <c r="E7" s="12" t="s">
        <v>81</v>
      </c>
      <c r="G7" s="12" t="s">
        <v>82</v>
      </c>
    </row>
    <row r="8" customFormat="false" ht="15" hidden="false" customHeight="true" outlineLevel="0" collapsed="false">
      <c r="D8" s="12" t="s">
        <v>83</v>
      </c>
      <c r="E8" s="12" t="s">
        <v>84</v>
      </c>
      <c r="G8" s="12" t="s">
        <v>85</v>
      </c>
    </row>
    <row r="9" customFormat="false" ht="15" hidden="false" customHeight="true" outlineLevel="0" collapsed="false">
      <c r="E9" s="12" t="s">
        <v>86</v>
      </c>
    </row>
    <row r="10" customFormat="false" ht="15" hidden="false" customHeight="true" outlineLevel="0" collapsed="false">
      <c r="E10" s="12" t="s">
        <v>87</v>
      </c>
    </row>
  </sheetData>
  <mergeCells count="1">
    <mergeCell ref="A1:H1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35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5"/>
    <col collapsed="false" customWidth="true" hidden="false" outlineLevel="0" max="12" min="12" style="1" width="14"/>
    <col collapsed="false" customWidth="true" hidden="false" outlineLevel="0" max="13" min="13" style="1" width="17"/>
    <col collapsed="false" customWidth="true" hidden="false" outlineLevel="0" max="14" min="14" style="1" width="14"/>
    <col collapsed="false" customWidth="true" hidden="false" outlineLevel="0" max="16" min="15" style="1" width="12"/>
    <col collapsed="false" customWidth="true" hidden="false" outlineLevel="0" max="18" min="17" style="1" width="13"/>
    <col collapsed="false" customWidth="true" hidden="false" outlineLevel="0" max="20" min="19" style="1" width="32"/>
  </cols>
  <sheetData>
    <row r="1" customFormat="false" ht="27.75" hidden="false" customHeight="true" outlineLevel="0" collapsed="false">
      <c r="A1" s="5" t="s">
        <v>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3" customFormat="false" ht="31.5" hidden="false" customHeight="true" outlineLevel="0" collapsed="false">
      <c r="A3" s="10" t="s">
        <v>21</v>
      </c>
      <c r="B3" s="10" t="s">
        <v>22</v>
      </c>
      <c r="C3" s="10" t="s">
        <v>23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26</v>
      </c>
      <c r="J3" s="10" t="s">
        <v>94</v>
      </c>
      <c r="K3" s="10" t="s">
        <v>95</v>
      </c>
      <c r="L3" s="10" t="s">
        <v>30</v>
      </c>
      <c r="M3" s="10" t="s">
        <v>96</v>
      </c>
      <c r="N3" s="10" t="s">
        <v>97</v>
      </c>
      <c r="O3" s="10" t="s">
        <v>98</v>
      </c>
      <c r="P3" s="10" t="s">
        <v>99</v>
      </c>
      <c r="Q3" s="10" t="s">
        <v>100</v>
      </c>
      <c r="R3" s="10" t="s">
        <v>31</v>
      </c>
      <c r="S3" s="10" t="s">
        <v>101</v>
      </c>
      <c r="T3" s="10" t="s">
        <v>102</v>
      </c>
    </row>
    <row r="4" customFormat="false" ht="27.75" hidden="false" customHeight="true" outlineLevel="0" collapsed="false">
      <c r="A4" s="14" t="s">
        <v>103</v>
      </c>
      <c r="B4" s="14" t="s">
        <v>104</v>
      </c>
      <c r="C4" s="14" t="s">
        <v>33</v>
      </c>
      <c r="D4" s="14" t="s">
        <v>105</v>
      </c>
      <c r="E4" s="16" t="n">
        <v>46251</v>
      </c>
      <c r="F4" s="7" t="n">
        <f aca="false">IF(A4="","",E4+Config!$B$4*7)</f>
        <v>46321</v>
      </c>
      <c r="G4" s="11" t="n">
        <f aca="true">IF(A4="","",MAX(0,MIN(Config!$B$4,INT((TODAY()-E4)/7)+1)))</f>
        <v>2</v>
      </c>
      <c r="H4" s="11" t="str">
        <f aca="true">IF(A4="","",IF(TODAY()&lt;E4,"Not Started",IF(TODAY()&gt;F4,"Completed",IF(G4=1,"Onboarding",IF(G4&lt;=3,"Sprint 1",IF(G4&lt;=5,"Sprint 2",IF(G4&lt;=7,"Sprint 3",IF(G4&lt;=9,"Sprint 4","Final"))))))))</f>
        <v>Sprint 1</v>
      </c>
      <c r="I4" s="11" t="str">
        <f aca="true">IF(A4="","",IF(TODAY()&lt;E4,"Start",IF(TODAY()&lt;=E4+7,"Charter Approved",IF(TODAY()&lt;=E4+21,"Sprint 1 Review",IF(TODAY()&lt;=E4+35,"Sprint 2 Review",IF(TODAY()&lt;=E4+49,"Sprint 3 Review",IF(TODAY()&lt;=E4+63,"Sprint 4 Review","Final Review")))))))</f>
        <v>Sprint 1 Review</v>
      </c>
      <c r="J4" s="7" t="n">
        <f aca="true">IF(A4="","",IF(TODAY()&lt;E4,E4,IF(TODAY()&lt;=E4+7,E4+7,IF(TODAY()&lt;=E4+21,E4+21,IF(TODAY()&lt;=E4+35,E4+35,IF(TODAY()&lt;=E4+49,E4+49,IF(TODAY()&lt;=E4+63,E4+63,E4+70)))))))</f>
        <v>46272</v>
      </c>
      <c r="K4" s="11" t="n">
        <f aca="true">IF(A4="","",J4-TODAY())</f>
        <v>10</v>
      </c>
      <c r="L4" s="7" t="n">
        <f aca="false">IF(A4="","",IFERROR(LOOKUP(2,1/('Weekly Check-in'!$B$4:$B$1003=A4),'Weekly Check-in'!$A$4:$A$1003),""))</f>
        <v>46262</v>
      </c>
      <c r="M4" s="11" t="n">
        <f aca="true">IF(A4="","",IF(L4="","",TODAY()-L4))</f>
        <v>0</v>
      </c>
      <c r="N4" s="11" t="n">
        <f aca="false">IF(A4="","",COUNTIFS('Weekly Check-in'!$B$4:$B$1003,A4,'Weekly Check-in'!$H$4:$H$1003,"&lt;&gt;"))</f>
        <v>0</v>
      </c>
      <c r="O4" s="11" t="str">
        <f aca="true">IF(A4="","",IF(OR(R4="Completed",R4="Withdrawn",TODAY()&lt;E4),"GREEN",IF(L4="","YELLOW",IF(M4&gt;=Config!$B$7,"RED",IF(OR(M4&gt;=Config!$B$6,AND(K4&lt;=Config!$B$8,N4&gt;0)),"YELLOW",IF(N4&gt;0,"YELLOW","GREEN"))))))</f>
        <v>GREEN</v>
      </c>
      <c r="P4" s="17"/>
      <c r="Q4" s="11" t="str">
        <f aca="false">IF(A4="","",IF(P4&lt;&gt;"",P4,O4))</f>
        <v>GREEN</v>
      </c>
      <c r="R4" s="14" t="s">
        <v>58</v>
      </c>
      <c r="S4" s="18" t="s">
        <v>106</v>
      </c>
      <c r="T4" s="18"/>
    </row>
    <row r="5" customFormat="false" ht="27.75" hidden="false" customHeight="true" outlineLevel="0" collapsed="false">
      <c r="A5" s="14" t="s">
        <v>107</v>
      </c>
      <c r="B5" s="14" t="s">
        <v>108</v>
      </c>
      <c r="C5" s="14" t="s">
        <v>35</v>
      </c>
      <c r="D5" s="14" t="s">
        <v>109</v>
      </c>
      <c r="E5" s="16" t="n">
        <v>46265</v>
      </c>
      <c r="F5" s="7" t="n">
        <f aca="false">IF(A5="","",E5+Config!$B$4*7)</f>
        <v>46335</v>
      </c>
      <c r="G5" s="11" t="n">
        <f aca="true">IF(A5="","",MAX(0,MIN(Config!$B$4,INT((TODAY()-E5)/7)+1)))</f>
        <v>0</v>
      </c>
      <c r="H5" s="11" t="str">
        <f aca="true">IF(A5="","",IF(TODAY()&lt;E5,"Not Started",IF(TODAY()&gt;F5,"Completed",IF(G5=1,"Onboarding",IF(G5&lt;=3,"Sprint 1",IF(G5&lt;=5,"Sprint 2",IF(G5&lt;=7,"Sprint 3",IF(G5&lt;=9,"Sprint 4","Final"))))))))</f>
        <v>Not Started</v>
      </c>
      <c r="I5" s="11" t="str">
        <f aca="true">IF(A5="","",IF(TODAY()&lt;E5,"Start",IF(TODAY()&lt;=E5+7,"Charter Approved",IF(TODAY()&lt;=E5+21,"Sprint 1 Review",IF(TODAY()&lt;=E5+35,"Sprint 2 Review",IF(TODAY()&lt;=E5+49,"Sprint 3 Review",IF(TODAY()&lt;=E5+63,"Sprint 4 Review","Final Review")))))))</f>
        <v>Start</v>
      </c>
      <c r="J5" s="7" t="n">
        <f aca="true">IF(A5="","",IF(TODAY()&lt;E5,E5,IF(TODAY()&lt;=E5+7,E5+7,IF(TODAY()&lt;=E5+21,E5+21,IF(TODAY()&lt;=E5+35,E5+35,IF(TODAY()&lt;=E5+49,E5+49,IF(TODAY()&lt;=E5+63,E5+63,E5+70)))))))</f>
        <v>46265</v>
      </c>
      <c r="K5" s="11" t="n">
        <f aca="true">IF(A5="","",J5-TODAY())</f>
        <v>3</v>
      </c>
      <c r="L5" s="7" t="n">
        <f aca="false">IF(A5="","",IFERROR(LOOKUP(2,1/('Weekly Check-in'!$B$4:$B$1003=A5),'Weekly Check-in'!$A$4:$A$1003),""))</f>
        <v>46262</v>
      </c>
      <c r="M5" s="11" t="n">
        <f aca="true">IF(A5="","",IF(L5="","",TODAY()-L5))</f>
        <v>0</v>
      </c>
      <c r="N5" s="11" t="n">
        <f aca="false">IF(A5="","",COUNTIFS('Weekly Check-in'!$B$4:$B$1003,A5,'Weekly Check-in'!$H$4:$H$1003,"&lt;&gt;"))</f>
        <v>1</v>
      </c>
      <c r="O5" s="11" t="str">
        <f aca="true">IF(A5="","",IF(OR(R5="Completed",R5="Withdrawn",TODAY()&lt;E5),"GREEN",IF(L5="","YELLOW",IF(M5&gt;=Config!$B$7,"RED",IF(OR(M5&gt;=Config!$B$6,AND(K5&lt;=Config!$B$8,N5&gt;0)),"YELLOW",IF(N5&gt;0,"YELLOW","GREEN"))))))</f>
        <v>GREEN</v>
      </c>
      <c r="P5" s="17"/>
      <c r="Q5" s="11" t="str">
        <f aca="false">IF(A5="","",IF(P5&lt;&gt;"",P5,O5))</f>
        <v>GREEN</v>
      </c>
      <c r="R5" s="14" t="s">
        <v>58</v>
      </c>
      <c r="S5" s="18" t="s">
        <v>106</v>
      </c>
      <c r="T5" s="18"/>
    </row>
    <row r="6" customFormat="false" ht="27.75" hidden="false" customHeight="true" outlineLevel="0" collapsed="false">
      <c r="A6" s="14" t="s">
        <v>110</v>
      </c>
      <c r="B6" s="14" t="s">
        <v>111</v>
      </c>
      <c r="C6" s="14" t="s">
        <v>34</v>
      </c>
      <c r="D6" s="14" t="s">
        <v>112</v>
      </c>
      <c r="E6" s="16" t="n">
        <v>46279</v>
      </c>
      <c r="F6" s="7" t="n">
        <f aca="false">IF(A6="","",E6+Config!$B$4*7)</f>
        <v>46349</v>
      </c>
      <c r="G6" s="11" t="n">
        <f aca="true">IF(A6="","",MAX(0,MIN(Config!$B$4,INT((TODAY()-E6)/7)+1)))</f>
        <v>0</v>
      </c>
      <c r="H6" s="11" t="str">
        <f aca="true">IF(A6="","",IF(TODAY()&lt;E6,"Not Started",IF(TODAY()&gt;F6,"Completed",IF(G6=1,"Onboarding",IF(G6&lt;=3,"Sprint 1",IF(G6&lt;=5,"Sprint 2",IF(G6&lt;=7,"Sprint 3",IF(G6&lt;=9,"Sprint 4","Final"))))))))</f>
        <v>Not Started</v>
      </c>
      <c r="I6" s="11" t="str">
        <f aca="true">IF(A6="","",IF(TODAY()&lt;E6,"Start",IF(TODAY()&lt;=E6+7,"Charter Approved",IF(TODAY()&lt;=E6+21,"Sprint 1 Review",IF(TODAY()&lt;=E6+35,"Sprint 2 Review",IF(TODAY()&lt;=E6+49,"Sprint 3 Review",IF(TODAY()&lt;=E6+63,"Sprint 4 Review","Final Review")))))))</f>
        <v>Start</v>
      </c>
      <c r="J6" s="7" t="n">
        <f aca="true">IF(A6="","",IF(TODAY()&lt;E6,E6,IF(TODAY()&lt;=E6+7,E6+7,IF(TODAY()&lt;=E6+21,E6+21,IF(TODAY()&lt;=E6+35,E6+35,IF(TODAY()&lt;=E6+49,E6+49,IF(TODAY()&lt;=E6+63,E6+63,E6+70)))))))</f>
        <v>46279</v>
      </c>
      <c r="K6" s="11" t="n">
        <f aca="true">IF(A6="","",J6-TODAY())</f>
        <v>17</v>
      </c>
      <c r="L6" s="7" t="str">
        <f aca="false">IF(A6="","",IFERROR(LOOKUP(2,1/('Weekly Check-in'!$B$4:$B$1003=A6),'Weekly Check-in'!$A$4:$A$1003),""))</f>
        <v/>
      </c>
      <c r="M6" s="11" t="str">
        <f aca="true">IF(A6="","",IF(L6="","",TODAY()-L6))</f>
        <v/>
      </c>
      <c r="N6" s="11" t="n">
        <f aca="false">IF(A6="","",COUNTIFS('Weekly Check-in'!$B$4:$B$1003,A6,'Weekly Check-in'!$H$4:$H$1003,"&lt;&gt;"))</f>
        <v>0</v>
      </c>
      <c r="O6" s="11" t="str">
        <f aca="true">IF(A6="","",IF(OR(R6="Completed",R6="Withdrawn",TODAY()&lt;E6),"GREEN",IF(L6="","YELLOW",IF(M6&gt;=Config!$B$7,"RED",IF(OR(M6&gt;=Config!$B$6,AND(K6&lt;=Config!$B$8,N6&gt;0)),"YELLOW",IF(N6&gt;0,"YELLOW","GREEN"))))))</f>
        <v>GREEN</v>
      </c>
      <c r="P6" s="17"/>
      <c r="Q6" s="11" t="str">
        <f aca="false">IF(A6="","",IF(P6&lt;&gt;"",P6,O6))</f>
        <v>GREEN</v>
      </c>
      <c r="R6" s="14" t="s">
        <v>58</v>
      </c>
      <c r="S6" s="18" t="s">
        <v>106</v>
      </c>
      <c r="T6" s="18"/>
    </row>
    <row r="7" customFormat="false" ht="27.75" hidden="false" customHeight="true" outlineLevel="0" collapsed="false">
      <c r="A7" s="14" t="s">
        <v>113</v>
      </c>
      <c r="B7" s="14" t="s">
        <v>114</v>
      </c>
      <c r="C7" s="14" t="s">
        <v>36</v>
      </c>
      <c r="D7" s="14" t="s">
        <v>115</v>
      </c>
      <c r="E7" s="16" t="n">
        <v>46293</v>
      </c>
      <c r="F7" s="7" t="n">
        <f aca="false">IF(A7="","",E7+Config!$B$4*7)</f>
        <v>46363</v>
      </c>
      <c r="G7" s="11" t="n">
        <f aca="true">IF(A7="","",MAX(0,MIN(Config!$B$4,INT((TODAY()-E7)/7)+1)))</f>
        <v>0</v>
      </c>
      <c r="H7" s="11" t="str">
        <f aca="true">IF(A7="","",IF(TODAY()&lt;E7,"Not Started",IF(TODAY()&gt;F7,"Completed",IF(G7=1,"Onboarding",IF(G7&lt;=3,"Sprint 1",IF(G7&lt;=5,"Sprint 2",IF(G7&lt;=7,"Sprint 3",IF(G7&lt;=9,"Sprint 4","Final"))))))))</f>
        <v>Not Started</v>
      </c>
      <c r="I7" s="11" t="str">
        <f aca="true">IF(A7="","",IF(TODAY()&lt;E7,"Start",IF(TODAY()&lt;=E7+7,"Charter Approved",IF(TODAY()&lt;=E7+21,"Sprint 1 Review",IF(TODAY()&lt;=E7+35,"Sprint 2 Review",IF(TODAY()&lt;=E7+49,"Sprint 3 Review",IF(TODAY()&lt;=E7+63,"Sprint 4 Review","Final Review")))))))</f>
        <v>Start</v>
      </c>
      <c r="J7" s="7" t="n">
        <f aca="true">IF(A7="","",IF(TODAY()&lt;E7,E7,IF(TODAY()&lt;=E7+7,E7+7,IF(TODAY()&lt;=E7+21,E7+21,IF(TODAY()&lt;=E7+35,E7+35,IF(TODAY()&lt;=E7+49,E7+49,IF(TODAY()&lt;=E7+63,E7+63,E7+70)))))))</f>
        <v>46293</v>
      </c>
      <c r="K7" s="11" t="n">
        <f aca="true">IF(A7="","",J7-TODAY())</f>
        <v>31</v>
      </c>
      <c r="L7" s="7" t="str">
        <f aca="false">IF(A7="","",IFERROR(LOOKUP(2,1/('Weekly Check-in'!$B$4:$B$1003=A7),'Weekly Check-in'!$A$4:$A$1003),""))</f>
        <v/>
      </c>
      <c r="M7" s="11" t="str">
        <f aca="true">IF(A7="","",IF(L7="","",TODAY()-L7))</f>
        <v/>
      </c>
      <c r="N7" s="11" t="n">
        <f aca="false">IF(A7="","",COUNTIFS('Weekly Check-in'!$B$4:$B$1003,A7,'Weekly Check-in'!$H$4:$H$1003,"&lt;&gt;"))</f>
        <v>0</v>
      </c>
      <c r="O7" s="11" t="str">
        <f aca="true">IF(A7="","",IF(OR(R7="Completed",R7="Withdrawn",TODAY()&lt;E7),"GREEN",IF(L7="","YELLOW",IF(M7&gt;=Config!$B$7,"RED",IF(OR(M7&gt;=Config!$B$6,AND(K7&lt;=Config!$B$8,N7&gt;0)),"YELLOW",IF(N7&gt;0,"YELLOW","GREEN"))))))</f>
        <v>GREEN</v>
      </c>
      <c r="P7" s="17"/>
      <c r="Q7" s="11" t="str">
        <f aca="false">IF(A7="","",IF(P7&lt;&gt;"",P7,O7))</f>
        <v>GREEN</v>
      </c>
      <c r="R7" s="14" t="s">
        <v>58</v>
      </c>
      <c r="S7" s="18" t="s">
        <v>106</v>
      </c>
      <c r="T7" s="18"/>
    </row>
    <row r="8" customFormat="false" ht="15" hidden="false" customHeight="true" outlineLevel="0" collapsed="false">
      <c r="A8" s="17"/>
      <c r="B8" s="17"/>
      <c r="C8" s="17"/>
      <c r="D8" s="17"/>
      <c r="E8" s="19"/>
      <c r="F8" s="7" t="str">
        <f aca="false">IF(A8="","",E8+Config!$B$4*7)</f>
        <v/>
      </c>
      <c r="G8" s="11" t="str">
        <f aca="true">IF(A8="","",MAX(0,MIN(Config!$B$4,INT((TODAY()-E8)/7)+1)))</f>
        <v/>
      </c>
      <c r="H8" s="11" t="str">
        <f aca="true">IF(A8="","",IF(TODAY()&lt;E8,"Not Started",IF(TODAY()&gt;F8,"Completed",IF(G8=1,"Onboarding",IF(G8&lt;=3,"Sprint 1",IF(G8&lt;=5,"Sprint 2",IF(G8&lt;=7,"Sprint 3",IF(G8&lt;=9,"Sprint 4","Final"))))))))</f>
        <v/>
      </c>
      <c r="I8" s="11" t="str">
        <f aca="true">IF(A8="","",IF(TODAY()&lt;E8,"Start",IF(TODAY()&lt;=E8+7,"Charter Approved",IF(TODAY()&lt;=E8+21,"Sprint 1 Review",IF(TODAY()&lt;=E8+35,"Sprint 2 Review",IF(TODAY()&lt;=E8+49,"Sprint 3 Review",IF(TODAY()&lt;=E8+63,"Sprint 4 Review","Final Review")))))))</f>
        <v/>
      </c>
      <c r="J8" s="7" t="str">
        <f aca="true">IF(A8="","",IF(TODAY()&lt;E8,E8,IF(TODAY()&lt;=E8+7,E8+7,IF(TODAY()&lt;=E8+21,E8+21,IF(TODAY()&lt;=E8+35,E8+35,IF(TODAY()&lt;=E8+49,E8+49,IF(TODAY()&lt;=E8+63,E8+63,E8+70)))))))</f>
        <v/>
      </c>
      <c r="K8" s="11" t="str">
        <f aca="true">IF(A8="","",J8-TODAY())</f>
        <v/>
      </c>
      <c r="L8" s="7" t="str">
        <f aca="false">IF(A8="","",IFERROR(LOOKUP(2,1/('Weekly Check-in'!$B$4:$B$1003=A8),'Weekly Check-in'!$A$4:$A$1003),""))</f>
        <v/>
      </c>
      <c r="M8" s="11" t="str">
        <f aca="true">IF(A8="","",IF(L8="","",TODAY()-L8))</f>
        <v/>
      </c>
      <c r="N8" s="11" t="str">
        <f aca="false">IF(A8="","",COUNTIFS('Weekly Check-in'!$B$4:$B$1003,A8,'Weekly Check-in'!$H$4:$H$1003,"&lt;&gt;"))</f>
        <v/>
      </c>
      <c r="O8" s="11" t="str">
        <f aca="true">IF(A8="","",IF(OR(R8="Completed",R8="Withdrawn",TODAY()&lt;E8),"GREEN",IF(L8="","YELLOW",IF(M8&gt;=Config!$B$7,"RED",IF(OR(M8&gt;=Config!$B$6,AND(K8&lt;=Config!$B$8,N8&gt;0)),"YELLOW",IF(N8&gt;0,"YELLOW","GREEN"))))))</f>
        <v/>
      </c>
      <c r="P8" s="17"/>
      <c r="Q8" s="11" t="str">
        <f aca="false">IF(A8="","",IF(P8&lt;&gt;"",P8,O8))</f>
        <v/>
      </c>
      <c r="R8" s="17"/>
      <c r="S8" s="18"/>
      <c r="T8" s="18"/>
    </row>
    <row r="9" customFormat="false" ht="15" hidden="false" customHeight="true" outlineLevel="0" collapsed="false">
      <c r="A9" s="17"/>
      <c r="B9" s="17"/>
      <c r="C9" s="17"/>
      <c r="D9" s="17"/>
      <c r="E9" s="19"/>
      <c r="F9" s="7" t="str">
        <f aca="false">IF(A9="","",E9+Config!$B$4*7)</f>
        <v/>
      </c>
      <c r="G9" s="11" t="str">
        <f aca="true">IF(A9="","",MAX(0,MIN(Config!$B$4,INT((TODAY()-E9)/7)+1)))</f>
        <v/>
      </c>
      <c r="H9" s="11" t="str">
        <f aca="true">IF(A9="","",IF(TODAY()&lt;E9,"Not Started",IF(TODAY()&gt;F9,"Completed",IF(G9=1,"Onboarding",IF(G9&lt;=3,"Sprint 1",IF(G9&lt;=5,"Sprint 2",IF(G9&lt;=7,"Sprint 3",IF(G9&lt;=9,"Sprint 4","Final"))))))))</f>
        <v/>
      </c>
      <c r="I9" s="11" t="str">
        <f aca="true">IF(A9="","",IF(TODAY()&lt;E9,"Start",IF(TODAY()&lt;=E9+7,"Charter Approved",IF(TODAY()&lt;=E9+21,"Sprint 1 Review",IF(TODAY()&lt;=E9+35,"Sprint 2 Review",IF(TODAY()&lt;=E9+49,"Sprint 3 Review",IF(TODAY()&lt;=E9+63,"Sprint 4 Review","Final Review")))))))</f>
        <v/>
      </c>
      <c r="J9" s="7" t="str">
        <f aca="true">IF(A9="","",IF(TODAY()&lt;E9,E9,IF(TODAY()&lt;=E9+7,E9+7,IF(TODAY()&lt;=E9+21,E9+21,IF(TODAY()&lt;=E9+35,E9+35,IF(TODAY()&lt;=E9+49,E9+49,IF(TODAY()&lt;=E9+63,E9+63,E9+70)))))))</f>
        <v/>
      </c>
      <c r="K9" s="11" t="str">
        <f aca="true">IF(A9="","",J9-TODAY())</f>
        <v/>
      </c>
      <c r="L9" s="7" t="str">
        <f aca="false">IF(A9="","",IFERROR(LOOKUP(2,1/('Weekly Check-in'!$B$4:$B$1003=A9),'Weekly Check-in'!$A$4:$A$1003),""))</f>
        <v/>
      </c>
      <c r="M9" s="11" t="str">
        <f aca="true">IF(A9="","",IF(L9="","",TODAY()-L9))</f>
        <v/>
      </c>
      <c r="N9" s="11" t="str">
        <f aca="false">IF(A9="","",COUNTIFS('Weekly Check-in'!$B$4:$B$1003,A9,'Weekly Check-in'!$H$4:$H$1003,"&lt;&gt;"))</f>
        <v/>
      </c>
      <c r="O9" s="11" t="str">
        <f aca="true">IF(A9="","",IF(OR(R9="Completed",R9="Withdrawn",TODAY()&lt;E9),"GREEN",IF(L9="","YELLOW",IF(M9&gt;=Config!$B$7,"RED",IF(OR(M9&gt;=Config!$B$6,AND(K9&lt;=Config!$B$8,N9&gt;0)),"YELLOW",IF(N9&gt;0,"YELLOW","GREEN"))))))</f>
        <v/>
      </c>
      <c r="P9" s="17"/>
      <c r="Q9" s="11" t="str">
        <f aca="false">IF(A9="","",IF(P9&lt;&gt;"",P9,O9))</f>
        <v/>
      </c>
      <c r="R9" s="17"/>
      <c r="S9" s="18"/>
      <c r="T9" s="18"/>
    </row>
    <row r="10" customFormat="false" ht="15" hidden="false" customHeight="true" outlineLevel="0" collapsed="false">
      <c r="A10" s="17"/>
      <c r="B10" s="17"/>
      <c r="C10" s="17"/>
      <c r="D10" s="17"/>
      <c r="E10" s="19"/>
      <c r="F10" s="7" t="str">
        <f aca="false">IF(A10="","",E10+Config!$B$4*7)</f>
        <v/>
      </c>
      <c r="G10" s="11" t="str">
        <f aca="true">IF(A10="","",MAX(0,MIN(Config!$B$4,INT((TODAY()-E10)/7)+1)))</f>
        <v/>
      </c>
      <c r="H10" s="11" t="str">
        <f aca="true">IF(A10="","",IF(TODAY()&lt;E10,"Not Started",IF(TODAY()&gt;F10,"Completed",IF(G10=1,"Onboarding",IF(G10&lt;=3,"Sprint 1",IF(G10&lt;=5,"Sprint 2",IF(G10&lt;=7,"Sprint 3",IF(G10&lt;=9,"Sprint 4","Final"))))))))</f>
        <v/>
      </c>
      <c r="I10" s="11" t="str">
        <f aca="true">IF(A10="","",IF(TODAY()&lt;E10,"Start",IF(TODAY()&lt;=E10+7,"Charter Approved",IF(TODAY()&lt;=E10+21,"Sprint 1 Review",IF(TODAY()&lt;=E10+35,"Sprint 2 Review",IF(TODAY()&lt;=E10+49,"Sprint 3 Review",IF(TODAY()&lt;=E10+63,"Sprint 4 Review","Final Review")))))))</f>
        <v/>
      </c>
      <c r="J10" s="7" t="str">
        <f aca="true">IF(A10="","",IF(TODAY()&lt;E10,E10,IF(TODAY()&lt;=E10+7,E10+7,IF(TODAY()&lt;=E10+21,E10+21,IF(TODAY()&lt;=E10+35,E10+35,IF(TODAY()&lt;=E10+49,E10+49,IF(TODAY()&lt;=E10+63,E10+63,E10+70)))))))</f>
        <v/>
      </c>
      <c r="K10" s="11" t="str">
        <f aca="true">IF(A10="","",J10-TODAY())</f>
        <v/>
      </c>
      <c r="L10" s="7" t="str">
        <f aca="false">IF(A10="","",IFERROR(LOOKUP(2,1/('Weekly Check-in'!$B$4:$B$1003=A10),'Weekly Check-in'!$A$4:$A$1003),""))</f>
        <v/>
      </c>
      <c r="M10" s="11" t="str">
        <f aca="true">IF(A10="","",IF(L10="","",TODAY()-L10))</f>
        <v/>
      </c>
      <c r="N10" s="11" t="str">
        <f aca="false">IF(A10="","",COUNTIFS('Weekly Check-in'!$B$4:$B$1003,A10,'Weekly Check-in'!$H$4:$H$1003,"&lt;&gt;"))</f>
        <v/>
      </c>
      <c r="O10" s="11" t="str">
        <f aca="true">IF(A10="","",IF(OR(R10="Completed",R10="Withdrawn",TODAY()&lt;E10),"GREEN",IF(L10="","YELLOW",IF(M10&gt;=Config!$B$7,"RED",IF(OR(M10&gt;=Config!$B$6,AND(K10&lt;=Config!$B$8,N10&gt;0)),"YELLOW",IF(N10&gt;0,"YELLOW","GREEN"))))))</f>
        <v/>
      </c>
      <c r="P10" s="17"/>
      <c r="Q10" s="11" t="str">
        <f aca="false">IF(A10="","",IF(P10&lt;&gt;"",P10,O10))</f>
        <v/>
      </c>
      <c r="R10" s="17"/>
      <c r="S10" s="18"/>
      <c r="T10" s="18"/>
    </row>
    <row r="11" customFormat="false" ht="15" hidden="false" customHeight="true" outlineLevel="0" collapsed="false">
      <c r="A11" s="17"/>
      <c r="B11" s="17"/>
      <c r="C11" s="17"/>
      <c r="D11" s="17"/>
      <c r="E11" s="19"/>
      <c r="F11" s="7" t="str">
        <f aca="false">IF(A11="","",E11+Config!$B$4*7)</f>
        <v/>
      </c>
      <c r="G11" s="11" t="str">
        <f aca="true">IF(A11="","",MAX(0,MIN(Config!$B$4,INT((TODAY()-E11)/7)+1)))</f>
        <v/>
      </c>
      <c r="H11" s="11" t="str">
        <f aca="true">IF(A11="","",IF(TODAY()&lt;E11,"Not Started",IF(TODAY()&gt;F11,"Completed",IF(G11=1,"Onboarding",IF(G11&lt;=3,"Sprint 1",IF(G11&lt;=5,"Sprint 2",IF(G11&lt;=7,"Sprint 3",IF(G11&lt;=9,"Sprint 4","Final"))))))))</f>
        <v/>
      </c>
      <c r="I11" s="11" t="str">
        <f aca="true">IF(A11="","",IF(TODAY()&lt;E11,"Start",IF(TODAY()&lt;=E11+7,"Charter Approved",IF(TODAY()&lt;=E11+21,"Sprint 1 Review",IF(TODAY()&lt;=E11+35,"Sprint 2 Review",IF(TODAY()&lt;=E11+49,"Sprint 3 Review",IF(TODAY()&lt;=E11+63,"Sprint 4 Review","Final Review")))))))</f>
        <v/>
      </c>
      <c r="J11" s="7" t="str">
        <f aca="true">IF(A11="","",IF(TODAY()&lt;E11,E11,IF(TODAY()&lt;=E11+7,E11+7,IF(TODAY()&lt;=E11+21,E11+21,IF(TODAY()&lt;=E11+35,E11+35,IF(TODAY()&lt;=E11+49,E11+49,IF(TODAY()&lt;=E11+63,E11+63,E11+70)))))))</f>
        <v/>
      </c>
      <c r="K11" s="11" t="str">
        <f aca="true">IF(A11="","",J11-TODAY())</f>
        <v/>
      </c>
      <c r="L11" s="7" t="str">
        <f aca="false">IF(A11="","",IFERROR(LOOKUP(2,1/('Weekly Check-in'!$B$4:$B$1003=A11),'Weekly Check-in'!$A$4:$A$1003),""))</f>
        <v/>
      </c>
      <c r="M11" s="11" t="str">
        <f aca="true">IF(A11="","",IF(L11="","",TODAY()-L11))</f>
        <v/>
      </c>
      <c r="N11" s="11" t="str">
        <f aca="false">IF(A11="","",COUNTIFS('Weekly Check-in'!$B$4:$B$1003,A11,'Weekly Check-in'!$H$4:$H$1003,"&lt;&gt;"))</f>
        <v/>
      </c>
      <c r="O11" s="11" t="str">
        <f aca="true">IF(A11="","",IF(OR(R11="Completed",R11="Withdrawn",TODAY()&lt;E11),"GREEN",IF(L11="","YELLOW",IF(M11&gt;=Config!$B$7,"RED",IF(OR(M11&gt;=Config!$B$6,AND(K11&lt;=Config!$B$8,N11&gt;0)),"YELLOW",IF(N11&gt;0,"YELLOW","GREEN"))))))</f>
        <v/>
      </c>
      <c r="P11" s="17"/>
      <c r="Q11" s="11" t="str">
        <f aca="false">IF(A11="","",IF(P11&lt;&gt;"",P11,O11))</f>
        <v/>
      </c>
      <c r="R11" s="17"/>
      <c r="S11" s="18"/>
      <c r="T11" s="18"/>
    </row>
    <row r="12" customFormat="false" ht="15" hidden="false" customHeight="true" outlineLevel="0" collapsed="false">
      <c r="A12" s="17"/>
      <c r="B12" s="17"/>
      <c r="C12" s="17"/>
      <c r="D12" s="17"/>
      <c r="E12" s="19"/>
      <c r="F12" s="7" t="str">
        <f aca="false">IF(A12="","",E12+Config!$B$4*7)</f>
        <v/>
      </c>
      <c r="G12" s="11" t="str">
        <f aca="true">IF(A12="","",MAX(0,MIN(Config!$B$4,INT((TODAY()-E12)/7)+1)))</f>
        <v/>
      </c>
      <c r="H12" s="11" t="str">
        <f aca="true">IF(A12="","",IF(TODAY()&lt;E12,"Not Started",IF(TODAY()&gt;F12,"Completed",IF(G12=1,"Onboarding",IF(G12&lt;=3,"Sprint 1",IF(G12&lt;=5,"Sprint 2",IF(G12&lt;=7,"Sprint 3",IF(G12&lt;=9,"Sprint 4","Final"))))))))</f>
        <v/>
      </c>
      <c r="I12" s="11" t="str">
        <f aca="true">IF(A12="","",IF(TODAY()&lt;E12,"Start",IF(TODAY()&lt;=E12+7,"Charter Approved",IF(TODAY()&lt;=E12+21,"Sprint 1 Review",IF(TODAY()&lt;=E12+35,"Sprint 2 Review",IF(TODAY()&lt;=E12+49,"Sprint 3 Review",IF(TODAY()&lt;=E12+63,"Sprint 4 Review","Final Review")))))))</f>
        <v/>
      </c>
      <c r="J12" s="7" t="str">
        <f aca="true">IF(A12="","",IF(TODAY()&lt;E12,E12,IF(TODAY()&lt;=E12+7,E12+7,IF(TODAY()&lt;=E12+21,E12+21,IF(TODAY()&lt;=E12+35,E12+35,IF(TODAY()&lt;=E12+49,E12+49,IF(TODAY()&lt;=E12+63,E12+63,E12+70)))))))</f>
        <v/>
      </c>
      <c r="K12" s="11" t="str">
        <f aca="true">IF(A12="","",J12-TODAY())</f>
        <v/>
      </c>
      <c r="L12" s="7" t="str">
        <f aca="false">IF(A12="","",IFERROR(LOOKUP(2,1/('Weekly Check-in'!$B$4:$B$1003=A12),'Weekly Check-in'!$A$4:$A$1003),""))</f>
        <v/>
      </c>
      <c r="M12" s="11" t="str">
        <f aca="true">IF(A12="","",IF(L12="","",TODAY()-L12))</f>
        <v/>
      </c>
      <c r="N12" s="11" t="str">
        <f aca="false">IF(A12="","",COUNTIFS('Weekly Check-in'!$B$4:$B$1003,A12,'Weekly Check-in'!$H$4:$H$1003,"&lt;&gt;"))</f>
        <v/>
      </c>
      <c r="O12" s="11" t="str">
        <f aca="true">IF(A12="","",IF(OR(R12="Completed",R12="Withdrawn",TODAY()&lt;E12),"GREEN",IF(L12="","YELLOW",IF(M12&gt;=Config!$B$7,"RED",IF(OR(M12&gt;=Config!$B$6,AND(K12&lt;=Config!$B$8,N12&gt;0)),"YELLOW",IF(N12&gt;0,"YELLOW","GREEN"))))))</f>
        <v/>
      </c>
      <c r="P12" s="17"/>
      <c r="Q12" s="11" t="str">
        <f aca="false">IF(A12="","",IF(P12&lt;&gt;"",P12,O12))</f>
        <v/>
      </c>
      <c r="R12" s="17"/>
      <c r="S12" s="18"/>
      <c r="T12" s="18"/>
    </row>
    <row r="13" customFormat="false" ht="15" hidden="false" customHeight="true" outlineLevel="0" collapsed="false">
      <c r="A13" s="17"/>
      <c r="B13" s="17"/>
      <c r="C13" s="17"/>
      <c r="D13" s="17"/>
      <c r="E13" s="19"/>
      <c r="F13" s="7" t="str">
        <f aca="false">IF(A13="","",E13+Config!$B$4*7)</f>
        <v/>
      </c>
      <c r="G13" s="11" t="str">
        <f aca="true">IF(A13="","",MAX(0,MIN(Config!$B$4,INT((TODAY()-E13)/7)+1)))</f>
        <v/>
      </c>
      <c r="H13" s="11" t="str">
        <f aca="true">IF(A13="","",IF(TODAY()&lt;E13,"Not Started",IF(TODAY()&gt;F13,"Completed",IF(G13=1,"Onboarding",IF(G13&lt;=3,"Sprint 1",IF(G13&lt;=5,"Sprint 2",IF(G13&lt;=7,"Sprint 3",IF(G13&lt;=9,"Sprint 4","Final"))))))))</f>
        <v/>
      </c>
      <c r="I13" s="11" t="str">
        <f aca="true">IF(A13="","",IF(TODAY()&lt;E13,"Start",IF(TODAY()&lt;=E13+7,"Charter Approved",IF(TODAY()&lt;=E13+21,"Sprint 1 Review",IF(TODAY()&lt;=E13+35,"Sprint 2 Review",IF(TODAY()&lt;=E13+49,"Sprint 3 Review",IF(TODAY()&lt;=E13+63,"Sprint 4 Review","Final Review")))))))</f>
        <v/>
      </c>
      <c r="J13" s="7" t="str">
        <f aca="true">IF(A13="","",IF(TODAY()&lt;E13,E13,IF(TODAY()&lt;=E13+7,E13+7,IF(TODAY()&lt;=E13+21,E13+21,IF(TODAY()&lt;=E13+35,E13+35,IF(TODAY()&lt;=E13+49,E13+49,IF(TODAY()&lt;=E13+63,E13+63,E13+70)))))))</f>
        <v/>
      </c>
      <c r="K13" s="11" t="str">
        <f aca="true">IF(A13="","",J13-TODAY())</f>
        <v/>
      </c>
      <c r="L13" s="7" t="str">
        <f aca="false">IF(A13="","",IFERROR(LOOKUP(2,1/('Weekly Check-in'!$B$4:$B$1003=A13),'Weekly Check-in'!$A$4:$A$1003),""))</f>
        <v/>
      </c>
      <c r="M13" s="11" t="str">
        <f aca="true">IF(A13="","",IF(L13="","",TODAY()-L13))</f>
        <v/>
      </c>
      <c r="N13" s="11" t="str">
        <f aca="false">IF(A13="","",COUNTIFS('Weekly Check-in'!$B$4:$B$1003,A13,'Weekly Check-in'!$H$4:$H$1003,"&lt;&gt;"))</f>
        <v/>
      </c>
      <c r="O13" s="11" t="str">
        <f aca="true">IF(A13="","",IF(OR(R13="Completed",R13="Withdrawn",TODAY()&lt;E13),"GREEN",IF(L13="","YELLOW",IF(M13&gt;=Config!$B$7,"RED",IF(OR(M13&gt;=Config!$B$6,AND(K13&lt;=Config!$B$8,N13&gt;0)),"YELLOW",IF(N13&gt;0,"YELLOW","GREEN"))))))</f>
        <v/>
      </c>
      <c r="P13" s="17"/>
      <c r="Q13" s="11" t="str">
        <f aca="false">IF(A13="","",IF(P13&lt;&gt;"",P13,O13))</f>
        <v/>
      </c>
      <c r="R13" s="17"/>
      <c r="S13" s="18"/>
      <c r="T13" s="18"/>
    </row>
    <row r="14" customFormat="false" ht="15" hidden="false" customHeight="true" outlineLevel="0" collapsed="false">
      <c r="A14" s="17"/>
      <c r="B14" s="17"/>
      <c r="C14" s="17"/>
      <c r="D14" s="17"/>
      <c r="E14" s="19"/>
      <c r="F14" s="7" t="str">
        <f aca="false">IF(A14="","",E14+Config!$B$4*7)</f>
        <v/>
      </c>
      <c r="G14" s="11" t="str">
        <f aca="true">IF(A14="","",MAX(0,MIN(Config!$B$4,INT((TODAY()-E14)/7)+1)))</f>
        <v/>
      </c>
      <c r="H14" s="11" t="str">
        <f aca="true">IF(A14="","",IF(TODAY()&lt;E14,"Not Started",IF(TODAY()&gt;F14,"Completed",IF(G14=1,"Onboarding",IF(G14&lt;=3,"Sprint 1",IF(G14&lt;=5,"Sprint 2",IF(G14&lt;=7,"Sprint 3",IF(G14&lt;=9,"Sprint 4","Final"))))))))</f>
        <v/>
      </c>
      <c r="I14" s="11" t="str">
        <f aca="true">IF(A14="","",IF(TODAY()&lt;E14,"Start",IF(TODAY()&lt;=E14+7,"Charter Approved",IF(TODAY()&lt;=E14+21,"Sprint 1 Review",IF(TODAY()&lt;=E14+35,"Sprint 2 Review",IF(TODAY()&lt;=E14+49,"Sprint 3 Review",IF(TODAY()&lt;=E14+63,"Sprint 4 Review","Final Review")))))))</f>
        <v/>
      </c>
      <c r="J14" s="7" t="str">
        <f aca="true">IF(A14="","",IF(TODAY()&lt;E14,E14,IF(TODAY()&lt;=E14+7,E14+7,IF(TODAY()&lt;=E14+21,E14+21,IF(TODAY()&lt;=E14+35,E14+35,IF(TODAY()&lt;=E14+49,E14+49,IF(TODAY()&lt;=E14+63,E14+63,E14+70)))))))</f>
        <v/>
      </c>
      <c r="K14" s="11" t="str">
        <f aca="true">IF(A14="","",J14-TODAY())</f>
        <v/>
      </c>
      <c r="L14" s="7" t="str">
        <f aca="false">IF(A14="","",IFERROR(LOOKUP(2,1/('Weekly Check-in'!$B$4:$B$1003=A14),'Weekly Check-in'!$A$4:$A$1003),""))</f>
        <v/>
      </c>
      <c r="M14" s="11" t="str">
        <f aca="true">IF(A14="","",IF(L14="","",TODAY()-L14))</f>
        <v/>
      </c>
      <c r="N14" s="11" t="str">
        <f aca="false">IF(A14="","",COUNTIFS('Weekly Check-in'!$B$4:$B$1003,A14,'Weekly Check-in'!$H$4:$H$1003,"&lt;&gt;"))</f>
        <v/>
      </c>
      <c r="O14" s="11" t="str">
        <f aca="true">IF(A14="","",IF(OR(R14="Completed",R14="Withdrawn",TODAY()&lt;E14),"GREEN",IF(L14="","YELLOW",IF(M14&gt;=Config!$B$7,"RED",IF(OR(M14&gt;=Config!$B$6,AND(K14&lt;=Config!$B$8,N14&gt;0)),"YELLOW",IF(N14&gt;0,"YELLOW","GREEN"))))))</f>
        <v/>
      </c>
      <c r="P14" s="17"/>
      <c r="Q14" s="11" t="str">
        <f aca="false">IF(A14="","",IF(P14&lt;&gt;"",P14,O14))</f>
        <v/>
      </c>
      <c r="R14" s="17"/>
      <c r="S14" s="18"/>
      <c r="T14" s="18"/>
    </row>
    <row r="15" customFormat="false" ht="15" hidden="false" customHeight="true" outlineLevel="0" collapsed="false">
      <c r="A15" s="17"/>
      <c r="B15" s="17"/>
      <c r="C15" s="17"/>
      <c r="D15" s="17"/>
      <c r="E15" s="19"/>
      <c r="F15" s="7" t="str">
        <f aca="false">IF(A15="","",E15+Config!$B$4*7)</f>
        <v/>
      </c>
      <c r="G15" s="11" t="str">
        <f aca="true">IF(A15="","",MAX(0,MIN(Config!$B$4,INT((TODAY()-E15)/7)+1)))</f>
        <v/>
      </c>
      <c r="H15" s="11" t="str">
        <f aca="true">IF(A15="","",IF(TODAY()&lt;E15,"Not Started",IF(TODAY()&gt;F15,"Completed",IF(G15=1,"Onboarding",IF(G15&lt;=3,"Sprint 1",IF(G15&lt;=5,"Sprint 2",IF(G15&lt;=7,"Sprint 3",IF(G15&lt;=9,"Sprint 4","Final"))))))))</f>
        <v/>
      </c>
      <c r="I15" s="11" t="str">
        <f aca="true">IF(A15="","",IF(TODAY()&lt;E15,"Start",IF(TODAY()&lt;=E15+7,"Charter Approved",IF(TODAY()&lt;=E15+21,"Sprint 1 Review",IF(TODAY()&lt;=E15+35,"Sprint 2 Review",IF(TODAY()&lt;=E15+49,"Sprint 3 Review",IF(TODAY()&lt;=E15+63,"Sprint 4 Review","Final Review")))))))</f>
        <v/>
      </c>
      <c r="J15" s="7" t="str">
        <f aca="true">IF(A15="","",IF(TODAY()&lt;E15,E15,IF(TODAY()&lt;=E15+7,E15+7,IF(TODAY()&lt;=E15+21,E15+21,IF(TODAY()&lt;=E15+35,E15+35,IF(TODAY()&lt;=E15+49,E15+49,IF(TODAY()&lt;=E15+63,E15+63,E15+70)))))))</f>
        <v/>
      </c>
      <c r="K15" s="11" t="str">
        <f aca="true">IF(A15="","",J15-TODAY())</f>
        <v/>
      </c>
      <c r="L15" s="7" t="str">
        <f aca="false">IF(A15="","",IFERROR(LOOKUP(2,1/('Weekly Check-in'!$B$4:$B$1003=A15),'Weekly Check-in'!$A$4:$A$1003),""))</f>
        <v/>
      </c>
      <c r="M15" s="11" t="str">
        <f aca="true">IF(A15="","",IF(L15="","",TODAY()-L15))</f>
        <v/>
      </c>
      <c r="N15" s="11" t="str">
        <f aca="false">IF(A15="","",COUNTIFS('Weekly Check-in'!$B$4:$B$1003,A15,'Weekly Check-in'!$H$4:$H$1003,"&lt;&gt;"))</f>
        <v/>
      </c>
      <c r="O15" s="11" t="str">
        <f aca="true">IF(A15="","",IF(OR(R15="Completed",R15="Withdrawn",TODAY()&lt;E15),"GREEN",IF(L15="","YELLOW",IF(M15&gt;=Config!$B$7,"RED",IF(OR(M15&gt;=Config!$B$6,AND(K15&lt;=Config!$B$8,N15&gt;0)),"YELLOW",IF(N15&gt;0,"YELLOW","GREEN"))))))</f>
        <v/>
      </c>
      <c r="P15" s="17"/>
      <c r="Q15" s="11" t="str">
        <f aca="false">IF(A15="","",IF(P15&lt;&gt;"",P15,O15))</f>
        <v/>
      </c>
      <c r="R15" s="17"/>
      <c r="S15" s="18"/>
      <c r="T15" s="18"/>
    </row>
    <row r="16" customFormat="false" ht="15" hidden="false" customHeight="true" outlineLevel="0" collapsed="false">
      <c r="A16" s="17"/>
      <c r="B16" s="17"/>
      <c r="C16" s="17"/>
      <c r="D16" s="17"/>
      <c r="E16" s="19"/>
      <c r="F16" s="7" t="str">
        <f aca="false">IF(A16="","",E16+Config!$B$4*7)</f>
        <v/>
      </c>
      <c r="G16" s="11" t="str">
        <f aca="true">IF(A16="","",MAX(0,MIN(Config!$B$4,INT((TODAY()-E16)/7)+1)))</f>
        <v/>
      </c>
      <c r="H16" s="11" t="str">
        <f aca="true">IF(A16="","",IF(TODAY()&lt;E16,"Not Started",IF(TODAY()&gt;F16,"Completed",IF(G16=1,"Onboarding",IF(G16&lt;=3,"Sprint 1",IF(G16&lt;=5,"Sprint 2",IF(G16&lt;=7,"Sprint 3",IF(G16&lt;=9,"Sprint 4","Final"))))))))</f>
        <v/>
      </c>
      <c r="I16" s="11" t="str">
        <f aca="true">IF(A16="","",IF(TODAY()&lt;E16,"Start",IF(TODAY()&lt;=E16+7,"Charter Approved",IF(TODAY()&lt;=E16+21,"Sprint 1 Review",IF(TODAY()&lt;=E16+35,"Sprint 2 Review",IF(TODAY()&lt;=E16+49,"Sprint 3 Review",IF(TODAY()&lt;=E16+63,"Sprint 4 Review","Final Review")))))))</f>
        <v/>
      </c>
      <c r="J16" s="7" t="str">
        <f aca="true">IF(A16="","",IF(TODAY()&lt;E16,E16,IF(TODAY()&lt;=E16+7,E16+7,IF(TODAY()&lt;=E16+21,E16+21,IF(TODAY()&lt;=E16+35,E16+35,IF(TODAY()&lt;=E16+49,E16+49,IF(TODAY()&lt;=E16+63,E16+63,E16+70)))))))</f>
        <v/>
      </c>
      <c r="K16" s="11" t="str">
        <f aca="true">IF(A16="","",J16-TODAY())</f>
        <v/>
      </c>
      <c r="L16" s="7" t="str">
        <f aca="false">IF(A16="","",IFERROR(LOOKUP(2,1/('Weekly Check-in'!$B$4:$B$1003=A16),'Weekly Check-in'!$A$4:$A$1003),""))</f>
        <v/>
      </c>
      <c r="M16" s="11" t="str">
        <f aca="true">IF(A16="","",IF(L16="","",TODAY()-L16))</f>
        <v/>
      </c>
      <c r="N16" s="11" t="str">
        <f aca="false">IF(A16="","",COUNTIFS('Weekly Check-in'!$B$4:$B$1003,A16,'Weekly Check-in'!$H$4:$H$1003,"&lt;&gt;"))</f>
        <v/>
      </c>
      <c r="O16" s="11" t="str">
        <f aca="true">IF(A16="","",IF(OR(R16="Completed",R16="Withdrawn",TODAY()&lt;E16),"GREEN",IF(L16="","YELLOW",IF(M16&gt;=Config!$B$7,"RED",IF(OR(M16&gt;=Config!$B$6,AND(K16&lt;=Config!$B$8,N16&gt;0)),"YELLOW",IF(N16&gt;0,"YELLOW","GREEN"))))))</f>
        <v/>
      </c>
      <c r="P16" s="17"/>
      <c r="Q16" s="11" t="str">
        <f aca="false">IF(A16="","",IF(P16&lt;&gt;"",P16,O16))</f>
        <v/>
      </c>
      <c r="R16" s="17"/>
      <c r="S16" s="18"/>
      <c r="T16" s="18"/>
    </row>
    <row r="17" customFormat="false" ht="15" hidden="false" customHeight="true" outlineLevel="0" collapsed="false">
      <c r="A17" s="17"/>
      <c r="B17" s="17"/>
      <c r="C17" s="17"/>
      <c r="D17" s="17"/>
      <c r="E17" s="19"/>
      <c r="F17" s="7" t="str">
        <f aca="false">IF(A17="","",E17+Config!$B$4*7)</f>
        <v/>
      </c>
      <c r="G17" s="11" t="str">
        <f aca="true">IF(A17="","",MAX(0,MIN(Config!$B$4,INT((TODAY()-E17)/7)+1)))</f>
        <v/>
      </c>
      <c r="H17" s="11" t="str">
        <f aca="true">IF(A17="","",IF(TODAY()&lt;E17,"Not Started",IF(TODAY()&gt;F17,"Completed",IF(G17=1,"Onboarding",IF(G17&lt;=3,"Sprint 1",IF(G17&lt;=5,"Sprint 2",IF(G17&lt;=7,"Sprint 3",IF(G17&lt;=9,"Sprint 4","Final"))))))))</f>
        <v/>
      </c>
      <c r="I17" s="11" t="str">
        <f aca="true">IF(A17="","",IF(TODAY()&lt;E17,"Start",IF(TODAY()&lt;=E17+7,"Charter Approved",IF(TODAY()&lt;=E17+21,"Sprint 1 Review",IF(TODAY()&lt;=E17+35,"Sprint 2 Review",IF(TODAY()&lt;=E17+49,"Sprint 3 Review",IF(TODAY()&lt;=E17+63,"Sprint 4 Review","Final Review")))))))</f>
        <v/>
      </c>
      <c r="J17" s="7" t="str">
        <f aca="true">IF(A17="","",IF(TODAY()&lt;E17,E17,IF(TODAY()&lt;=E17+7,E17+7,IF(TODAY()&lt;=E17+21,E17+21,IF(TODAY()&lt;=E17+35,E17+35,IF(TODAY()&lt;=E17+49,E17+49,IF(TODAY()&lt;=E17+63,E17+63,E17+70)))))))</f>
        <v/>
      </c>
      <c r="K17" s="11" t="str">
        <f aca="true">IF(A17="","",J17-TODAY())</f>
        <v/>
      </c>
      <c r="L17" s="7" t="str">
        <f aca="false">IF(A17="","",IFERROR(LOOKUP(2,1/('Weekly Check-in'!$B$4:$B$1003=A17),'Weekly Check-in'!$A$4:$A$1003),""))</f>
        <v/>
      </c>
      <c r="M17" s="11" t="str">
        <f aca="true">IF(A17="","",IF(L17="","",TODAY()-L17))</f>
        <v/>
      </c>
      <c r="N17" s="11" t="str">
        <f aca="false">IF(A17="","",COUNTIFS('Weekly Check-in'!$B$4:$B$1003,A17,'Weekly Check-in'!$H$4:$H$1003,"&lt;&gt;"))</f>
        <v/>
      </c>
      <c r="O17" s="11" t="str">
        <f aca="true">IF(A17="","",IF(OR(R17="Completed",R17="Withdrawn",TODAY()&lt;E17),"GREEN",IF(L17="","YELLOW",IF(M17&gt;=Config!$B$7,"RED",IF(OR(M17&gt;=Config!$B$6,AND(K17&lt;=Config!$B$8,N17&gt;0)),"YELLOW",IF(N17&gt;0,"YELLOW","GREEN"))))))</f>
        <v/>
      </c>
      <c r="P17" s="17"/>
      <c r="Q17" s="11" t="str">
        <f aca="false">IF(A17="","",IF(P17&lt;&gt;"",P17,O17))</f>
        <v/>
      </c>
      <c r="R17" s="17"/>
      <c r="S17" s="18"/>
      <c r="T17" s="18"/>
    </row>
    <row r="18" customFormat="false" ht="15" hidden="false" customHeight="true" outlineLevel="0" collapsed="false">
      <c r="A18" s="17"/>
      <c r="B18" s="17"/>
      <c r="C18" s="17"/>
      <c r="D18" s="17"/>
      <c r="E18" s="19"/>
      <c r="F18" s="7" t="str">
        <f aca="false">IF(A18="","",E18+Config!$B$4*7)</f>
        <v/>
      </c>
      <c r="G18" s="11" t="str">
        <f aca="true">IF(A18="","",MAX(0,MIN(Config!$B$4,INT((TODAY()-E18)/7)+1)))</f>
        <v/>
      </c>
      <c r="H18" s="11" t="str">
        <f aca="true">IF(A18="","",IF(TODAY()&lt;E18,"Not Started",IF(TODAY()&gt;F18,"Completed",IF(G18=1,"Onboarding",IF(G18&lt;=3,"Sprint 1",IF(G18&lt;=5,"Sprint 2",IF(G18&lt;=7,"Sprint 3",IF(G18&lt;=9,"Sprint 4","Final"))))))))</f>
        <v/>
      </c>
      <c r="I18" s="11" t="str">
        <f aca="true">IF(A18="","",IF(TODAY()&lt;E18,"Start",IF(TODAY()&lt;=E18+7,"Charter Approved",IF(TODAY()&lt;=E18+21,"Sprint 1 Review",IF(TODAY()&lt;=E18+35,"Sprint 2 Review",IF(TODAY()&lt;=E18+49,"Sprint 3 Review",IF(TODAY()&lt;=E18+63,"Sprint 4 Review","Final Review")))))))</f>
        <v/>
      </c>
      <c r="J18" s="7" t="str">
        <f aca="true">IF(A18="","",IF(TODAY()&lt;E18,E18,IF(TODAY()&lt;=E18+7,E18+7,IF(TODAY()&lt;=E18+21,E18+21,IF(TODAY()&lt;=E18+35,E18+35,IF(TODAY()&lt;=E18+49,E18+49,IF(TODAY()&lt;=E18+63,E18+63,E18+70)))))))</f>
        <v/>
      </c>
      <c r="K18" s="11" t="str">
        <f aca="true">IF(A18="","",J18-TODAY())</f>
        <v/>
      </c>
      <c r="L18" s="7" t="str">
        <f aca="false">IF(A18="","",IFERROR(LOOKUP(2,1/('Weekly Check-in'!$B$4:$B$1003=A18),'Weekly Check-in'!$A$4:$A$1003),""))</f>
        <v/>
      </c>
      <c r="M18" s="11" t="str">
        <f aca="true">IF(A18="","",IF(L18="","",TODAY()-L18))</f>
        <v/>
      </c>
      <c r="N18" s="11" t="str">
        <f aca="false">IF(A18="","",COUNTIFS('Weekly Check-in'!$B$4:$B$1003,A18,'Weekly Check-in'!$H$4:$H$1003,"&lt;&gt;"))</f>
        <v/>
      </c>
      <c r="O18" s="11" t="str">
        <f aca="true">IF(A18="","",IF(OR(R18="Completed",R18="Withdrawn",TODAY()&lt;E18),"GREEN",IF(L18="","YELLOW",IF(M18&gt;=Config!$B$7,"RED",IF(OR(M18&gt;=Config!$B$6,AND(K18&lt;=Config!$B$8,N18&gt;0)),"YELLOW",IF(N18&gt;0,"YELLOW","GREEN"))))))</f>
        <v/>
      </c>
      <c r="P18" s="17"/>
      <c r="Q18" s="11" t="str">
        <f aca="false">IF(A18="","",IF(P18&lt;&gt;"",P18,O18))</f>
        <v/>
      </c>
      <c r="R18" s="17"/>
      <c r="S18" s="18"/>
      <c r="T18" s="18"/>
    </row>
    <row r="19" customFormat="false" ht="15" hidden="false" customHeight="true" outlineLevel="0" collapsed="false">
      <c r="A19" s="17"/>
      <c r="B19" s="17"/>
      <c r="C19" s="17"/>
      <c r="D19" s="17"/>
      <c r="E19" s="19"/>
      <c r="F19" s="7" t="str">
        <f aca="false">IF(A19="","",E19+Config!$B$4*7)</f>
        <v/>
      </c>
      <c r="G19" s="11" t="str">
        <f aca="true">IF(A19="","",MAX(0,MIN(Config!$B$4,INT((TODAY()-E19)/7)+1)))</f>
        <v/>
      </c>
      <c r="H19" s="11" t="str">
        <f aca="true">IF(A19="","",IF(TODAY()&lt;E19,"Not Started",IF(TODAY()&gt;F19,"Completed",IF(G19=1,"Onboarding",IF(G19&lt;=3,"Sprint 1",IF(G19&lt;=5,"Sprint 2",IF(G19&lt;=7,"Sprint 3",IF(G19&lt;=9,"Sprint 4","Final"))))))))</f>
        <v/>
      </c>
      <c r="I19" s="11" t="str">
        <f aca="true">IF(A19="","",IF(TODAY()&lt;E19,"Start",IF(TODAY()&lt;=E19+7,"Charter Approved",IF(TODAY()&lt;=E19+21,"Sprint 1 Review",IF(TODAY()&lt;=E19+35,"Sprint 2 Review",IF(TODAY()&lt;=E19+49,"Sprint 3 Review",IF(TODAY()&lt;=E19+63,"Sprint 4 Review","Final Review")))))))</f>
        <v/>
      </c>
      <c r="J19" s="7" t="str">
        <f aca="true">IF(A19="","",IF(TODAY()&lt;E19,E19,IF(TODAY()&lt;=E19+7,E19+7,IF(TODAY()&lt;=E19+21,E19+21,IF(TODAY()&lt;=E19+35,E19+35,IF(TODAY()&lt;=E19+49,E19+49,IF(TODAY()&lt;=E19+63,E19+63,E19+70)))))))</f>
        <v/>
      </c>
      <c r="K19" s="11" t="str">
        <f aca="true">IF(A19="","",J19-TODAY())</f>
        <v/>
      </c>
      <c r="L19" s="7" t="str">
        <f aca="false">IF(A19="","",IFERROR(LOOKUP(2,1/('Weekly Check-in'!$B$4:$B$1003=A19),'Weekly Check-in'!$A$4:$A$1003),""))</f>
        <v/>
      </c>
      <c r="M19" s="11" t="str">
        <f aca="true">IF(A19="","",IF(L19="","",TODAY()-L19))</f>
        <v/>
      </c>
      <c r="N19" s="11" t="str">
        <f aca="false">IF(A19="","",COUNTIFS('Weekly Check-in'!$B$4:$B$1003,A19,'Weekly Check-in'!$H$4:$H$1003,"&lt;&gt;"))</f>
        <v/>
      </c>
      <c r="O19" s="11" t="str">
        <f aca="true">IF(A19="","",IF(OR(R19="Completed",R19="Withdrawn",TODAY()&lt;E19),"GREEN",IF(L19="","YELLOW",IF(M19&gt;=Config!$B$7,"RED",IF(OR(M19&gt;=Config!$B$6,AND(K19&lt;=Config!$B$8,N19&gt;0)),"YELLOW",IF(N19&gt;0,"YELLOW","GREEN"))))))</f>
        <v/>
      </c>
      <c r="P19" s="17"/>
      <c r="Q19" s="11" t="str">
        <f aca="false">IF(A19="","",IF(P19&lt;&gt;"",P19,O19))</f>
        <v/>
      </c>
      <c r="R19" s="17"/>
      <c r="S19" s="18"/>
      <c r="T19" s="18"/>
    </row>
    <row r="20" customFormat="false" ht="15" hidden="false" customHeight="true" outlineLevel="0" collapsed="false">
      <c r="A20" s="17"/>
      <c r="B20" s="17"/>
      <c r="C20" s="17"/>
      <c r="D20" s="17"/>
      <c r="E20" s="19"/>
      <c r="F20" s="7" t="str">
        <f aca="false">IF(A20="","",E20+Config!$B$4*7)</f>
        <v/>
      </c>
      <c r="G20" s="11" t="str">
        <f aca="true">IF(A20="","",MAX(0,MIN(Config!$B$4,INT((TODAY()-E20)/7)+1)))</f>
        <v/>
      </c>
      <c r="H20" s="11" t="str">
        <f aca="true">IF(A20="","",IF(TODAY()&lt;E20,"Not Started",IF(TODAY()&gt;F20,"Completed",IF(G20=1,"Onboarding",IF(G20&lt;=3,"Sprint 1",IF(G20&lt;=5,"Sprint 2",IF(G20&lt;=7,"Sprint 3",IF(G20&lt;=9,"Sprint 4","Final"))))))))</f>
        <v/>
      </c>
      <c r="I20" s="11" t="str">
        <f aca="true">IF(A20="","",IF(TODAY()&lt;E20,"Start",IF(TODAY()&lt;=E20+7,"Charter Approved",IF(TODAY()&lt;=E20+21,"Sprint 1 Review",IF(TODAY()&lt;=E20+35,"Sprint 2 Review",IF(TODAY()&lt;=E20+49,"Sprint 3 Review",IF(TODAY()&lt;=E20+63,"Sprint 4 Review","Final Review")))))))</f>
        <v/>
      </c>
      <c r="J20" s="7" t="str">
        <f aca="true">IF(A20="","",IF(TODAY()&lt;E20,E20,IF(TODAY()&lt;=E20+7,E20+7,IF(TODAY()&lt;=E20+21,E20+21,IF(TODAY()&lt;=E20+35,E20+35,IF(TODAY()&lt;=E20+49,E20+49,IF(TODAY()&lt;=E20+63,E20+63,E20+70)))))))</f>
        <v/>
      </c>
      <c r="K20" s="11" t="str">
        <f aca="true">IF(A20="","",J20-TODAY())</f>
        <v/>
      </c>
      <c r="L20" s="7" t="str">
        <f aca="false">IF(A20="","",IFERROR(LOOKUP(2,1/('Weekly Check-in'!$B$4:$B$1003=A20),'Weekly Check-in'!$A$4:$A$1003),""))</f>
        <v/>
      </c>
      <c r="M20" s="11" t="str">
        <f aca="true">IF(A20="","",IF(L20="","",TODAY()-L20))</f>
        <v/>
      </c>
      <c r="N20" s="11" t="str">
        <f aca="false">IF(A20="","",COUNTIFS('Weekly Check-in'!$B$4:$B$1003,A20,'Weekly Check-in'!$H$4:$H$1003,"&lt;&gt;"))</f>
        <v/>
      </c>
      <c r="O20" s="11" t="str">
        <f aca="true">IF(A20="","",IF(OR(R20="Completed",R20="Withdrawn",TODAY()&lt;E20),"GREEN",IF(L20="","YELLOW",IF(M20&gt;=Config!$B$7,"RED",IF(OR(M20&gt;=Config!$B$6,AND(K20&lt;=Config!$B$8,N20&gt;0)),"YELLOW",IF(N20&gt;0,"YELLOW","GREEN"))))))</f>
        <v/>
      </c>
      <c r="P20" s="17"/>
      <c r="Q20" s="11" t="str">
        <f aca="false">IF(A20="","",IF(P20&lt;&gt;"",P20,O20))</f>
        <v/>
      </c>
      <c r="R20" s="17"/>
      <c r="S20" s="18"/>
      <c r="T20" s="18"/>
    </row>
    <row r="21" customFormat="false" ht="15" hidden="false" customHeight="true" outlineLevel="0" collapsed="false">
      <c r="A21" s="17"/>
      <c r="B21" s="17"/>
      <c r="C21" s="17"/>
      <c r="D21" s="17"/>
      <c r="E21" s="19"/>
      <c r="F21" s="7" t="str">
        <f aca="false">IF(A21="","",E21+Config!$B$4*7)</f>
        <v/>
      </c>
      <c r="G21" s="11" t="str">
        <f aca="true">IF(A21="","",MAX(0,MIN(Config!$B$4,INT((TODAY()-E21)/7)+1)))</f>
        <v/>
      </c>
      <c r="H21" s="11" t="str">
        <f aca="true">IF(A21="","",IF(TODAY()&lt;E21,"Not Started",IF(TODAY()&gt;F21,"Completed",IF(G21=1,"Onboarding",IF(G21&lt;=3,"Sprint 1",IF(G21&lt;=5,"Sprint 2",IF(G21&lt;=7,"Sprint 3",IF(G21&lt;=9,"Sprint 4","Final"))))))))</f>
        <v/>
      </c>
      <c r="I21" s="11" t="str">
        <f aca="true">IF(A21="","",IF(TODAY()&lt;E21,"Start",IF(TODAY()&lt;=E21+7,"Charter Approved",IF(TODAY()&lt;=E21+21,"Sprint 1 Review",IF(TODAY()&lt;=E21+35,"Sprint 2 Review",IF(TODAY()&lt;=E21+49,"Sprint 3 Review",IF(TODAY()&lt;=E21+63,"Sprint 4 Review","Final Review")))))))</f>
        <v/>
      </c>
      <c r="J21" s="7" t="str">
        <f aca="true">IF(A21="","",IF(TODAY()&lt;E21,E21,IF(TODAY()&lt;=E21+7,E21+7,IF(TODAY()&lt;=E21+21,E21+21,IF(TODAY()&lt;=E21+35,E21+35,IF(TODAY()&lt;=E21+49,E21+49,IF(TODAY()&lt;=E21+63,E21+63,E21+70)))))))</f>
        <v/>
      </c>
      <c r="K21" s="11" t="str">
        <f aca="true">IF(A21="","",J21-TODAY())</f>
        <v/>
      </c>
      <c r="L21" s="7" t="str">
        <f aca="false">IF(A21="","",IFERROR(LOOKUP(2,1/('Weekly Check-in'!$B$4:$B$1003=A21),'Weekly Check-in'!$A$4:$A$1003),""))</f>
        <v/>
      </c>
      <c r="M21" s="11" t="str">
        <f aca="true">IF(A21="","",IF(L21="","",TODAY()-L21))</f>
        <v/>
      </c>
      <c r="N21" s="11" t="str">
        <f aca="false">IF(A21="","",COUNTIFS('Weekly Check-in'!$B$4:$B$1003,A21,'Weekly Check-in'!$H$4:$H$1003,"&lt;&gt;"))</f>
        <v/>
      </c>
      <c r="O21" s="11" t="str">
        <f aca="true">IF(A21="","",IF(OR(R21="Completed",R21="Withdrawn",TODAY()&lt;E21),"GREEN",IF(L21="","YELLOW",IF(M21&gt;=Config!$B$7,"RED",IF(OR(M21&gt;=Config!$B$6,AND(K21&lt;=Config!$B$8,N21&gt;0)),"YELLOW",IF(N21&gt;0,"YELLOW","GREEN"))))))</f>
        <v/>
      </c>
      <c r="P21" s="17"/>
      <c r="Q21" s="11" t="str">
        <f aca="false">IF(A21="","",IF(P21&lt;&gt;"",P21,O21))</f>
        <v/>
      </c>
      <c r="R21" s="17"/>
      <c r="S21" s="18"/>
      <c r="T21" s="18"/>
    </row>
    <row r="22" customFormat="false" ht="15" hidden="false" customHeight="true" outlineLevel="0" collapsed="false">
      <c r="A22" s="17"/>
      <c r="B22" s="17"/>
      <c r="C22" s="17"/>
      <c r="D22" s="17"/>
      <c r="E22" s="19"/>
      <c r="F22" s="7" t="str">
        <f aca="false">IF(A22="","",E22+Config!$B$4*7)</f>
        <v/>
      </c>
      <c r="G22" s="11" t="str">
        <f aca="true">IF(A22="","",MAX(0,MIN(Config!$B$4,INT((TODAY()-E22)/7)+1)))</f>
        <v/>
      </c>
      <c r="H22" s="11" t="str">
        <f aca="true">IF(A22="","",IF(TODAY()&lt;E22,"Not Started",IF(TODAY()&gt;F22,"Completed",IF(G22=1,"Onboarding",IF(G22&lt;=3,"Sprint 1",IF(G22&lt;=5,"Sprint 2",IF(G22&lt;=7,"Sprint 3",IF(G22&lt;=9,"Sprint 4","Final"))))))))</f>
        <v/>
      </c>
      <c r="I22" s="11" t="str">
        <f aca="true">IF(A22="","",IF(TODAY()&lt;E22,"Start",IF(TODAY()&lt;=E22+7,"Charter Approved",IF(TODAY()&lt;=E22+21,"Sprint 1 Review",IF(TODAY()&lt;=E22+35,"Sprint 2 Review",IF(TODAY()&lt;=E22+49,"Sprint 3 Review",IF(TODAY()&lt;=E22+63,"Sprint 4 Review","Final Review")))))))</f>
        <v/>
      </c>
      <c r="J22" s="7" t="str">
        <f aca="true">IF(A22="","",IF(TODAY()&lt;E22,E22,IF(TODAY()&lt;=E22+7,E22+7,IF(TODAY()&lt;=E22+21,E22+21,IF(TODAY()&lt;=E22+35,E22+35,IF(TODAY()&lt;=E22+49,E22+49,IF(TODAY()&lt;=E22+63,E22+63,E22+70)))))))</f>
        <v/>
      </c>
      <c r="K22" s="11" t="str">
        <f aca="true">IF(A22="","",J22-TODAY())</f>
        <v/>
      </c>
      <c r="L22" s="7" t="str">
        <f aca="false">IF(A22="","",IFERROR(LOOKUP(2,1/('Weekly Check-in'!$B$4:$B$1003=A22),'Weekly Check-in'!$A$4:$A$1003),""))</f>
        <v/>
      </c>
      <c r="M22" s="11" t="str">
        <f aca="true">IF(A22="","",IF(L22="","",TODAY()-L22))</f>
        <v/>
      </c>
      <c r="N22" s="11" t="str">
        <f aca="false">IF(A22="","",COUNTIFS('Weekly Check-in'!$B$4:$B$1003,A22,'Weekly Check-in'!$H$4:$H$1003,"&lt;&gt;"))</f>
        <v/>
      </c>
      <c r="O22" s="11" t="str">
        <f aca="true">IF(A22="","",IF(OR(R22="Completed",R22="Withdrawn",TODAY()&lt;E22),"GREEN",IF(L22="","YELLOW",IF(M22&gt;=Config!$B$7,"RED",IF(OR(M22&gt;=Config!$B$6,AND(K22&lt;=Config!$B$8,N22&gt;0)),"YELLOW",IF(N22&gt;0,"YELLOW","GREEN"))))))</f>
        <v/>
      </c>
      <c r="P22" s="17"/>
      <c r="Q22" s="11" t="str">
        <f aca="false">IF(A22="","",IF(P22&lt;&gt;"",P22,O22))</f>
        <v/>
      </c>
      <c r="R22" s="17"/>
      <c r="S22" s="18"/>
      <c r="T22" s="18"/>
    </row>
    <row r="23" customFormat="false" ht="15" hidden="false" customHeight="true" outlineLevel="0" collapsed="false">
      <c r="A23" s="17"/>
      <c r="B23" s="17"/>
      <c r="C23" s="17"/>
      <c r="D23" s="17"/>
      <c r="E23" s="19"/>
      <c r="F23" s="7" t="str">
        <f aca="false">IF(A23="","",E23+Config!$B$4*7)</f>
        <v/>
      </c>
      <c r="G23" s="11" t="str">
        <f aca="true">IF(A23="","",MAX(0,MIN(Config!$B$4,INT((TODAY()-E23)/7)+1)))</f>
        <v/>
      </c>
      <c r="H23" s="11" t="str">
        <f aca="true">IF(A23="","",IF(TODAY()&lt;E23,"Not Started",IF(TODAY()&gt;F23,"Completed",IF(G23=1,"Onboarding",IF(G23&lt;=3,"Sprint 1",IF(G23&lt;=5,"Sprint 2",IF(G23&lt;=7,"Sprint 3",IF(G23&lt;=9,"Sprint 4","Final"))))))))</f>
        <v/>
      </c>
      <c r="I23" s="11" t="str">
        <f aca="true">IF(A23="","",IF(TODAY()&lt;E23,"Start",IF(TODAY()&lt;=E23+7,"Charter Approved",IF(TODAY()&lt;=E23+21,"Sprint 1 Review",IF(TODAY()&lt;=E23+35,"Sprint 2 Review",IF(TODAY()&lt;=E23+49,"Sprint 3 Review",IF(TODAY()&lt;=E23+63,"Sprint 4 Review","Final Review")))))))</f>
        <v/>
      </c>
      <c r="J23" s="7" t="str">
        <f aca="true">IF(A23="","",IF(TODAY()&lt;E23,E23,IF(TODAY()&lt;=E23+7,E23+7,IF(TODAY()&lt;=E23+21,E23+21,IF(TODAY()&lt;=E23+35,E23+35,IF(TODAY()&lt;=E23+49,E23+49,IF(TODAY()&lt;=E23+63,E23+63,E23+70)))))))</f>
        <v/>
      </c>
      <c r="K23" s="11" t="str">
        <f aca="true">IF(A23="","",J23-TODAY())</f>
        <v/>
      </c>
      <c r="L23" s="7" t="str">
        <f aca="false">IF(A23="","",IFERROR(LOOKUP(2,1/('Weekly Check-in'!$B$4:$B$1003=A23),'Weekly Check-in'!$A$4:$A$1003),""))</f>
        <v/>
      </c>
      <c r="M23" s="11" t="str">
        <f aca="true">IF(A23="","",IF(L23="","",TODAY()-L23))</f>
        <v/>
      </c>
      <c r="N23" s="11" t="str">
        <f aca="false">IF(A23="","",COUNTIFS('Weekly Check-in'!$B$4:$B$1003,A23,'Weekly Check-in'!$H$4:$H$1003,"&lt;&gt;"))</f>
        <v/>
      </c>
      <c r="O23" s="11" t="str">
        <f aca="true">IF(A23="","",IF(OR(R23="Completed",R23="Withdrawn",TODAY()&lt;E23),"GREEN",IF(L23="","YELLOW",IF(M23&gt;=Config!$B$7,"RED",IF(OR(M23&gt;=Config!$B$6,AND(K23&lt;=Config!$B$8,N23&gt;0)),"YELLOW",IF(N23&gt;0,"YELLOW","GREEN"))))))</f>
        <v/>
      </c>
      <c r="P23" s="17"/>
      <c r="Q23" s="11" t="str">
        <f aca="false">IF(A23="","",IF(P23&lt;&gt;"",P23,O23))</f>
        <v/>
      </c>
      <c r="R23" s="17"/>
      <c r="S23" s="18"/>
      <c r="T23" s="18"/>
    </row>
    <row r="24" customFormat="false" ht="15" hidden="false" customHeight="true" outlineLevel="0" collapsed="false">
      <c r="A24" s="17"/>
      <c r="B24" s="17"/>
      <c r="C24" s="17"/>
      <c r="D24" s="17"/>
      <c r="E24" s="19"/>
      <c r="F24" s="7" t="str">
        <f aca="false">IF(A24="","",E24+Config!$B$4*7)</f>
        <v/>
      </c>
      <c r="G24" s="11" t="str">
        <f aca="true">IF(A24="","",MAX(0,MIN(Config!$B$4,INT((TODAY()-E24)/7)+1)))</f>
        <v/>
      </c>
      <c r="H24" s="11" t="str">
        <f aca="true">IF(A24="","",IF(TODAY()&lt;E24,"Not Started",IF(TODAY()&gt;F24,"Completed",IF(G24=1,"Onboarding",IF(G24&lt;=3,"Sprint 1",IF(G24&lt;=5,"Sprint 2",IF(G24&lt;=7,"Sprint 3",IF(G24&lt;=9,"Sprint 4","Final"))))))))</f>
        <v/>
      </c>
      <c r="I24" s="11" t="str">
        <f aca="true">IF(A24="","",IF(TODAY()&lt;E24,"Start",IF(TODAY()&lt;=E24+7,"Charter Approved",IF(TODAY()&lt;=E24+21,"Sprint 1 Review",IF(TODAY()&lt;=E24+35,"Sprint 2 Review",IF(TODAY()&lt;=E24+49,"Sprint 3 Review",IF(TODAY()&lt;=E24+63,"Sprint 4 Review","Final Review")))))))</f>
        <v/>
      </c>
      <c r="J24" s="7" t="str">
        <f aca="true">IF(A24="","",IF(TODAY()&lt;E24,E24,IF(TODAY()&lt;=E24+7,E24+7,IF(TODAY()&lt;=E24+21,E24+21,IF(TODAY()&lt;=E24+35,E24+35,IF(TODAY()&lt;=E24+49,E24+49,IF(TODAY()&lt;=E24+63,E24+63,E24+70)))))))</f>
        <v/>
      </c>
      <c r="K24" s="11" t="str">
        <f aca="true">IF(A24="","",J24-TODAY())</f>
        <v/>
      </c>
      <c r="L24" s="7" t="str">
        <f aca="false">IF(A24="","",IFERROR(LOOKUP(2,1/('Weekly Check-in'!$B$4:$B$1003=A24),'Weekly Check-in'!$A$4:$A$1003),""))</f>
        <v/>
      </c>
      <c r="M24" s="11" t="str">
        <f aca="true">IF(A24="","",IF(L24="","",TODAY()-L24))</f>
        <v/>
      </c>
      <c r="N24" s="11" t="str">
        <f aca="false">IF(A24="","",COUNTIFS('Weekly Check-in'!$B$4:$B$1003,A24,'Weekly Check-in'!$H$4:$H$1003,"&lt;&gt;"))</f>
        <v/>
      </c>
      <c r="O24" s="11" t="str">
        <f aca="true">IF(A24="","",IF(OR(R24="Completed",R24="Withdrawn",TODAY()&lt;E24),"GREEN",IF(L24="","YELLOW",IF(M24&gt;=Config!$B$7,"RED",IF(OR(M24&gt;=Config!$B$6,AND(K24&lt;=Config!$B$8,N24&gt;0)),"YELLOW",IF(N24&gt;0,"YELLOW","GREEN"))))))</f>
        <v/>
      </c>
      <c r="P24" s="17"/>
      <c r="Q24" s="11" t="str">
        <f aca="false">IF(A24="","",IF(P24&lt;&gt;"",P24,O24))</f>
        <v/>
      </c>
      <c r="R24" s="17"/>
      <c r="S24" s="18"/>
      <c r="T24" s="18"/>
    </row>
    <row r="25" customFormat="false" ht="15" hidden="false" customHeight="true" outlineLevel="0" collapsed="false">
      <c r="A25" s="17"/>
      <c r="B25" s="17"/>
      <c r="C25" s="17"/>
      <c r="D25" s="17"/>
      <c r="E25" s="19"/>
      <c r="F25" s="7" t="str">
        <f aca="false">IF(A25="","",E25+Config!$B$4*7)</f>
        <v/>
      </c>
      <c r="G25" s="11" t="str">
        <f aca="true">IF(A25="","",MAX(0,MIN(Config!$B$4,INT((TODAY()-E25)/7)+1)))</f>
        <v/>
      </c>
      <c r="H25" s="11" t="str">
        <f aca="true">IF(A25="","",IF(TODAY()&lt;E25,"Not Started",IF(TODAY()&gt;F25,"Completed",IF(G25=1,"Onboarding",IF(G25&lt;=3,"Sprint 1",IF(G25&lt;=5,"Sprint 2",IF(G25&lt;=7,"Sprint 3",IF(G25&lt;=9,"Sprint 4","Final"))))))))</f>
        <v/>
      </c>
      <c r="I25" s="11" t="str">
        <f aca="true">IF(A25="","",IF(TODAY()&lt;E25,"Start",IF(TODAY()&lt;=E25+7,"Charter Approved",IF(TODAY()&lt;=E25+21,"Sprint 1 Review",IF(TODAY()&lt;=E25+35,"Sprint 2 Review",IF(TODAY()&lt;=E25+49,"Sprint 3 Review",IF(TODAY()&lt;=E25+63,"Sprint 4 Review","Final Review")))))))</f>
        <v/>
      </c>
      <c r="J25" s="7" t="str">
        <f aca="true">IF(A25="","",IF(TODAY()&lt;E25,E25,IF(TODAY()&lt;=E25+7,E25+7,IF(TODAY()&lt;=E25+21,E25+21,IF(TODAY()&lt;=E25+35,E25+35,IF(TODAY()&lt;=E25+49,E25+49,IF(TODAY()&lt;=E25+63,E25+63,E25+70)))))))</f>
        <v/>
      </c>
      <c r="K25" s="11" t="str">
        <f aca="true">IF(A25="","",J25-TODAY())</f>
        <v/>
      </c>
      <c r="L25" s="7" t="str">
        <f aca="false">IF(A25="","",IFERROR(LOOKUP(2,1/('Weekly Check-in'!$B$4:$B$1003=A25),'Weekly Check-in'!$A$4:$A$1003),""))</f>
        <v/>
      </c>
      <c r="M25" s="11" t="str">
        <f aca="true">IF(A25="","",IF(L25="","",TODAY()-L25))</f>
        <v/>
      </c>
      <c r="N25" s="11" t="str">
        <f aca="false">IF(A25="","",COUNTIFS('Weekly Check-in'!$B$4:$B$1003,A25,'Weekly Check-in'!$H$4:$H$1003,"&lt;&gt;"))</f>
        <v/>
      </c>
      <c r="O25" s="11" t="str">
        <f aca="true">IF(A25="","",IF(OR(R25="Completed",R25="Withdrawn",TODAY()&lt;E25),"GREEN",IF(L25="","YELLOW",IF(M25&gt;=Config!$B$7,"RED",IF(OR(M25&gt;=Config!$B$6,AND(K25&lt;=Config!$B$8,N25&gt;0)),"YELLOW",IF(N25&gt;0,"YELLOW","GREEN"))))))</f>
        <v/>
      </c>
      <c r="P25" s="17"/>
      <c r="Q25" s="11" t="str">
        <f aca="false">IF(A25="","",IF(P25&lt;&gt;"",P25,O25))</f>
        <v/>
      </c>
      <c r="R25" s="17"/>
      <c r="S25" s="18"/>
      <c r="T25" s="18"/>
    </row>
    <row r="26" customFormat="false" ht="15" hidden="false" customHeight="true" outlineLevel="0" collapsed="false">
      <c r="A26" s="17"/>
      <c r="B26" s="17"/>
      <c r="C26" s="17"/>
      <c r="D26" s="17"/>
      <c r="E26" s="19"/>
      <c r="F26" s="7" t="str">
        <f aca="false">IF(A26="","",E26+Config!$B$4*7)</f>
        <v/>
      </c>
      <c r="G26" s="11" t="str">
        <f aca="true">IF(A26="","",MAX(0,MIN(Config!$B$4,INT((TODAY()-E26)/7)+1)))</f>
        <v/>
      </c>
      <c r="H26" s="11" t="str">
        <f aca="true">IF(A26="","",IF(TODAY()&lt;E26,"Not Started",IF(TODAY()&gt;F26,"Completed",IF(G26=1,"Onboarding",IF(G26&lt;=3,"Sprint 1",IF(G26&lt;=5,"Sprint 2",IF(G26&lt;=7,"Sprint 3",IF(G26&lt;=9,"Sprint 4","Final"))))))))</f>
        <v/>
      </c>
      <c r="I26" s="11" t="str">
        <f aca="true">IF(A26="","",IF(TODAY()&lt;E26,"Start",IF(TODAY()&lt;=E26+7,"Charter Approved",IF(TODAY()&lt;=E26+21,"Sprint 1 Review",IF(TODAY()&lt;=E26+35,"Sprint 2 Review",IF(TODAY()&lt;=E26+49,"Sprint 3 Review",IF(TODAY()&lt;=E26+63,"Sprint 4 Review","Final Review")))))))</f>
        <v/>
      </c>
      <c r="J26" s="7" t="str">
        <f aca="true">IF(A26="","",IF(TODAY()&lt;E26,E26,IF(TODAY()&lt;=E26+7,E26+7,IF(TODAY()&lt;=E26+21,E26+21,IF(TODAY()&lt;=E26+35,E26+35,IF(TODAY()&lt;=E26+49,E26+49,IF(TODAY()&lt;=E26+63,E26+63,E26+70)))))))</f>
        <v/>
      </c>
      <c r="K26" s="11" t="str">
        <f aca="true">IF(A26="","",J26-TODAY())</f>
        <v/>
      </c>
      <c r="L26" s="7" t="str">
        <f aca="false">IF(A26="","",IFERROR(LOOKUP(2,1/('Weekly Check-in'!$B$4:$B$1003=A26),'Weekly Check-in'!$A$4:$A$1003),""))</f>
        <v/>
      </c>
      <c r="M26" s="11" t="str">
        <f aca="true">IF(A26="","",IF(L26="","",TODAY()-L26))</f>
        <v/>
      </c>
      <c r="N26" s="11" t="str">
        <f aca="false">IF(A26="","",COUNTIFS('Weekly Check-in'!$B$4:$B$1003,A26,'Weekly Check-in'!$H$4:$H$1003,"&lt;&gt;"))</f>
        <v/>
      </c>
      <c r="O26" s="11" t="str">
        <f aca="true">IF(A26="","",IF(OR(R26="Completed",R26="Withdrawn",TODAY()&lt;E26),"GREEN",IF(L26="","YELLOW",IF(M26&gt;=Config!$B$7,"RED",IF(OR(M26&gt;=Config!$B$6,AND(K26&lt;=Config!$B$8,N26&gt;0)),"YELLOW",IF(N26&gt;0,"YELLOW","GREEN"))))))</f>
        <v/>
      </c>
      <c r="P26" s="17"/>
      <c r="Q26" s="11" t="str">
        <f aca="false">IF(A26="","",IF(P26&lt;&gt;"",P26,O26))</f>
        <v/>
      </c>
      <c r="R26" s="17"/>
      <c r="S26" s="18"/>
      <c r="T26" s="18"/>
    </row>
    <row r="27" customFormat="false" ht="15" hidden="false" customHeight="true" outlineLevel="0" collapsed="false">
      <c r="A27" s="17"/>
      <c r="B27" s="17"/>
      <c r="C27" s="17"/>
      <c r="D27" s="17"/>
      <c r="E27" s="19"/>
      <c r="F27" s="7" t="str">
        <f aca="false">IF(A27="","",E27+Config!$B$4*7)</f>
        <v/>
      </c>
      <c r="G27" s="11" t="str">
        <f aca="true">IF(A27="","",MAX(0,MIN(Config!$B$4,INT((TODAY()-E27)/7)+1)))</f>
        <v/>
      </c>
      <c r="H27" s="11" t="str">
        <f aca="true">IF(A27="","",IF(TODAY()&lt;E27,"Not Started",IF(TODAY()&gt;F27,"Completed",IF(G27=1,"Onboarding",IF(G27&lt;=3,"Sprint 1",IF(G27&lt;=5,"Sprint 2",IF(G27&lt;=7,"Sprint 3",IF(G27&lt;=9,"Sprint 4","Final"))))))))</f>
        <v/>
      </c>
      <c r="I27" s="11" t="str">
        <f aca="true">IF(A27="","",IF(TODAY()&lt;E27,"Start",IF(TODAY()&lt;=E27+7,"Charter Approved",IF(TODAY()&lt;=E27+21,"Sprint 1 Review",IF(TODAY()&lt;=E27+35,"Sprint 2 Review",IF(TODAY()&lt;=E27+49,"Sprint 3 Review",IF(TODAY()&lt;=E27+63,"Sprint 4 Review","Final Review")))))))</f>
        <v/>
      </c>
      <c r="J27" s="7" t="str">
        <f aca="true">IF(A27="","",IF(TODAY()&lt;E27,E27,IF(TODAY()&lt;=E27+7,E27+7,IF(TODAY()&lt;=E27+21,E27+21,IF(TODAY()&lt;=E27+35,E27+35,IF(TODAY()&lt;=E27+49,E27+49,IF(TODAY()&lt;=E27+63,E27+63,E27+70)))))))</f>
        <v/>
      </c>
      <c r="K27" s="11" t="str">
        <f aca="true">IF(A27="","",J27-TODAY())</f>
        <v/>
      </c>
      <c r="L27" s="7" t="str">
        <f aca="false">IF(A27="","",IFERROR(LOOKUP(2,1/('Weekly Check-in'!$B$4:$B$1003=A27),'Weekly Check-in'!$A$4:$A$1003),""))</f>
        <v/>
      </c>
      <c r="M27" s="11" t="str">
        <f aca="true">IF(A27="","",IF(L27="","",TODAY()-L27))</f>
        <v/>
      </c>
      <c r="N27" s="11" t="str">
        <f aca="false">IF(A27="","",COUNTIFS('Weekly Check-in'!$B$4:$B$1003,A27,'Weekly Check-in'!$H$4:$H$1003,"&lt;&gt;"))</f>
        <v/>
      </c>
      <c r="O27" s="11" t="str">
        <f aca="true">IF(A27="","",IF(OR(R27="Completed",R27="Withdrawn",TODAY()&lt;E27),"GREEN",IF(L27="","YELLOW",IF(M27&gt;=Config!$B$7,"RED",IF(OR(M27&gt;=Config!$B$6,AND(K27&lt;=Config!$B$8,N27&gt;0)),"YELLOW",IF(N27&gt;0,"YELLOW","GREEN"))))))</f>
        <v/>
      </c>
      <c r="P27" s="17"/>
      <c r="Q27" s="11" t="str">
        <f aca="false">IF(A27="","",IF(P27&lt;&gt;"",P27,O27))</f>
        <v/>
      </c>
      <c r="R27" s="17"/>
      <c r="S27" s="18"/>
      <c r="T27" s="18"/>
    </row>
    <row r="28" customFormat="false" ht="15" hidden="false" customHeight="true" outlineLevel="0" collapsed="false">
      <c r="A28" s="17"/>
      <c r="B28" s="17"/>
      <c r="C28" s="17"/>
      <c r="D28" s="17"/>
      <c r="E28" s="19"/>
      <c r="F28" s="7" t="str">
        <f aca="false">IF(A28="","",E28+Config!$B$4*7)</f>
        <v/>
      </c>
      <c r="G28" s="11" t="str">
        <f aca="true">IF(A28="","",MAX(0,MIN(Config!$B$4,INT((TODAY()-E28)/7)+1)))</f>
        <v/>
      </c>
      <c r="H28" s="11" t="str">
        <f aca="true">IF(A28="","",IF(TODAY()&lt;E28,"Not Started",IF(TODAY()&gt;F28,"Completed",IF(G28=1,"Onboarding",IF(G28&lt;=3,"Sprint 1",IF(G28&lt;=5,"Sprint 2",IF(G28&lt;=7,"Sprint 3",IF(G28&lt;=9,"Sprint 4","Final"))))))))</f>
        <v/>
      </c>
      <c r="I28" s="11" t="str">
        <f aca="true">IF(A28="","",IF(TODAY()&lt;E28,"Start",IF(TODAY()&lt;=E28+7,"Charter Approved",IF(TODAY()&lt;=E28+21,"Sprint 1 Review",IF(TODAY()&lt;=E28+35,"Sprint 2 Review",IF(TODAY()&lt;=E28+49,"Sprint 3 Review",IF(TODAY()&lt;=E28+63,"Sprint 4 Review","Final Review")))))))</f>
        <v/>
      </c>
      <c r="J28" s="7" t="str">
        <f aca="true">IF(A28="","",IF(TODAY()&lt;E28,E28,IF(TODAY()&lt;=E28+7,E28+7,IF(TODAY()&lt;=E28+21,E28+21,IF(TODAY()&lt;=E28+35,E28+35,IF(TODAY()&lt;=E28+49,E28+49,IF(TODAY()&lt;=E28+63,E28+63,E28+70)))))))</f>
        <v/>
      </c>
      <c r="K28" s="11" t="str">
        <f aca="true">IF(A28="","",J28-TODAY())</f>
        <v/>
      </c>
      <c r="L28" s="7" t="str">
        <f aca="false">IF(A28="","",IFERROR(LOOKUP(2,1/('Weekly Check-in'!$B$4:$B$1003=A28),'Weekly Check-in'!$A$4:$A$1003),""))</f>
        <v/>
      </c>
      <c r="M28" s="11" t="str">
        <f aca="true">IF(A28="","",IF(L28="","",TODAY()-L28))</f>
        <v/>
      </c>
      <c r="N28" s="11" t="str">
        <f aca="false">IF(A28="","",COUNTIFS('Weekly Check-in'!$B$4:$B$1003,A28,'Weekly Check-in'!$H$4:$H$1003,"&lt;&gt;"))</f>
        <v/>
      </c>
      <c r="O28" s="11" t="str">
        <f aca="true">IF(A28="","",IF(OR(R28="Completed",R28="Withdrawn",TODAY()&lt;E28),"GREEN",IF(L28="","YELLOW",IF(M28&gt;=Config!$B$7,"RED",IF(OR(M28&gt;=Config!$B$6,AND(K28&lt;=Config!$B$8,N28&gt;0)),"YELLOW",IF(N28&gt;0,"YELLOW","GREEN"))))))</f>
        <v/>
      </c>
      <c r="P28" s="17"/>
      <c r="Q28" s="11" t="str">
        <f aca="false">IF(A28="","",IF(P28&lt;&gt;"",P28,O28))</f>
        <v/>
      </c>
      <c r="R28" s="17"/>
      <c r="S28" s="18"/>
      <c r="T28" s="18"/>
    </row>
    <row r="29" customFormat="false" ht="15" hidden="false" customHeight="true" outlineLevel="0" collapsed="false">
      <c r="A29" s="17"/>
      <c r="B29" s="17"/>
      <c r="C29" s="17"/>
      <c r="D29" s="17"/>
      <c r="E29" s="19"/>
      <c r="F29" s="7" t="str">
        <f aca="false">IF(A29="","",E29+Config!$B$4*7)</f>
        <v/>
      </c>
      <c r="G29" s="11" t="str">
        <f aca="true">IF(A29="","",MAX(0,MIN(Config!$B$4,INT((TODAY()-E29)/7)+1)))</f>
        <v/>
      </c>
      <c r="H29" s="11" t="str">
        <f aca="true">IF(A29="","",IF(TODAY()&lt;E29,"Not Started",IF(TODAY()&gt;F29,"Completed",IF(G29=1,"Onboarding",IF(G29&lt;=3,"Sprint 1",IF(G29&lt;=5,"Sprint 2",IF(G29&lt;=7,"Sprint 3",IF(G29&lt;=9,"Sprint 4","Final"))))))))</f>
        <v/>
      </c>
      <c r="I29" s="11" t="str">
        <f aca="true">IF(A29="","",IF(TODAY()&lt;E29,"Start",IF(TODAY()&lt;=E29+7,"Charter Approved",IF(TODAY()&lt;=E29+21,"Sprint 1 Review",IF(TODAY()&lt;=E29+35,"Sprint 2 Review",IF(TODAY()&lt;=E29+49,"Sprint 3 Review",IF(TODAY()&lt;=E29+63,"Sprint 4 Review","Final Review")))))))</f>
        <v/>
      </c>
      <c r="J29" s="7" t="str">
        <f aca="true">IF(A29="","",IF(TODAY()&lt;E29,E29,IF(TODAY()&lt;=E29+7,E29+7,IF(TODAY()&lt;=E29+21,E29+21,IF(TODAY()&lt;=E29+35,E29+35,IF(TODAY()&lt;=E29+49,E29+49,IF(TODAY()&lt;=E29+63,E29+63,E29+70)))))))</f>
        <v/>
      </c>
      <c r="K29" s="11" t="str">
        <f aca="true">IF(A29="","",J29-TODAY())</f>
        <v/>
      </c>
      <c r="L29" s="7" t="str">
        <f aca="false">IF(A29="","",IFERROR(LOOKUP(2,1/('Weekly Check-in'!$B$4:$B$1003=A29),'Weekly Check-in'!$A$4:$A$1003),""))</f>
        <v/>
      </c>
      <c r="M29" s="11" t="str">
        <f aca="true">IF(A29="","",IF(L29="","",TODAY()-L29))</f>
        <v/>
      </c>
      <c r="N29" s="11" t="str">
        <f aca="false">IF(A29="","",COUNTIFS('Weekly Check-in'!$B$4:$B$1003,A29,'Weekly Check-in'!$H$4:$H$1003,"&lt;&gt;"))</f>
        <v/>
      </c>
      <c r="O29" s="11" t="str">
        <f aca="true">IF(A29="","",IF(OR(R29="Completed",R29="Withdrawn",TODAY()&lt;E29),"GREEN",IF(L29="","YELLOW",IF(M29&gt;=Config!$B$7,"RED",IF(OR(M29&gt;=Config!$B$6,AND(K29&lt;=Config!$B$8,N29&gt;0)),"YELLOW",IF(N29&gt;0,"YELLOW","GREEN"))))))</f>
        <v/>
      </c>
      <c r="P29" s="17"/>
      <c r="Q29" s="11" t="str">
        <f aca="false">IF(A29="","",IF(P29&lt;&gt;"",P29,O29))</f>
        <v/>
      </c>
      <c r="R29" s="17"/>
      <c r="S29" s="18"/>
      <c r="T29" s="18"/>
    </row>
    <row r="30" customFormat="false" ht="15" hidden="false" customHeight="true" outlineLevel="0" collapsed="false">
      <c r="A30" s="17"/>
      <c r="B30" s="17"/>
      <c r="C30" s="17"/>
      <c r="D30" s="17"/>
      <c r="E30" s="19"/>
      <c r="F30" s="7" t="str">
        <f aca="false">IF(A30="","",E30+Config!$B$4*7)</f>
        <v/>
      </c>
      <c r="G30" s="11" t="str">
        <f aca="true">IF(A30="","",MAX(0,MIN(Config!$B$4,INT((TODAY()-E30)/7)+1)))</f>
        <v/>
      </c>
      <c r="H30" s="11" t="str">
        <f aca="true">IF(A30="","",IF(TODAY()&lt;E30,"Not Started",IF(TODAY()&gt;F30,"Completed",IF(G30=1,"Onboarding",IF(G30&lt;=3,"Sprint 1",IF(G30&lt;=5,"Sprint 2",IF(G30&lt;=7,"Sprint 3",IF(G30&lt;=9,"Sprint 4","Final"))))))))</f>
        <v/>
      </c>
      <c r="I30" s="11" t="str">
        <f aca="true">IF(A30="","",IF(TODAY()&lt;E30,"Start",IF(TODAY()&lt;=E30+7,"Charter Approved",IF(TODAY()&lt;=E30+21,"Sprint 1 Review",IF(TODAY()&lt;=E30+35,"Sprint 2 Review",IF(TODAY()&lt;=E30+49,"Sprint 3 Review",IF(TODAY()&lt;=E30+63,"Sprint 4 Review","Final Review")))))))</f>
        <v/>
      </c>
      <c r="J30" s="7" t="str">
        <f aca="true">IF(A30="","",IF(TODAY()&lt;E30,E30,IF(TODAY()&lt;=E30+7,E30+7,IF(TODAY()&lt;=E30+21,E30+21,IF(TODAY()&lt;=E30+35,E30+35,IF(TODAY()&lt;=E30+49,E30+49,IF(TODAY()&lt;=E30+63,E30+63,E30+70)))))))</f>
        <v/>
      </c>
      <c r="K30" s="11" t="str">
        <f aca="true">IF(A30="","",J30-TODAY())</f>
        <v/>
      </c>
      <c r="L30" s="7" t="str">
        <f aca="false">IF(A30="","",IFERROR(LOOKUP(2,1/('Weekly Check-in'!$B$4:$B$1003=A30),'Weekly Check-in'!$A$4:$A$1003),""))</f>
        <v/>
      </c>
      <c r="M30" s="11" t="str">
        <f aca="true">IF(A30="","",IF(L30="","",TODAY()-L30))</f>
        <v/>
      </c>
      <c r="N30" s="11" t="str">
        <f aca="false">IF(A30="","",COUNTIFS('Weekly Check-in'!$B$4:$B$1003,A30,'Weekly Check-in'!$H$4:$H$1003,"&lt;&gt;"))</f>
        <v/>
      </c>
      <c r="O30" s="11" t="str">
        <f aca="true">IF(A30="","",IF(OR(R30="Completed",R30="Withdrawn",TODAY()&lt;E30),"GREEN",IF(L30="","YELLOW",IF(M30&gt;=Config!$B$7,"RED",IF(OR(M30&gt;=Config!$B$6,AND(K30&lt;=Config!$B$8,N30&gt;0)),"YELLOW",IF(N30&gt;0,"YELLOW","GREEN"))))))</f>
        <v/>
      </c>
      <c r="P30" s="17"/>
      <c r="Q30" s="11" t="str">
        <f aca="false">IF(A30="","",IF(P30&lt;&gt;"",P30,O30))</f>
        <v/>
      </c>
      <c r="R30" s="17"/>
      <c r="S30" s="18"/>
      <c r="T30" s="18"/>
    </row>
    <row r="31" customFormat="false" ht="15" hidden="false" customHeight="true" outlineLevel="0" collapsed="false">
      <c r="A31" s="17"/>
      <c r="B31" s="17"/>
      <c r="C31" s="17"/>
      <c r="D31" s="17"/>
      <c r="E31" s="19"/>
      <c r="F31" s="7" t="str">
        <f aca="false">IF(A31="","",E31+Config!$B$4*7)</f>
        <v/>
      </c>
      <c r="G31" s="11" t="str">
        <f aca="true">IF(A31="","",MAX(0,MIN(Config!$B$4,INT((TODAY()-E31)/7)+1)))</f>
        <v/>
      </c>
      <c r="H31" s="11" t="str">
        <f aca="true">IF(A31="","",IF(TODAY()&lt;E31,"Not Started",IF(TODAY()&gt;F31,"Completed",IF(G31=1,"Onboarding",IF(G31&lt;=3,"Sprint 1",IF(G31&lt;=5,"Sprint 2",IF(G31&lt;=7,"Sprint 3",IF(G31&lt;=9,"Sprint 4","Final"))))))))</f>
        <v/>
      </c>
      <c r="I31" s="11" t="str">
        <f aca="true">IF(A31="","",IF(TODAY()&lt;E31,"Start",IF(TODAY()&lt;=E31+7,"Charter Approved",IF(TODAY()&lt;=E31+21,"Sprint 1 Review",IF(TODAY()&lt;=E31+35,"Sprint 2 Review",IF(TODAY()&lt;=E31+49,"Sprint 3 Review",IF(TODAY()&lt;=E31+63,"Sprint 4 Review","Final Review")))))))</f>
        <v/>
      </c>
      <c r="J31" s="7" t="str">
        <f aca="true">IF(A31="","",IF(TODAY()&lt;E31,E31,IF(TODAY()&lt;=E31+7,E31+7,IF(TODAY()&lt;=E31+21,E31+21,IF(TODAY()&lt;=E31+35,E31+35,IF(TODAY()&lt;=E31+49,E31+49,IF(TODAY()&lt;=E31+63,E31+63,E31+70)))))))</f>
        <v/>
      </c>
      <c r="K31" s="11" t="str">
        <f aca="true">IF(A31="","",J31-TODAY())</f>
        <v/>
      </c>
      <c r="L31" s="7" t="str">
        <f aca="false">IF(A31="","",IFERROR(LOOKUP(2,1/('Weekly Check-in'!$B$4:$B$1003=A31),'Weekly Check-in'!$A$4:$A$1003),""))</f>
        <v/>
      </c>
      <c r="M31" s="11" t="str">
        <f aca="true">IF(A31="","",IF(L31="","",TODAY()-L31))</f>
        <v/>
      </c>
      <c r="N31" s="11" t="str">
        <f aca="false">IF(A31="","",COUNTIFS('Weekly Check-in'!$B$4:$B$1003,A31,'Weekly Check-in'!$H$4:$H$1003,"&lt;&gt;"))</f>
        <v/>
      </c>
      <c r="O31" s="11" t="str">
        <f aca="true">IF(A31="","",IF(OR(R31="Completed",R31="Withdrawn",TODAY()&lt;E31),"GREEN",IF(L31="","YELLOW",IF(M31&gt;=Config!$B$7,"RED",IF(OR(M31&gt;=Config!$B$6,AND(K31&lt;=Config!$B$8,N31&gt;0)),"YELLOW",IF(N31&gt;0,"YELLOW","GREEN"))))))</f>
        <v/>
      </c>
      <c r="P31" s="17"/>
      <c r="Q31" s="11" t="str">
        <f aca="false">IF(A31="","",IF(P31&lt;&gt;"",P31,O31))</f>
        <v/>
      </c>
      <c r="R31" s="17"/>
      <c r="S31" s="18"/>
      <c r="T31" s="18"/>
    </row>
    <row r="32" customFormat="false" ht="15" hidden="false" customHeight="true" outlineLevel="0" collapsed="false">
      <c r="A32" s="17"/>
      <c r="B32" s="17"/>
      <c r="C32" s="17"/>
      <c r="D32" s="17"/>
      <c r="E32" s="19"/>
      <c r="F32" s="7" t="str">
        <f aca="false">IF(A32="","",E32+Config!$B$4*7)</f>
        <v/>
      </c>
      <c r="G32" s="11" t="str">
        <f aca="true">IF(A32="","",MAX(0,MIN(Config!$B$4,INT((TODAY()-E32)/7)+1)))</f>
        <v/>
      </c>
      <c r="H32" s="11" t="str">
        <f aca="true">IF(A32="","",IF(TODAY()&lt;E32,"Not Started",IF(TODAY()&gt;F32,"Completed",IF(G32=1,"Onboarding",IF(G32&lt;=3,"Sprint 1",IF(G32&lt;=5,"Sprint 2",IF(G32&lt;=7,"Sprint 3",IF(G32&lt;=9,"Sprint 4","Final"))))))))</f>
        <v/>
      </c>
      <c r="I32" s="11" t="str">
        <f aca="true">IF(A32="","",IF(TODAY()&lt;E32,"Start",IF(TODAY()&lt;=E32+7,"Charter Approved",IF(TODAY()&lt;=E32+21,"Sprint 1 Review",IF(TODAY()&lt;=E32+35,"Sprint 2 Review",IF(TODAY()&lt;=E32+49,"Sprint 3 Review",IF(TODAY()&lt;=E32+63,"Sprint 4 Review","Final Review")))))))</f>
        <v/>
      </c>
      <c r="J32" s="7" t="str">
        <f aca="true">IF(A32="","",IF(TODAY()&lt;E32,E32,IF(TODAY()&lt;=E32+7,E32+7,IF(TODAY()&lt;=E32+21,E32+21,IF(TODAY()&lt;=E32+35,E32+35,IF(TODAY()&lt;=E32+49,E32+49,IF(TODAY()&lt;=E32+63,E32+63,E32+70)))))))</f>
        <v/>
      </c>
      <c r="K32" s="11" t="str">
        <f aca="true">IF(A32="","",J32-TODAY())</f>
        <v/>
      </c>
      <c r="L32" s="7" t="str">
        <f aca="false">IF(A32="","",IFERROR(LOOKUP(2,1/('Weekly Check-in'!$B$4:$B$1003=A32),'Weekly Check-in'!$A$4:$A$1003),""))</f>
        <v/>
      </c>
      <c r="M32" s="11" t="str">
        <f aca="true">IF(A32="","",IF(L32="","",TODAY()-L32))</f>
        <v/>
      </c>
      <c r="N32" s="11" t="str">
        <f aca="false">IF(A32="","",COUNTIFS('Weekly Check-in'!$B$4:$B$1003,A32,'Weekly Check-in'!$H$4:$H$1003,"&lt;&gt;"))</f>
        <v/>
      </c>
      <c r="O32" s="11" t="str">
        <f aca="true">IF(A32="","",IF(OR(R32="Completed",R32="Withdrawn",TODAY()&lt;E32),"GREEN",IF(L32="","YELLOW",IF(M32&gt;=Config!$B$7,"RED",IF(OR(M32&gt;=Config!$B$6,AND(K32&lt;=Config!$B$8,N32&gt;0)),"YELLOW",IF(N32&gt;0,"YELLOW","GREEN"))))))</f>
        <v/>
      </c>
      <c r="P32" s="17"/>
      <c r="Q32" s="11" t="str">
        <f aca="false">IF(A32="","",IF(P32&lt;&gt;"",P32,O32))</f>
        <v/>
      </c>
      <c r="R32" s="17"/>
      <c r="S32" s="18"/>
      <c r="T32" s="18"/>
    </row>
    <row r="33" customFormat="false" ht="15" hidden="false" customHeight="true" outlineLevel="0" collapsed="false">
      <c r="A33" s="17"/>
      <c r="B33" s="17"/>
      <c r="C33" s="17"/>
      <c r="D33" s="17"/>
      <c r="E33" s="19"/>
      <c r="F33" s="7" t="str">
        <f aca="false">IF(A33="","",E33+Config!$B$4*7)</f>
        <v/>
      </c>
      <c r="G33" s="11" t="str">
        <f aca="true">IF(A33="","",MAX(0,MIN(Config!$B$4,INT((TODAY()-E33)/7)+1)))</f>
        <v/>
      </c>
      <c r="H33" s="11" t="str">
        <f aca="true">IF(A33="","",IF(TODAY()&lt;E33,"Not Started",IF(TODAY()&gt;F33,"Completed",IF(G33=1,"Onboarding",IF(G33&lt;=3,"Sprint 1",IF(G33&lt;=5,"Sprint 2",IF(G33&lt;=7,"Sprint 3",IF(G33&lt;=9,"Sprint 4","Final"))))))))</f>
        <v/>
      </c>
      <c r="I33" s="11" t="str">
        <f aca="true">IF(A33="","",IF(TODAY()&lt;E33,"Start",IF(TODAY()&lt;=E33+7,"Charter Approved",IF(TODAY()&lt;=E33+21,"Sprint 1 Review",IF(TODAY()&lt;=E33+35,"Sprint 2 Review",IF(TODAY()&lt;=E33+49,"Sprint 3 Review",IF(TODAY()&lt;=E33+63,"Sprint 4 Review","Final Review")))))))</f>
        <v/>
      </c>
      <c r="J33" s="7" t="str">
        <f aca="true">IF(A33="","",IF(TODAY()&lt;E33,E33,IF(TODAY()&lt;=E33+7,E33+7,IF(TODAY()&lt;=E33+21,E33+21,IF(TODAY()&lt;=E33+35,E33+35,IF(TODAY()&lt;=E33+49,E33+49,IF(TODAY()&lt;=E33+63,E33+63,E33+70)))))))</f>
        <v/>
      </c>
      <c r="K33" s="11" t="str">
        <f aca="true">IF(A33="","",J33-TODAY())</f>
        <v/>
      </c>
      <c r="L33" s="7" t="str">
        <f aca="false">IF(A33="","",IFERROR(LOOKUP(2,1/('Weekly Check-in'!$B$4:$B$1003=A33),'Weekly Check-in'!$A$4:$A$1003),""))</f>
        <v/>
      </c>
      <c r="M33" s="11" t="str">
        <f aca="true">IF(A33="","",IF(L33="","",TODAY()-L33))</f>
        <v/>
      </c>
      <c r="N33" s="11" t="str">
        <f aca="false">IF(A33="","",COUNTIFS('Weekly Check-in'!$B$4:$B$1003,A33,'Weekly Check-in'!$H$4:$H$1003,"&lt;&gt;"))</f>
        <v/>
      </c>
      <c r="O33" s="11" t="str">
        <f aca="true">IF(A33="","",IF(OR(R33="Completed",R33="Withdrawn",TODAY()&lt;E33),"GREEN",IF(L33="","YELLOW",IF(M33&gt;=Config!$B$7,"RED",IF(OR(M33&gt;=Config!$B$6,AND(K33&lt;=Config!$B$8,N33&gt;0)),"YELLOW",IF(N33&gt;0,"YELLOW","GREEN"))))))</f>
        <v/>
      </c>
      <c r="P33" s="17"/>
      <c r="Q33" s="11" t="str">
        <f aca="false">IF(A33="","",IF(P33&lt;&gt;"",P33,O33))</f>
        <v/>
      </c>
      <c r="R33" s="17"/>
      <c r="S33" s="18"/>
      <c r="T33" s="18"/>
    </row>
    <row r="34" customFormat="false" ht="15" hidden="false" customHeight="true" outlineLevel="0" collapsed="false">
      <c r="A34" s="17"/>
      <c r="B34" s="17"/>
      <c r="C34" s="17"/>
      <c r="D34" s="17"/>
      <c r="E34" s="19"/>
      <c r="F34" s="7" t="str">
        <f aca="false">IF(A34="","",E34+Config!$B$4*7)</f>
        <v/>
      </c>
      <c r="G34" s="11" t="str">
        <f aca="true">IF(A34="","",MAX(0,MIN(Config!$B$4,INT((TODAY()-E34)/7)+1)))</f>
        <v/>
      </c>
      <c r="H34" s="11" t="str">
        <f aca="true">IF(A34="","",IF(TODAY()&lt;E34,"Not Started",IF(TODAY()&gt;F34,"Completed",IF(G34=1,"Onboarding",IF(G34&lt;=3,"Sprint 1",IF(G34&lt;=5,"Sprint 2",IF(G34&lt;=7,"Sprint 3",IF(G34&lt;=9,"Sprint 4","Final"))))))))</f>
        <v/>
      </c>
      <c r="I34" s="11" t="str">
        <f aca="true">IF(A34="","",IF(TODAY()&lt;E34,"Start",IF(TODAY()&lt;=E34+7,"Charter Approved",IF(TODAY()&lt;=E34+21,"Sprint 1 Review",IF(TODAY()&lt;=E34+35,"Sprint 2 Review",IF(TODAY()&lt;=E34+49,"Sprint 3 Review",IF(TODAY()&lt;=E34+63,"Sprint 4 Review","Final Review")))))))</f>
        <v/>
      </c>
      <c r="J34" s="7" t="str">
        <f aca="true">IF(A34="","",IF(TODAY()&lt;E34,E34,IF(TODAY()&lt;=E34+7,E34+7,IF(TODAY()&lt;=E34+21,E34+21,IF(TODAY()&lt;=E34+35,E34+35,IF(TODAY()&lt;=E34+49,E34+49,IF(TODAY()&lt;=E34+63,E34+63,E34+70)))))))</f>
        <v/>
      </c>
      <c r="K34" s="11" t="str">
        <f aca="true">IF(A34="","",J34-TODAY())</f>
        <v/>
      </c>
      <c r="L34" s="7" t="str">
        <f aca="false">IF(A34="","",IFERROR(LOOKUP(2,1/('Weekly Check-in'!$B$4:$B$1003=A34),'Weekly Check-in'!$A$4:$A$1003),""))</f>
        <v/>
      </c>
      <c r="M34" s="11" t="str">
        <f aca="true">IF(A34="","",IF(L34="","",TODAY()-L34))</f>
        <v/>
      </c>
      <c r="N34" s="11" t="str">
        <f aca="false">IF(A34="","",COUNTIFS('Weekly Check-in'!$B$4:$B$1003,A34,'Weekly Check-in'!$H$4:$H$1003,"&lt;&gt;"))</f>
        <v/>
      </c>
      <c r="O34" s="11" t="str">
        <f aca="true">IF(A34="","",IF(OR(R34="Completed",R34="Withdrawn",TODAY()&lt;E34),"GREEN",IF(L34="","YELLOW",IF(M34&gt;=Config!$B$7,"RED",IF(OR(M34&gt;=Config!$B$6,AND(K34&lt;=Config!$B$8,N34&gt;0)),"YELLOW",IF(N34&gt;0,"YELLOW","GREEN"))))))</f>
        <v/>
      </c>
      <c r="P34" s="17"/>
      <c r="Q34" s="11" t="str">
        <f aca="false">IF(A34="","",IF(P34&lt;&gt;"",P34,O34))</f>
        <v/>
      </c>
      <c r="R34" s="17"/>
      <c r="S34" s="18"/>
      <c r="T34" s="18"/>
    </row>
    <row r="35" customFormat="false" ht="15" hidden="false" customHeight="true" outlineLevel="0" collapsed="false">
      <c r="A35" s="17"/>
      <c r="B35" s="17"/>
      <c r="C35" s="17"/>
      <c r="D35" s="17"/>
      <c r="E35" s="19"/>
      <c r="F35" s="7" t="str">
        <f aca="false">IF(A35="","",E35+Config!$B$4*7)</f>
        <v/>
      </c>
      <c r="G35" s="11" t="str">
        <f aca="true">IF(A35="","",MAX(0,MIN(Config!$B$4,INT((TODAY()-E35)/7)+1)))</f>
        <v/>
      </c>
      <c r="H35" s="11" t="str">
        <f aca="true">IF(A35="","",IF(TODAY()&lt;E35,"Not Started",IF(TODAY()&gt;F35,"Completed",IF(G35=1,"Onboarding",IF(G35&lt;=3,"Sprint 1",IF(G35&lt;=5,"Sprint 2",IF(G35&lt;=7,"Sprint 3",IF(G35&lt;=9,"Sprint 4","Final"))))))))</f>
        <v/>
      </c>
      <c r="I35" s="11" t="str">
        <f aca="true">IF(A35="","",IF(TODAY()&lt;E35,"Start",IF(TODAY()&lt;=E35+7,"Charter Approved",IF(TODAY()&lt;=E35+21,"Sprint 1 Review",IF(TODAY()&lt;=E35+35,"Sprint 2 Review",IF(TODAY()&lt;=E35+49,"Sprint 3 Review",IF(TODAY()&lt;=E35+63,"Sprint 4 Review","Final Review")))))))</f>
        <v/>
      </c>
      <c r="J35" s="7" t="str">
        <f aca="true">IF(A35="","",IF(TODAY()&lt;E35,E35,IF(TODAY()&lt;=E35+7,E35+7,IF(TODAY()&lt;=E35+21,E35+21,IF(TODAY()&lt;=E35+35,E35+35,IF(TODAY()&lt;=E35+49,E35+49,IF(TODAY()&lt;=E35+63,E35+63,E35+70)))))))</f>
        <v/>
      </c>
      <c r="K35" s="11" t="str">
        <f aca="true">IF(A35="","",J35-TODAY())</f>
        <v/>
      </c>
      <c r="L35" s="7" t="str">
        <f aca="false">IF(A35="","",IFERROR(LOOKUP(2,1/('Weekly Check-in'!$B$4:$B$1003=A35),'Weekly Check-in'!$A$4:$A$1003),""))</f>
        <v/>
      </c>
      <c r="M35" s="11" t="str">
        <f aca="true">IF(A35="","",IF(L35="","",TODAY()-L35))</f>
        <v/>
      </c>
      <c r="N35" s="11" t="str">
        <f aca="false">IF(A35="","",COUNTIFS('Weekly Check-in'!$B$4:$B$1003,A35,'Weekly Check-in'!$H$4:$H$1003,"&lt;&gt;"))</f>
        <v/>
      </c>
      <c r="O35" s="11" t="str">
        <f aca="true">IF(A35="","",IF(OR(R35="Completed",R35="Withdrawn",TODAY()&lt;E35),"GREEN",IF(L35="","YELLOW",IF(M35&gt;=Config!$B$7,"RED",IF(OR(M35&gt;=Config!$B$6,AND(K35&lt;=Config!$B$8,N35&gt;0)),"YELLOW",IF(N35&gt;0,"YELLOW","GREEN"))))))</f>
        <v/>
      </c>
      <c r="P35" s="17"/>
      <c r="Q35" s="11" t="str">
        <f aca="false">IF(A35="","",IF(P35&lt;&gt;"",P35,O35))</f>
        <v/>
      </c>
      <c r="R35" s="17"/>
      <c r="S35" s="18"/>
      <c r="T35" s="18"/>
    </row>
    <row r="36" customFormat="false" ht="15" hidden="false" customHeight="true" outlineLevel="0" collapsed="false">
      <c r="A36" s="17"/>
      <c r="B36" s="17"/>
      <c r="C36" s="17"/>
      <c r="D36" s="17"/>
      <c r="E36" s="19"/>
      <c r="F36" s="7" t="str">
        <f aca="false">IF(A36="","",E36+Config!$B$4*7)</f>
        <v/>
      </c>
      <c r="G36" s="11" t="str">
        <f aca="true">IF(A36="","",MAX(0,MIN(Config!$B$4,INT((TODAY()-E36)/7)+1)))</f>
        <v/>
      </c>
      <c r="H36" s="11" t="str">
        <f aca="true">IF(A36="","",IF(TODAY()&lt;E36,"Not Started",IF(TODAY()&gt;F36,"Completed",IF(G36=1,"Onboarding",IF(G36&lt;=3,"Sprint 1",IF(G36&lt;=5,"Sprint 2",IF(G36&lt;=7,"Sprint 3",IF(G36&lt;=9,"Sprint 4","Final"))))))))</f>
        <v/>
      </c>
      <c r="I36" s="11" t="str">
        <f aca="true">IF(A36="","",IF(TODAY()&lt;E36,"Start",IF(TODAY()&lt;=E36+7,"Charter Approved",IF(TODAY()&lt;=E36+21,"Sprint 1 Review",IF(TODAY()&lt;=E36+35,"Sprint 2 Review",IF(TODAY()&lt;=E36+49,"Sprint 3 Review",IF(TODAY()&lt;=E36+63,"Sprint 4 Review","Final Review")))))))</f>
        <v/>
      </c>
      <c r="J36" s="7" t="str">
        <f aca="true">IF(A36="","",IF(TODAY()&lt;E36,E36,IF(TODAY()&lt;=E36+7,E36+7,IF(TODAY()&lt;=E36+21,E36+21,IF(TODAY()&lt;=E36+35,E36+35,IF(TODAY()&lt;=E36+49,E36+49,IF(TODAY()&lt;=E36+63,E36+63,E36+70)))))))</f>
        <v/>
      </c>
      <c r="K36" s="11" t="str">
        <f aca="true">IF(A36="","",J36-TODAY())</f>
        <v/>
      </c>
      <c r="L36" s="7" t="str">
        <f aca="false">IF(A36="","",IFERROR(LOOKUP(2,1/('Weekly Check-in'!$B$4:$B$1003=A36),'Weekly Check-in'!$A$4:$A$1003),""))</f>
        <v/>
      </c>
      <c r="M36" s="11" t="str">
        <f aca="true">IF(A36="","",IF(L36="","",TODAY()-L36))</f>
        <v/>
      </c>
      <c r="N36" s="11" t="str">
        <f aca="false">IF(A36="","",COUNTIFS('Weekly Check-in'!$B$4:$B$1003,A36,'Weekly Check-in'!$H$4:$H$1003,"&lt;&gt;"))</f>
        <v/>
      </c>
      <c r="O36" s="11" t="str">
        <f aca="true">IF(A36="","",IF(OR(R36="Completed",R36="Withdrawn",TODAY()&lt;E36),"GREEN",IF(L36="","YELLOW",IF(M36&gt;=Config!$B$7,"RED",IF(OR(M36&gt;=Config!$B$6,AND(K36&lt;=Config!$B$8,N36&gt;0)),"YELLOW",IF(N36&gt;0,"YELLOW","GREEN"))))))</f>
        <v/>
      </c>
      <c r="P36" s="17"/>
      <c r="Q36" s="11" t="str">
        <f aca="false">IF(A36="","",IF(P36&lt;&gt;"",P36,O36))</f>
        <v/>
      </c>
      <c r="R36" s="17"/>
      <c r="S36" s="18"/>
      <c r="T36" s="18"/>
    </row>
    <row r="37" customFormat="false" ht="15" hidden="false" customHeight="true" outlineLevel="0" collapsed="false">
      <c r="A37" s="17"/>
      <c r="B37" s="17"/>
      <c r="C37" s="17"/>
      <c r="D37" s="17"/>
      <c r="E37" s="19"/>
      <c r="F37" s="7" t="str">
        <f aca="false">IF(A37="","",E37+Config!$B$4*7)</f>
        <v/>
      </c>
      <c r="G37" s="11" t="str">
        <f aca="true">IF(A37="","",MAX(0,MIN(Config!$B$4,INT((TODAY()-E37)/7)+1)))</f>
        <v/>
      </c>
      <c r="H37" s="11" t="str">
        <f aca="true">IF(A37="","",IF(TODAY()&lt;E37,"Not Started",IF(TODAY()&gt;F37,"Completed",IF(G37=1,"Onboarding",IF(G37&lt;=3,"Sprint 1",IF(G37&lt;=5,"Sprint 2",IF(G37&lt;=7,"Sprint 3",IF(G37&lt;=9,"Sprint 4","Final"))))))))</f>
        <v/>
      </c>
      <c r="I37" s="11" t="str">
        <f aca="true">IF(A37="","",IF(TODAY()&lt;E37,"Start",IF(TODAY()&lt;=E37+7,"Charter Approved",IF(TODAY()&lt;=E37+21,"Sprint 1 Review",IF(TODAY()&lt;=E37+35,"Sprint 2 Review",IF(TODAY()&lt;=E37+49,"Sprint 3 Review",IF(TODAY()&lt;=E37+63,"Sprint 4 Review","Final Review")))))))</f>
        <v/>
      </c>
      <c r="J37" s="7" t="str">
        <f aca="true">IF(A37="","",IF(TODAY()&lt;E37,E37,IF(TODAY()&lt;=E37+7,E37+7,IF(TODAY()&lt;=E37+21,E37+21,IF(TODAY()&lt;=E37+35,E37+35,IF(TODAY()&lt;=E37+49,E37+49,IF(TODAY()&lt;=E37+63,E37+63,E37+70)))))))</f>
        <v/>
      </c>
      <c r="K37" s="11" t="str">
        <f aca="true">IF(A37="","",J37-TODAY())</f>
        <v/>
      </c>
      <c r="L37" s="7" t="str">
        <f aca="false">IF(A37="","",IFERROR(LOOKUP(2,1/('Weekly Check-in'!$B$4:$B$1003=A37),'Weekly Check-in'!$A$4:$A$1003),""))</f>
        <v/>
      </c>
      <c r="M37" s="11" t="str">
        <f aca="true">IF(A37="","",IF(L37="","",TODAY()-L37))</f>
        <v/>
      </c>
      <c r="N37" s="11" t="str">
        <f aca="false">IF(A37="","",COUNTIFS('Weekly Check-in'!$B$4:$B$1003,A37,'Weekly Check-in'!$H$4:$H$1003,"&lt;&gt;"))</f>
        <v/>
      </c>
      <c r="O37" s="11" t="str">
        <f aca="true">IF(A37="","",IF(OR(R37="Completed",R37="Withdrawn",TODAY()&lt;E37),"GREEN",IF(L37="","YELLOW",IF(M37&gt;=Config!$B$7,"RED",IF(OR(M37&gt;=Config!$B$6,AND(K37&lt;=Config!$B$8,N37&gt;0)),"YELLOW",IF(N37&gt;0,"YELLOW","GREEN"))))))</f>
        <v/>
      </c>
      <c r="P37" s="17"/>
      <c r="Q37" s="11" t="str">
        <f aca="false">IF(A37="","",IF(P37&lt;&gt;"",P37,O37))</f>
        <v/>
      </c>
      <c r="R37" s="17"/>
      <c r="S37" s="18"/>
      <c r="T37" s="18"/>
    </row>
    <row r="38" customFormat="false" ht="15" hidden="false" customHeight="true" outlineLevel="0" collapsed="false">
      <c r="A38" s="17"/>
      <c r="B38" s="17"/>
      <c r="C38" s="17"/>
      <c r="D38" s="17"/>
      <c r="E38" s="19"/>
      <c r="F38" s="7" t="str">
        <f aca="false">IF(A38="","",E38+Config!$B$4*7)</f>
        <v/>
      </c>
      <c r="G38" s="11" t="str">
        <f aca="true">IF(A38="","",MAX(0,MIN(Config!$B$4,INT((TODAY()-E38)/7)+1)))</f>
        <v/>
      </c>
      <c r="H38" s="11" t="str">
        <f aca="true">IF(A38="","",IF(TODAY()&lt;E38,"Not Started",IF(TODAY()&gt;F38,"Completed",IF(G38=1,"Onboarding",IF(G38&lt;=3,"Sprint 1",IF(G38&lt;=5,"Sprint 2",IF(G38&lt;=7,"Sprint 3",IF(G38&lt;=9,"Sprint 4","Final"))))))))</f>
        <v/>
      </c>
      <c r="I38" s="11" t="str">
        <f aca="true">IF(A38="","",IF(TODAY()&lt;E38,"Start",IF(TODAY()&lt;=E38+7,"Charter Approved",IF(TODAY()&lt;=E38+21,"Sprint 1 Review",IF(TODAY()&lt;=E38+35,"Sprint 2 Review",IF(TODAY()&lt;=E38+49,"Sprint 3 Review",IF(TODAY()&lt;=E38+63,"Sprint 4 Review","Final Review")))))))</f>
        <v/>
      </c>
      <c r="J38" s="7" t="str">
        <f aca="true">IF(A38="","",IF(TODAY()&lt;E38,E38,IF(TODAY()&lt;=E38+7,E38+7,IF(TODAY()&lt;=E38+21,E38+21,IF(TODAY()&lt;=E38+35,E38+35,IF(TODAY()&lt;=E38+49,E38+49,IF(TODAY()&lt;=E38+63,E38+63,E38+70)))))))</f>
        <v/>
      </c>
      <c r="K38" s="11" t="str">
        <f aca="true">IF(A38="","",J38-TODAY())</f>
        <v/>
      </c>
      <c r="L38" s="7" t="str">
        <f aca="false">IF(A38="","",IFERROR(LOOKUP(2,1/('Weekly Check-in'!$B$4:$B$1003=A38),'Weekly Check-in'!$A$4:$A$1003),""))</f>
        <v/>
      </c>
      <c r="M38" s="11" t="str">
        <f aca="true">IF(A38="","",IF(L38="","",TODAY()-L38))</f>
        <v/>
      </c>
      <c r="N38" s="11" t="str">
        <f aca="false">IF(A38="","",COUNTIFS('Weekly Check-in'!$B$4:$B$1003,A38,'Weekly Check-in'!$H$4:$H$1003,"&lt;&gt;"))</f>
        <v/>
      </c>
      <c r="O38" s="11" t="str">
        <f aca="true">IF(A38="","",IF(OR(R38="Completed",R38="Withdrawn",TODAY()&lt;E38),"GREEN",IF(L38="","YELLOW",IF(M38&gt;=Config!$B$7,"RED",IF(OR(M38&gt;=Config!$B$6,AND(K38&lt;=Config!$B$8,N38&gt;0)),"YELLOW",IF(N38&gt;0,"YELLOW","GREEN"))))))</f>
        <v/>
      </c>
      <c r="P38" s="17"/>
      <c r="Q38" s="11" t="str">
        <f aca="false">IF(A38="","",IF(P38&lt;&gt;"",P38,O38))</f>
        <v/>
      </c>
      <c r="R38" s="17"/>
      <c r="S38" s="18"/>
      <c r="T38" s="18"/>
    </row>
    <row r="39" customFormat="false" ht="15" hidden="false" customHeight="true" outlineLevel="0" collapsed="false">
      <c r="A39" s="17"/>
      <c r="B39" s="17"/>
      <c r="C39" s="17"/>
      <c r="D39" s="17"/>
      <c r="E39" s="19"/>
      <c r="F39" s="7" t="str">
        <f aca="false">IF(A39="","",E39+Config!$B$4*7)</f>
        <v/>
      </c>
      <c r="G39" s="11" t="str">
        <f aca="true">IF(A39="","",MAX(0,MIN(Config!$B$4,INT((TODAY()-E39)/7)+1)))</f>
        <v/>
      </c>
      <c r="H39" s="11" t="str">
        <f aca="true">IF(A39="","",IF(TODAY()&lt;E39,"Not Started",IF(TODAY()&gt;F39,"Completed",IF(G39=1,"Onboarding",IF(G39&lt;=3,"Sprint 1",IF(G39&lt;=5,"Sprint 2",IF(G39&lt;=7,"Sprint 3",IF(G39&lt;=9,"Sprint 4","Final"))))))))</f>
        <v/>
      </c>
      <c r="I39" s="11" t="str">
        <f aca="true">IF(A39="","",IF(TODAY()&lt;E39,"Start",IF(TODAY()&lt;=E39+7,"Charter Approved",IF(TODAY()&lt;=E39+21,"Sprint 1 Review",IF(TODAY()&lt;=E39+35,"Sprint 2 Review",IF(TODAY()&lt;=E39+49,"Sprint 3 Review",IF(TODAY()&lt;=E39+63,"Sprint 4 Review","Final Review")))))))</f>
        <v/>
      </c>
      <c r="J39" s="7" t="str">
        <f aca="true">IF(A39="","",IF(TODAY()&lt;E39,E39,IF(TODAY()&lt;=E39+7,E39+7,IF(TODAY()&lt;=E39+21,E39+21,IF(TODAY()&lt;=E39+35,E39+35,IF(TODAY()&lt;=E39+49,E39+49,IF(TODAY()&lt;=E39+63,E39+63,E39+70)))))))</f>
        <v/>
      </c>
      <c r="K39" s="11" t="str">
        <f aca="true">IF(A39="","",J39-TODAY())</f>
        <v/>
      </c>
      <c r="L39" s="7" t="str">
        <f aca="false">IF(A39="","",IFERROR(LOOKUP(2,1/('Weekly Check-in'!$B$4:$B$1003=A39),'Weekly Check-in'!$A$4:$A$1003),""))</f>
        <v/>
      </c>
      <c r="M39" s="11" t="str">
        <f aca="true">IF(A39="","",IF(L39="","",TODAY()-L39))</f>
        <v/>
      </c>
      <c r="N39" s="11" t="str">
        <f aca="false">IF(A39="","",COUNTIFS('Weekly Check-in'!$B$4:$B$1003,A39,'Weekly Check-in'!$H$4:$H$1003,"&lt;&gt;"))</f>
        <v/>
      </c>
      <c r="O39" s="11" t="str">
        <f aca="true">IF(A39="","",IF(OR(R39="Completed",R39="Withdrawn",TODAY()&lt;E39),"GREEN",IF(L39="","YELLOW",IF(M39&gt;=Config!$B$7,"RED",IF(OR(M39&gt;=Config!$B$6,AND(K39&lt;=Config!$B$8,N39&gt;0)),"YELLOW",IF(N39&gt;0,"YELLOW","GREEN"))))))</f>
        <v/>
      </c>
      <c r="P39" s="17"/>
      <c r="Q39" s="11" t="str">
        <f aca="false">IF(A39="","",IF(P39&lt;&gt;"",P39,O39))</f>
        <v/>
      </c>
      <c r="R39" s="17"/>
      <c r="S39" s="18"/>
      <c r="T39" s="18"/>
    </row>
    <row r="40" customFormat="false" ht="15" hidden="false" customHeight="true" outlineLevel="0" collapsed="false">
      <c r="A40" s="17"/>
      <c r="B40" s="17"/>
      <c r="C40" s="17"/>
      <c r="D40" s="17"/>
      <c r="E40" s="19"/>
      <c r="F40" s="7" t="str">
        <f aca="false">IF(A40="","",E40+Config!$B$4*7)</f>
        <v/>
      </c>
      <c r="G40" s="11" t="str">
        <f aca="true">IF(A40="","",MAX(0,MIN(Config!$B$4,INT((TODAY()-E40)/7)+1)))</f>
        <v/>
      </c>
      <c r="H40" s="11" t="str">
        <f aca="true">IF(A40="","",IF(TODAY()&lt;E40,"Not Started",IF(TODAY()&gt;F40,"Completed",IF(G40=1,"Onboarding",IF(G40&lt;=3,"Sprint 1",IF(G40&lt;=5,"Sprint 2",IF(G40&lt;=7,"Sprint 3",IF(G40&lt;=9,"Sprint 4","Final"))))))))</f>
        <v/>
      </c>
      <c r="I40" s="11" t="str">
        <f aca="true">IF(A40="","",IF(TODAY()&lt;E40,"Start",IF(TODAY()&lt;=E40+7,"Charter Approved",IF(TODAY()&lt;=E40+21,"Sprint 1 Review",IF(TODAY()&lt;=E40+35,"Sprint 2 Review",IF(TODAY()&lt;=E40+49,"Sprint 3 Review",IF(TODAY()&lt;=E40+63,"Sprint 4 Review","Final Review")))))))</f>
        <v/>
      </c>
      <c r="J40" s="7" t="str">
        <f aca="true">IF(A40="","",IF(TODAY()&lt;E40,E40,IF(TODAY()&lt;=E40+7,E40+7,IF(TODAY()&lt;=E40+21,E40+21,IF(TODAY()&lt;=E40+35,E40+35,IF(TODAY()&lt;=E40+49,E40+49,IF(TODAY()&lt;=E40+63,E40+63,E40+70)))))))</f>
        <v/>
      </c>
      <c r="K40" s="11" t="str">
        <f aca="true">IF(A40="","",J40-TODAY())</f>
        <v/>
      </c>
      <c r="L40" s="7" t="str">
        <f aca="false">IF(A40="","",IFERROR(LOOKUP(2,1/('Weekly Check-in'!$B$4:$B$1003=A40),'Weekly Check-in'!$A$4:$A$1003),""))</f>
        <v/>
      </c>
      <c r="M40" s="11" t="str">
        <f aca="true">IF(A40="","",IF(L40="","",TODAY()-L40))</f>
        <v/>
      </c>
      <c r="N40" s="11" t="str">
        <f aca="false">IF(A40="","",COUNTIFS('Weekly Check-in'!$B$4:$B$1003,A40,'Weekly Check-in'!$H$4:$H$1003,"&lt;&gt;"))</f>
        <v/>
      </c>
      <c r="O40" s="11" t="str">
        <f aca="true">IF(A40="","",IF(OR(R40="Completed",R40="Withdrawn",TODAY()&lt;E40),"GREEN",IF(L40="","YELLOW",IF(M40&gt;=Config!$B$7,"RED",IF(OR(M40&gt;=Config!$B$6,AND(K40&lt;=Config!$B$8,N40&gt;0)),"YELLOW",IF(N40&gt;0,"YELLOW","GREEN"))))))</f>
        <v/>
      </c>
      <c r="P40" s="17"/>
      <c r="Q40" s="11" t="str">
        <f aca="false">IF(A40="","",IF(P40&lt;&gt;"",P40,O40))</f>
        <v/>
      </c>
      <c r="R40" s="17"/>
      <c r="S40" s="18"/>
      <c r="T40" s="18"/>
    </row>
    <row r="41" customFormat="false" ht="15" hidden="false" customHeight="true" outlineLevel="0" collapsed="false">
      <c r="A41" s="17"/>
      <c r="B41" s="17"/>
      <c r="C41" s="17"/>
      <c r="D41" s="17"/>
      <c r="E41" s="19"/>
      <c r="F41" s="7" t="str">
        <f aca="false">IF(A41="","",E41+Config!$B$4*7)</f>
        <v/>
      </c>
      <c r="G41" s="11" t="str">
        <f aca="true">IF(A41="","",MAX(0,MIN(Config!$B$4,INT((TODAY()-E41)/7)+1)))</f>
        <v/>
      </c>
      <c r="H41" s="11" t="str">
        <f aca="true">IF(A41="","",IF(TODAY()&lt;E41,"Not Started",IF(TODAY()&gt;F41,"Completed",IF(G41=1,"Onboarding",IF(G41&lt;=3,"Sprint 1",IF(G41&lt;=5,"Sprint 2",IF(G41&lt;=7,"Sprint 3",IF(G41&lt;=9,"Sprint 4","Final"))))))))</f>
        <v/>
      </c>
      <c r="I41" s="11" t="str">
        <f aca="true">IF(A41="","",IF(TODAY()&lt;E41,"Start",IF(TODAY()&lt;=E41+7,"Charter Approved",IF(TODAY()&lt;=E41+21,"Sprint 1 Review",IF(TODAY()&lt;=E41+35,"Sprint 2 Review",IF(TODAY()&lt;=E41+49,"Sprint 3 Review",IF(TODAY()&lt;=E41+63,"Sprint 4 Review","Final Review")))))))</f>
        <v/>
      </c>
      <c r="J41" s="7" t="str">
        <f aca="true">IF(A41="","",IF(TODAY()&lt;E41,E41,IF(TODAY()&lt;=E41+7,E41+7,IF(TODAY()&lt;=E41+21,E41+21,IF(TODAY()&lt;=E41+35,E41+35,IF(TODAY()&lt;=E41+49,E41+49,IF(TODAY()&lt;=E41+63,E41+63,E41+70)))))))</f>
        <v/>
      </c>
      <c r="K41" s="11" t="str">
        <f aca="true">IF(A41="","",J41-TODAY())</f>
        <v/>
      </c>
      <c r="L41" s="7" t="str">
        <f aca="false">IF(A41="","",IFERROR(LOOKUP(2,1/('Weekly Check-in'!$B$4:$B$1003=A41),'Weekly Check-in'!$A$4:$A$1003),""))</f>
        <v/>
      </c>
      <c r="M41" s="11" t="str">
        <f aca="true">IF(A41="","",IF(L41="","",TODAY()-L41))</f>
        <v/>
      </c>
      <c r="N41" s="11" t="str">
        <f aca="false">IF(A41="","",COUNTIFS('Weekly Check-in'!$B$4:$B$1003,A41,'Weekly Check-in'!$H$4:$H$1003,"&lt;&gt;"))</f>
        <v/>
      </c>
      <c r="O41" s="11" t="str">
        <f aca="true">IF(A41="","",IF(OR(R41="Completed",R41="Withdrawn",TODAY()&lt;E41),"GREEN",IF(L41="","YELLOW",IF(M41&gt;=Config!$B$7,"RED",IF(OR(M41&gt;=Config!$B$6,AND(K41&lt;=Config!$B$8,N41&gt;0)),"YELLOW",IF(N41&gt;0,"YELLOW","GREEN"))))))</f>
        <v/>
      </c>
      <c r="P41" s="17"/>
      <c r="Q41" s="11" t="str">
        <f aca="false">IF(A41="","",IF(P41&lt;&gt;"",P41,O41))</f>
        <v/>
      </c>
      <c r="R41" s="17"/>
      <c r="S41" s="18"/>
      <c r="T41" s="18"/>
    </row>
    <row r="42" customFormat="false" ht="15" hidden="false" customHeight="true" outlineLevel="0" collapsed="false">
      <c r="A42" s="17"/>
      <c r="B42" s="17"/>
      <c r="C42" s="17"/>
      <c r="D42" s="17"/>
      <c r="E42" s="19"/>
      <c r="F42" s="7" t="str">
        <f aca="false">IF(A42="","",E42+Config!$B$4*7)</f>
        <v/>
      </c>
      <c r="G42" s="11" t="str">
        <f aca="true">IF(A42="","",MAX(0,MIN(Config!$B$4,INT((TODAY()-E42)/7)+1)))</f>
        <v/>
      </c>
      <c r="H42" s="11" t="str">
        <f aca="true">IF(A42="","",IF(TODAY()&lt;E42,"Not Started",IF(TODAY()&gt;F42,"Completed",IF(G42=1,"Onboarding",IF(G42&lt;=3,"Sprint 1",IF(G42&lt;=5,"Sprint 2",IF(G42&lt;=7,"Sprint 3",IF(G42&lt;=9,"Sprint 4","Final"))))))))</f>
        <v/>
      </c>
      <c r="I42" s="11" t="str">
        <f aca="true">IF(A42="","",IF(TODAY()&lt;E42,"Start",IF(TODAY()&lt;=E42+7,"Charter Approved",IF(TODAY()&lt;=E42+21,"Sprint 1 Review",IF(TODAY()&lt;=E42+35,"Sprint 2 Review",IF(TODAY()&lt;=E42+49,"Sprint 3 Review",IF(TODAY()&lt;=E42+63,"Sprint 4 Review","Final Review")))))))</f>
        <v/>
      </c>
      <c r="J42" s="7" t="str">
        <f aca="true">IF(A42="","",IF(TODAY()&lt;E42,E42,IF(TODAY()&lt;=E42+7,E42+7,IF(TODAY()&lt;=E42+21,E42+21,IF(TODAY()&lt;=E42+35,E42+35,IF(TODAY()&lt;=E42+49,E42+49,IF(TODAY()&lt;=E42+63,E42+63,E42+70)))))))</f>
        <v/>
      </c>
      <c r="K42" s="11" t="str">
        <f aca="true">IF(A42="","",J42-TODAY())</f>
        <v/>
      </c>
      <c r="L42" s="7" t="str">
        <f aca="false">IF(A42="","",IFERROR(LOOKUP(2,1/('Weekly Check-in'!$B$4:$B$1003=A42),'Weekly Check-in'!$A$4:$A$1003),""))</f>
        <v/>
      </c>
      <c r="M42" s="11" t="str">
        <f aca="true">IF(A42="","",IF(L42="","",TODAY()-L42))</f>
        <v/>
      </c>
      <c r="N42" s="11" t="str">
        <f aca="false">IF(A42="","",COUNTIFS('Weekly Check-in'!$B$4:$B$1003,A42,'Weekly Check-in'!$H$4:$H$1003,"&lt;&gt;"))</f>
        <v/>
      </c>
      <c r="O42" s="11" t="str">
        <f aca="true">IF(A42="","",IF(OR(R42="Completed",R42="Withdrawn",TODAY()&lt;E42),"GREEN",IF(L42="","YELLOW",IF(M42&gt;=Config!$B$7,"RED",IF(OR(M42&gt;=Config!$B$6,AND(K42&lt;=Config!$B$8,N42&gt;0)),"YELLOW",IF(N42&gt;0,"YELLOW","GREEN"))))))</f>
        <v/>
      </c>
      <c r="P42" s="17"/>
      <c r="Q42" s="11" t="str">
        <f aca="false">IF(A42="","",IF(P42&lt;&gt;"",P42,O42))</f>
        <v/>
      </c>
      <c r="R42" s="17"/>
      <c r="S42" s="18"/>
      <c r="T42" s="18"/>
    </row>
    <row r="43" customFormat="false" ht="15" hidden="false" customHeight="true" outlineLevel="0" collapsed="false">
      <c r="A43" s="17"/>
      <c r="B43" s="17"/>
      <c r="C43" s="17"/>
      <c r="D43" s="17"/>
      <c r="E43" s="19"/>
      <c r="F43" s="7" t="str">
        <f aca="false">IF(A43="","",E43+Config!$B$4*7)</f>
        <v/>
      </c>
      <c r="G43" s="11" t="str">
        <f aca="true">IF(A43="","",MAX(0,MIN(Config!$B$4,INT((TODAY()-E43)/7)+1)))</f>
        <v/>
      </c>
      <c r="H43" s="11" t="str">
        <f aca="true">IF(A43="","",IF(TODAY()&lt;E43,"Not Started",IF(TODAY()&gt;F43,"Completed",IF(G43=1,"Onboarding",IF(G43&lt;=3,"Sprint 1",IF(G43&lt;=5,"Sprint 2",IF(G43&lt;=7,"Sprint 3",IF(G43&lt;=9,"Sprint 4","Final"))))))))</f>
        <v/>
      </c>
      <c r="I43" s="11" t="str">
        <f aca="true">IF(A43="","",IF(TODAY()&lt;E43,"Start",IF(TODAY()&lt;=E43+7,"Charter Approved",IF(TODAY()&lt;=E43+21,"Sprint 1 Review",IF(TODAY()&lt;=E43+35,"Sprint 2 Review",IF(TODAY()&lt;=E43+49,"Sprint 3 Review",IF(TODAY()&lt;=E43+63,"Sprint 4 Review","Final Review")))))))</f>
        <v/>
      </c>
      <c r="J43" s="7" t="str">
        <f aca="true">IF(A43="","",IF(TODAY()&lt;E43,E43,IF(TODAY()&lt;=E43+7,E43+7,IF(TODAY()&lt;=E43+21,E43+21,IF(TODAY()&lt;=E43+35,E43+35,IF(TODAY()&lt;=E43+49,E43+49,IF(TODAY()&lt;=E43+63,E43+63,E43+70)))))))</f>
        <v/>
      </c>
      <c r="K43" s="11" t="str">
        <f aca="true">IF(A43="","",J43-TODAY())</f>
        <v/>
      </c>
      <c r="L43" s="7" t="str">
        <f aca="false">IF(A43="","",IFERROR(LOOKUP(2,1/('Weekly Check-in'!$B$4:$B$1003=A43),'Weekly Check-in'!$A$4:$A$1003),""))</f>
        <v/>
      </c>
      <c r="M43" s="11" t="str">
        <f aca="true">IF(A43="","",IF(L43="","",TODAY()-L43))</f>
        <v/>
      </c>
      <c r="N43" s="11" t="str">
        <f aca="false">IF(A43="","",COUNTIFS('Weekly Check-in'!$B$4:$B$1003,A43,'Weekly Check-in'!$H$4:$H$1003,"&lt;&gt;"))</f>
        <v/>
      </c>
      <c r="O43" s="11" t="str">
        <f aca="true">IF(A43="","",IF(OR(R43="Completed",R43="Withdrawn",TODAY()&lt;E43),"GREEN",IF(L43="","YELLOW",IF(M43&gt;=Config!$B$7,"RED",IF(OR(M43&gt;=Config!$B$6,AND(K43&lt;=Config!$B$8,N43&gt;0)),"YELLOW",IF(N43&gt;0,"YELLOW","GREEN"))))))</f>
        <v/>
      </c>
      <c r="P43" s="17"/>
      <c r="Q43" s="11" t="str">
        <f aca="false">IF(A43="","",IF(P43&lt;&gt;"",P43,O43))</f>
        <v/>
      </c>
      <c r="R43" s="17"/>
      <c r="S43" s="18"/>
      <c r="T43" s="18"/>
    </row>
    <row r="44" customFormat="false" ht="15" hidden="false" customHeight="true" outlineLevel="0" collapsed="false">
      <c r="A44" s="17"/>
      <c r="B44" s="17"/>
      <c r="C44" s="17"/>
      <c r="D44" s="17"/>
      <c r="E44" s="19"/>
      <c r="F44" s="7" t="str">
        <f aca="false">IF(A44="","",E44+Config!$B$4*7)</f>
        <v/>
      </c>
      <c r="G44" s="11" t="str">
        <f aca="true">IF(A44="","",MAX(0,MIN(Config!$B$4,INT((TODAY()-E44)/7)+1)))</f>
        <v/>
      </c>
      <c r="H44" s="11" t="str">
        <f aca="true">IF(A44="","",IF(TODAY()&lt;E44,"Not Started",IF(TODAY()&gt;F44,"Completed",IF(G44=1,"Onboarding",IF(G44&lt;=3,"Sprint 1",IF(G44&lt;=5,"Sprint 2",IF(G44&lt;=7,"Sprint 3",IF(G44&lt;=9,"Sprint 4","Final"))))))))</f>
        <v/>
      </c>
      <c r="I44" s="11" t="str">
        <f aca="true">IF(A44="","",IF(TODAY()&lt;E44,"Start",IF(TODAY()&lt;=E44+7,"Charter Approved",IF(TODAY()&lt;=E44+21,"Sprint 1 Review",IF(TODAY()&lt;=E44+35,"Sprint 2 Review",IF(TODAY()&lt;=E44+49,"Sprint 3 Review",IF(TODAY()&lt;=E44+63,"Sprint 4 Review","Final Review")))))))</f>
        <v/>
      </c>
      <c r="J44" s="7" t="str">
        <f aca="true">IF(A44="","",IF(TODAY()&lt;E44,E44,IF(TODAY()&lt;=E44+7,E44+7,IF(TODAY()&lt;=E44+21,E44+21,IF(TODAY()&lt;=E44+35,E44+35,IF(TODAY()&lt;=E44+49,E44+49,IF(TODAY()&lt;=E44+63,E44+63,E44+70)))))))</f>
        <v/>
      </c>
      <c r="K44" s="11" t="str">
        <f aca="true">IF(A44="","",J44-TODAY())</f>
        <v/>
      </c>
      <c r="L44" s="7" t="str">
        <f aca="false">IF(A44="","",IFERROR(LOOKUP(2,1/('Weekly Check-in'!$B$4:$B$1003=A44),'Weekly Check-in'!$A$4:$A$1003),""))</f>
        <v/>
      </c>
      <c r="M44" s="11" t="str">
        <f aca="true">IF(A44="","",IF(L44="","",TODAY()-L44))</f>
        <v/>
      </c>
      <c r="N44" s="11" t="str">
        <f aca="false">IF(A44="","",COUNTIFS('Weekly Check-in'!$B$4:$B$1003,A44,'Weekly Check-in'!$H$4:$H$1003,"&lt;&gt;"))</f>
        <v/>
      </c>
      <c r="O44" s="11" t="str">
        <f aca="true">IF(A44="","",IF(OR(R44="Completed",R44="Withdrawn",TODAY()&lt;E44),"GREEN",IF(L44="","YELLOW",IF(M44&gt;=Config!$B$7,"RED",IF(OR(M44&gt;=Config!$B$6,AND(K44&lt;=Config!$B$8,N44&gt;0)),"YELLOW",IF(N44&gt;0,"YELLOW","GREEN"))))))</f>
        <v/>
      </c>
      <c r="P44" s="17"/>
      <c r="Q44" s="11" t="str">
        <f aca="false">IF(A44="","",IF(P44&lt;&gt;"",P44,O44))</f>
        <v/>
      </c>
      <c r="R44" s="17"/>
      <c r="S44" s="18"/>
      <c r="T44" s="18"/>
    </row>
    <row r="45" customFormat="false" ht="15" hidden="false" customHeight="true" outlineLevel="0" collapsed="false">
      <c r="A45" s="17"/>
      <c r="B45" s="17"/>
      <c r="C45" s="17"/>
      <c r="D45" s="17"/>
      <c r="E45" s="19"/>
      <c r="F45" s="7" t="str">
        <f aca="false">IF(A45="","",E45+Config!$B$4*7)</f>
        <v/>
      </c>
      <c r="G45" s="11" t="str">
        <f aca="true">IF(A45="","",MAX(0,MIN(Config!$B$4,INT((TODAY()-E45)/7)+1)))</f>
        <v/>
      </c>
      <c r="H45" s="11" t="str">
        <f aca="true">IF(A45="","",IF(TODAY()&lt;E45,"Not Started",IF(TODAY()&gt;F45,"Completed",IF(G45=1,"Onboarding",IF(G45&lt;=3,"Sprint 1",IF(G45&lt;=5,"Sprint 2",IF(G45&lt;=7,"Sprint 3",IF(G45&lt;=9,"Sprint 4","Final"))))))))</f>
        <v/>
      </c>
      <c r="I45" s="11" t="str">
        <f aca="true">IF(A45="","",IF(TODAY()&lt;E45,"Start",IF(TODAY()&lt;=E45+7,"Charter Approved",IF(TODAY()&lt;=E45+21,"Sprint 1 Review",IF(TODAY()&lt;=E45+35,"Sprint 2 Review",IF(TODAY()&lt;=E45+49,"Sprint 3 Review",IF(TODAY()&lt;=E45+63,"Sprint 4 Review","Final Review")))))))</f>
        <v/>
      </c>
      <c r="J45" s="7" t="str">
        <f aca="true">IF(A45="","",IF(TODAY()&lt;E45,E45,IF(TODAY()&lt;=E45+7,E45+7,IF(TODAY()&lt;=E45+21,E45+21,IF(TODAY()&lt;=E45+35,E45+35,IF(TODAY()&lt;=E45+49,E45+49,IF(TODAY()&lt;=E45+63,E45+63,E45+70)))))))</f>
        <v/>
      </c>
      <c r="K45" s="11" t="str">
        <f aca="true">IF(A45="","",J45-TODAY())</f>
        <v/>
      </c>
      <c r="L45" s="7" t="str">
        <f aca="false">IF(A45="","",IFERROR(LOOKUP(2,1/('Weekly Check-in'!$B$4:$B$1003=A45),'Weekly Check-in'!$A$4:$A$1003),""))</f>
        <v/>
      </c>
      <c r="M45" s="11" t="str">
        <f aca="true">IF(A45="","",IF(L45="","",TODAY()-L45))</f>
        <v/>
      </c>
      <c r="N45" s="11" t="str">
        <f aca="false">IF(A45="","",COUNTIFS('Weekly Check-in'!$B$4:$B$1003,A45,'Weekly Check-in'!$H$4:$H$1003,"&lt;&gt;"))</f>
        <v/>
      </c>
      <c r="O45" s="11" t="str">
        <f aca="true">IF(A45="","",IF(OR(R45="Completed",R45="Withdrawn",TODAY()&lt;E45),"GREEN",IF(L45="","YELLOW",IF(M45&gt;=Config!$B$7,"RED",IF(OR(M45&gt;=Config!$B$6,AND(K45&lt;=Config!$B$8,N45&gt;0)),"YELLOW",IF(N45&gt;0,"YELLOW","GREEN"))))))</f>
        <v/>
      </c>
      <c r="P45" s="17"/>
      <c r="Q45" s="11" t="str">
        <f aca="false">IF(A45="","",IF(P45&lt;&gt;"",P45,O45))</f>
        <v/>
      </c>
      <c r="R45" s="17"/>
      <c r="S45" s="18"/>
      <c r="T45" s="18"/>
    </row>
    <row r="46" customFormat="false" ht="15" hidden="false" customHeight="true" outlineLevel="0" collapsed="false">
      <c r="A46" s="17"/>
      <c r="B46" s="17"/>
      <c r="C46" s="17"/>
      <c r="D46" s="17"/>
      <c r="E46" s="19"/>
      <c r="F46" s="7" t="str">
        <f aca="false">IF(A46="","",E46+Config!$B$4*7)</f>
        <v/>
      </c>
      <c r="G46" s="11" t="str">
        <f aca="true">IF(A46="","",MAX(0,MIN(Config!$B$4,INT((TODAY()-E46)/7)+1)))</f>
        <v/>
      </c>
      <c r="H46" s="11" t="str">
        <f aca="true">IF(A46="","",IF(TODAY()&lt;E46,"Not Started",IF(TODAY()&gt;F46,"Completed",IF(G46=1,"Onboarding",IF(G46&lt;=3,"Sprint 1",IF(G46&lt;=5,"Sprint 2",IF(G46&lt;=7,"Sprint 3",IF(G46&lt;=9,"Sprint 4","Final"))))))))</f>
        <v/>
      </c>
      <c r="I46" s="11" t="str">
        <f aca="true">IF(A46="","",IF(TODAY()&lt;E46,"Start",IF(TODAY()&lt;=E46+7,"Charter Approved",IF(TODAY()&lt;=E46+21,"Sprint 1 Review",IF(TODAY()&lt;=E46+35,"Sprint 2 Review",IF(TODAY()&lt;=E46+49,"Sprint 3 Review",IF(TODAY()&lt;=E46+63,"Sprint 4 Review","Final Review")))))))</f>
        <v/>
      </c>
      <c r="J46" s="7" t="str">
        <f aca="true">IF(A46="","",IF(TODAY()&lt;E46,E46,IF(TODAY()&lt;=E46+7,E46+7,IF(TODAY()&lt;=E46+21,E46+21,IF(TODAY()&lt;=E46+35,E46+35,IF(TODAY()&lt;=E46+49,E46+49,IF(TODAY()&lt;=E46+63,E46+63,E46+70)))))))</f>
        <v/>
      </c>
      <c r="K46" s="11" t="str">
        <f aca="true">IF(A46="","",J46-TODAY())</f>
        <v/>
      </c>
      <c r="L46" s="7" t="str">
        <f aca="false">IF(A46="","",IFERROR(LOOKUP(2,1/('Weekly Check-in'!$B$4:$B$1003=A46),'Weekly Check-in'!$A$4:$A$1003),""))</f>
        <v/>
      </c>
      <c r="M46" s="11" t="str">
        <f aca="true">IF(A46="","",IF(L46="","",TODAY()-L46))</f>
        <v/>
      </c>
      <c r="N46" s="11" t="str">
        <f aca="false">IF(A46="","",COUNTIFS('Weekly Check-in'!$B$4:$B$1003,A46,'Weekly Check-in'!$H$4:$H$1003,"&lt;&gt;"))</f>
        <v/>
      </c>
      <c r="O46" s="11" t="str">
        <f aca="true">IF(A46="","",IF(OR(R46="Completed",R46="Withdrawn",TODAY()&lt;E46),"GREEN",IF(L46="","YELLOW",IF(M46&gt;=Config!$B$7,"RED",IF(OR(M46&gt;=Config!$B$6,AND(K46&lt;=Config!$B$8,N46&gt;0)),"YELLOW",IF(N46&gt;0,"YELLOW","GREEN"))))))</f>
        <v/>
      </c>
      <c r="P46" s="17"/>
      <c r="Q46" s="11" t="str">
        <f aca="false">IF(A46="","",IF(P46&lt;&gt;"",P46,O46))</f>
        <v/>
      </c>
      <c r="R46" s="17"/>
      <c r="S46" s="18"/>
      <c r="T46" s="18"/>
    </row>
    <row r="47" customFormat="false" ht="15" hidden="false" customHeight="true" outlineLevel="0" collapsed="false">
      <c r="A47" s="17"/>
      <c r="B47" s="17"/>
      <c r="C47" s="17"/>
      <c r="D47" s="17"/>
      <c r="E47" s="19"/>
      <c r="F47" s="7" t="str">
        <f aca="false">IF(A47="","",E47+Config!$B$4*7)</f>
        <v/>
      </c>
      <c r="G47" s="11" t="str">
        <f aca="true">IF(A47="","",MAX(0,MIN(Config!$B$4,INT((TODAY()-E47)/7)+1)))</f>
        <v/>
      </c>
      <c r="H47" s="11" t="str">
        <f aca="true">IF(A47="","",IF(TODAY()&lt;E47,"Not Started",IF(TODAY()&gt;F47,"Completed",IF(G47=1,"Onboarding",IF(G47&lt;=3,"Sprint 1",IF(G47&lt;=5,"Sprint 2",IF(G47&lt;=7,"Sprint 3",IF(G47&lt;=9,"Sprint 4","Final"))))))))</f>
        <v/>
      </c>
      <c r="I47" s="11" t="str">
        <f aca="true">IF(A47="","",IF(TODAY()&lt;E47,"Start",IF(TODAY()&lt;=E47+7,"Charter Approved",IF(TODAY()&lt;=E47+21,"Sprint 1 Review",IF(TODAY()&lt;=E47+35,"Sprint 2 Review",IF(TODAY()&lt;=E47+49,"Sprint 3 Review",IF(TODAY()&lt;=E47+63,"Sprint 4 Review","Final Review")))))))</f>
        <v/>
      </c>
      <c r="J47" s="7" t="str">
        <f aca="true">IF(A47="","",IF(TODAY()&lt;E47,E47,IF(TODAY()&lt;=E47+7,E47+7,IF(TODAY()&lt;=E47+21,E47+21,IF(TODAY()&lt;=E47+35,E47+35,IF(TODAY()&lt;=E47+49,E47+49,IF(TODAY()&lt;=E47+63,E47+63,E47+70)))))))</f>
        <v/>
      </c>
      <c r="K47" s="11" t="str">
        <f aca="true">IF(A47="","",J47-TODAY())</f>
        <v/>
      </c>
      <c r="L47" s="7" t="str">
        <f aca="false">IF(A47="","",IFERROR(LOOKUP(2,1/('Weekly Check-in'!$B$4:$B$1003=A47),'Weekly Check-in'!$A$4:$A$1003),""))</f>
        <v/>
      </c>
      <c r="M47" s="11" t="str">
        <f aca="true">IF(A47="","",IF(L47="","",TODAY()-L47))</f>
        <v/>
      </c>
      <c r="N47" s="11" t="str">
        <f aca="false">IF(A47="","",COUNTIFS('Weekly Check-in'!$B$4:$B$1003,A47,'Weekly Check-in'!$H$4:$H$1003,"&lt;&gt;"))</f>
        <v/>
      </c>
      <c r="O47" s="11" t="str">
        <f aca="true">IF(A47="","",IF(OR(R47="Completed",R47="Withdrawn",TODAY()&lt;E47),"GREEN",IF(L47="","YELLOW",IF(M47&gt;=Config!$B$7,"RED",IF(OR(M47&gt;=Config!$B$6,AND(K47&lt;=Config!$B$8,N47&gt;0)),"YELLOW",IF(N47&gt;0,"YELLOW","GREEN"))))))</f>
        <v/>
      </c>
      <c r="P47" s="17"/>
      <c r="Q47" s="11" t="str">
        <f aca="false">IF(A47="","",IF(P47&lt;&gt;"",P47,O47))</f>
        <v/>
      </c>
      <c r="R47" s="17"/>
      <c r="S47" s="18"/>
      <c r="T47" s="18"/>
    </row>
    <row r="48" customFormat="false" ht="15" hidden="false" customHeight="true" outlineLevel="0" collapsed="false">
      <c r="A48" s="17"/>
      <c r="B48" s="17"/>
      <c r="C48" s="17"/>
      <c r="D48" s="17"/>
      <c r="E48" s="19"/>
      <c r="F48" s="7" t="str">
        <f aca="false">IF(A48="","",E48+Config!$B$4*7)</f>
        <v/>
      </c>
      <c r="G48" s="11" t="str">
        <f aca="true">IF(A48="","",MAX(0,MIN(Config!$B$4,INT((TODAY()-E48)/7)+1)))</f>
        <v/>
      </c>
      <c r="H48" s="11" t="str">
        <f aca="true">IF(A48="","",IF(TODAY()&lt;E48,"Not Started",IF(TODAY()&gt;F48,"Completed",IF(G48=1,"Onboarding",IF(G48&lt;=3,"Sprint 1",IF(G48&lt;=5,"Sprint 2",IF(G48&lt;=7,"Sprint 3",IF(G48&lt;=9,"Sprint 4","Final"))))))))</f>
        <v/>
      </c>
      <c r="I48" s="11" t="str">
        <f aca="true">IF(A48="","",IF(TODAY()&lt;E48,"Start",IF(TODAY()&lt;=E48+7,"Charter Approved",IF(TODAY()&lt;=E48+21,"Sprint 1 Review",IF(TODAY()&lt;=E48+35,"Sprint 2 Review",IF(TODAY()&lt;=E48+49,"Sprint 3 Review",IF(TODAY()&lt;=E48+63,"Sprint 4 Review","Final Review")))))))</f>
        <v/>
      </c>
      <c r="J48" s="7" t="str">
        <f aca="true">IF(A48="","",IF(TODAY()&lt;E48,E48,IF(TODAY()&lt;=E48+7,E48+7,IF(TODAY()&lt;=E48+21,E48+21,IF(TODAY()&lt;=E48+35,E48+35,IF(TODAY()&lt;=E48+49,E48+49,IF(TODAY()&lt;=E48+63,E48+63,E48+70)))))))</f>
        <v/>
      </c>
      <c r="K48" s="11" t="str">
        <f aca="true">IF(A48="","",J48-TODAY())</f>
        <v/>
      </c>
      <c r="L48" s="7" t="str">
        <f aca="false">IF(A48="","",IFERROR(LOOKUP(2,1/('Weekly Check-in'!$B$4:$B$1003=A48),'Weekly Check-in'!$A$4:$A$1003),""))</f>
        <v/>
      </c>
      <c r="M48" s="11" t="str">
        <f aca="true">IF(A48="","",IF(L48="","",TODAY()-L48))</f>
        <v/>
      </c>
      <c r="N48" s="11" t="str">
        <f aca="false">IF(A48="","",COUNTIFS('Weekly Check-in'!$B$4:$B$1003,A48,'Weekly Check-in'!$H$4:$H$1003,"&lt;&gt;"))</f>
        <v/>
      </c>
      <c r="O48" s="11" t="str">
        <f aca="true">IF(A48="","",IF(OR(R48="Completed",R48="Withdrawn",TODAY()&lt;E48),"GREEN",IF(L48="","YELLOW",IF(M48&gt;=Config!$B$7,"RED",IF(OR(M48&gt;=Config!$B$6,AND(K48&lt;=Config!$B$8,N48&gt;0)),"YELLOW",IF(N48&gt;0,"YELLOW","GREEN"))))))</f>
        <v/>
      </c>
      <c r="P48" s="17"/>
      <c r="Q48" s="11" t="str">
        <f aca="false">IF(A48="","",IF(P48&lt;&gt;"",P48,O48))</f>
        <v/>
      </c>
      <c r="R48" s="17"/>
      <c r="S48" s="18"/>
      <c r="T48" s="18"/>
    </row>
    <row r="49" customFormat="false" ht="15" hidden="false" customHeight="true" outlineLevel="0" collapsed="false">
      <c r="A49" s="17"/>
      <c r="B49" s="17"/>
      <c r="C49" s="17"/>
      <c r="D49" s="17"/>
      <c r="E49" s="19"/>
      <c r="F49" s="7" t="str">
        <f aca="false">IF(A49="","",E49+Config!$B$4*7)</f>
        <v/>
      </c>
      <c r="G49" s="11" t="str">
        <f aca="true">IF(A49="","",MAX(0,MIN(Config!$B$4,INT((TODAY()-E49)/7)+1)))</f>
        <v/>
      </c>
      <c r="H49" s="11" t="str">
        <f aca="true">IF(A49="","",IF(TODAY()&lt;E49,"Not Started",IF(TODAY()&gt;F49,"Completed",IF(G49=1,"Onboarding",IF(G49&lt;=3,"Sprint 1",IF(G49&lt;=5,"Sprint 2",IF(G49&lt;=7,"Sprint 3",IF(G49&lt;=9,"Sprint 4","Final"))))))))</f>
        <v/>
      </c>
      <c r="I49" s="11" t="str">
        <f aca="true">IF(A49="","",IF(TODAY()&lt;E49,"Start",IF(TODAY()&lt;=E49+7,"Charter Approved",IF(TODAY()&lt;=E49+21,"Sprint 1 Review",IF(TODAY()&lt;=E49+35,"Sprint 2 Review",IF(TODAY()&lt;=E49+49,"Sprint 3 Review",IF(TODAY()&lt;=E49+63,"Sprint 4 Review","Final Review")))))))</f>
        <v/>
      </c>
      <c r="J49" s="7" t="str">
        <f aca="true">IF(A49="","",IF(TODAY()&lt;E49,E49,IF(TODAY()&lt;=E49+7,E49+7,IF(TODAY()&lt;=E49+21,E49+21,IF(TODAY()&lt;=E49+35,E49+35,IF(TODAY()&lt;=E49+49,E49+49,IF(TODAY()&lt;=E49+63,E49+63,E49+70)))))))</f>
        <v/>
      </c>
      <c r="K49" s="11" t="str">
        <f aca="true">IF(A49="","",J49-TODAY())</f>
        <v/>
      </c>
      <c r="L49" s="7" t="str">
        <f aca="false">IF(A49="","",IFERROR(LOOKUP(2,1/('Weekly Check-in'!$B$4:$B$1003=A49),'Weekly Check-in'!$A$4:$A$1003),""))</f>
        <v/>
      </c>
      <c r="M49" s="11" t="str">
        <f aca="true">IF(A49="","",IF(L49="","",TODAY()-L49))</f>
        <v/>
      </c>
      <c r="N49" s="11" t="str">
        <f aca="false">IF(A49="","",COUNTIFS('Weekly Check-in'!$B$4:$B$1003,A49,'Weekly Check-in'!$H$4:$H$1003,"&lt;&gt;"))</f>
        <v/>
      </c>
      <c r="O49" s="11" t="str">
        <f aca="true">IF(A49="","",IF(OR(R49="Completed",R49="Withdrawn",TODAY()&lt;E49),"GREEN",IF(L49="","YELLOW",IF(M49&gt;=Config!$B$7,"RED",IF(OR(M49&gt;=Config!$B$6,AND(K49&lt;=Config!$B$8,N49&gt;0)),"YELLOW",IF(N49&gt;0,"YELLOW","GREEN"))))))</f>
        <v/>
      </c>
      <c r="P49" s="17"/>
      <c r="Q49" s="11" t="str">
        <f aca="false">IF(A49="","",IF(P49&lt;&gt;"",P49,O49))</f>
        <v/>
      </c>
      <c r="R49" s="17"/>
      <c r="S49" s="18"/>
      <c r="T49" s="18"/>
    </row>
    <row r="50" customFormat="false" ht="15" hidden="false" customHeight="true" outlineLevel="0" collapsed="false">
      <c r="A50" s="17"/>
      <c r="B50" s="17"/>
      <c r="C50" s="17"/>
      <c r="D50" s="17"/>
      <c r="E50" s="19"/>
      <c r="F50" s="7" t="str">
        <f aca="false">IF(A50="","",E50+Config!$B$4*7)</f>
        <v/>
      </c>
      <c r="G50" s="11" t="str">
        <f aca="true">IF(A50="","",MAX(0,MIN(Config!$B$4,INT((TODAY()-E50)/7)+1)))</f>
        <v/>
      </c>
      <c r="H50" s="11" t="str">
        <f aca="true">IF(A50="","",IF(TODAY()&lt;E50,"Not Started",IF(TODAY()&gt;F50,"Completed",IF(G50=1,"Onboarding",IF(G50&lt;=3,"Sprint 1",IF(G50&lt;=5,"Sprint 2",IF(G50&lt;=7,"Sprint 3",IF(G50&lt;=9,"Sprint 4","Final"))))))))</f>
        <v/>
      </c>
      <c r="I50" s="11" t="str">
        <f aca="true">IF(A50="","",IF(TODAY()&lt;E50,"Start",IF(TODAY()&lt;=E50+7,"Charter Approved",IF(TODAY()&lt;=E50+21,"Sprint 1 Review",IF(TODAY()&lt;=E50+35,"Sprint 2 Review",IF(TODAY()&lt;=E50+49,"Sprint 3 Review",IF(TODAY()&lt;=E50+63,"Sprint 4 Review","Final Review")))))))</f>
        <v/>
      </c>
      <c r="J50" s="7" t="str">
        <f aca="true">IF(A50="","",IF(TODAY()&lt;E50,E50,IF(TODAY()&lt;=E50+7,E50+7,IF(TODAY()&lt;=E50+21,E50+21,IF(TODAY()&lt;=E50+35,E50+35,IF(TODAY()&lt;=E50+49,E50+49,IF(TODAY()&lt;=E50+63,E50+63,E50+70)))))))</f>
        <v/>
      </c>
      <c r="K50" s="11" t="str">
        <f aca="true">IF(A50="","",J50-TODAY())</f>
        <v/>
      </c>
      <c r="L50" s="7" t="str">
        <f aca="false">IF(A50="","",IFERROR(LOOKUP(2,1/('Weekly Check-in'!$B$4:$B$1003=A50),'Weekly Check-in'!$A$4:$A$1003),""))</f>
        <v/>
      </c>
      <c r="M50" s="11" t="str">
        <f aca="true">IF(A50="","",IF(L50="","",TODAY()-L50))</f>
        <v/>
      </c>
      <c r="N50" s="11" t="str">
        <f aca="false">IF(A50="","",COUNTIFS('Weekly Check-in'!$B$4:$B$1003,A50,'Weekly Check-in'!$H$4:$H$1003,"&lt;&gt;"))</f>
        <v/>
      </c>
      <c r="O50" s="11" t="str">
        <f aca="true">IF(A50="","",IF(OR(R50="Completed",R50="Withdrawn",TODAY()&lt;E50),"GREEN",IF(L50="","YELLOW",IF(M50&gt;=Config!$B$7,"RED",IF(OR(M50&gt;=Config!$B$6,AND(K50&lt;=Config!$B$8,N50&gt;0)),"YELLOW",IF(N50&gt;0,"YELLOW","GREEN"))))))</f>
        <v/>
      </c>
      <c r="P50" s="17"/>
      <c r="Q50" s="11" t="str">
        <f aca="false">IF(A50="","",IF(P50&lt;&gt;"",P50,O50))</f>
        <v/>
      </c>
      <c r="R50" s="17"/>
      <c r="S50" s="18"/>
      <c r="T50" s="18"/>
    </row>
    <row r="51" customFormat="false" ht="15" hidden="false" customHeight="true" outlineLevel="0" collapsed="false">
      <c r="A51" s="17"/>
      <c r="B51" s="17"/>
      <c r="C51" s="17"/>
      <c r="D51" s="17"/>
      <c r="E51" s="19"/>
      <c r="F51" s="7" t="str">
        <f aca="false">IF(A51="","",E51+Config!$B$4*7)</f>
        <v/>
      </c>
      <c r="G51" s="11" t="str">
        <f aca="true">IF(A51="","",MAX(0,MIN(Config!$B$4,INT((TODAY()-E51)/7)+1)))</f>
        <v/>
      </c>
      <c r="H51" s="11" t="str">
        <f aca="true">IF(A51="","",IF(TODAY()&lt;E51,"Not Started",IF(TODAY()&gt;F51,"Completed",IF(G51=1,"Onboarding",IF(G51&lt;=3,"Sprint 1",IF(G51&lt;=5,"Sprint 2",IF(G51&lt;=7,"Sprint 3",IF(G51&lt;=9,"Sprint 4","Final"))))))))</f>
        <v/>
      </c>
      <c r="I51" s="11" t="str">
        <f aca="true">IF(A51="","",IF(TODAY()&lt;E51,"Start",IF(TODAY()&lt;=E51+7,"Charter Approved",IF(TODAY()&lt;=E51+21,"Sprint 1 Review",IF(TODAY()&lt;=E51+35,"Sprint 2 Review",IF(TODAY()&lt;=E51+49,"Sprint 3 Review",IF(TODAY()&lt;=E51+63,"Sprint 4 Review","Final Review")))))))</f>
        <v/>
      </c>
      <c r="J51" s="7" t="str">
        <f aca="true">IF(A51="","",IF(TODAY()&lt;E51,E51,IF(TODAY()&lt;=E51+7,E51+7,IF(TODAY()&lt;=E51+21,E51+21,IF(TODAY()&lt;=E51+35,E51+35,IF(TODAY()&lt;=E51+49,E51+49,IF(TODAY()&lt;=E51+63,E51+63,E51+70)))))))</f>
        <v/>
      </c>
      <c r="K51" s="11" t="str">
        <f aca="true">IF(A51="","",J51-TODAY())</f>
        <v/>
      </c>
      <c r="L51" s="7" t="str">
        <f aca="false">IF(A51="","",IFERROR(LOOKUP(2,1/('Weekly Check-in'!$B$4:$B$1003=A51),'Weekly Check-in'!$A$4:$A$1003),""))</f>
        <v/>
      </c>
      <c r="M51" s="11" t="str">
        <f aca="true">IF(A51="","",IF(L51="","",TODAY()-L51))</f>
        <v/>
      </c>
      <c r="N51" s="11" t="str">
        <f aca="false">IF(A51="","",COUNTIFS('Weekly Check-in'!$B$4:$B$1003,A51,'Weekly Check-in'!$H$4:$H$1003,"&lt;&gt;"))</f>
        <v/>
      </c>
      <c r="O51" s="11" t="str">
        <f aca="true">IF(A51="","",IF(OR(R51="Completed",R51="Withdrawn",TODAY()&lt;E51),"GREEN",IF(L51="","YELLOW",IF(M51&gt;=Config!$B$7,"RED",IF(OR(M51&gt;=Config!$B$6,AND(K51&lt;=Config!$B$8,N51&gt;0)),"YELLOW",IF(N51&gt;0,"YELLOW","GREEN"))))))</f>
        <v/>
      </c>
      <c r="P51" s="17"/>
      <c r="Q51" s="11" t="str">
        <f aca="false">IF(A51="","",IF(P51&lt;&gt;"",P51,O51))</f>
        <v/>
      </c>
      <c r="R51" s="17"/>
      <c r="S51" s="18"/>
      <c r="T51" s="18"/>
    </row>
    <row r="52" customFormat="false" ht="15" hidden="false" customHeight="true" outlineLevel="0" collapsed="false">
      <c r="A52" s="17"/>
      <c r="B52" s="17"/>
      <c r="C52" s="17"/>
      <c r="D52" s="17"/>
      <c r="E52" s="19"/>
      <c r="F52" s="7" t="str">
        <f aca="false">IF(A52="","",E52+Config!$B$4*7)</f>
        <v/>
      </c>
      <c r="G52" s="11" t="str">
        <f aca="true">IF(A52="","",MAX(0,MIN(Config!$B$4,INT((TODAY()-E52)/7)+1)))</f>
        <v/>
      </c>
      <c r="H52" s="11" t="str">
        <f aca="true">IF(A52="","",IF(TODAY()&lt;E52,"Not Started",IF(TODAY()&gt;F52,"Completed",IF(G52=1,"Onboarding",IF(G52&lt;=3,"Sprint 1",IF(G52&lt;=5,"Sprint 2",IF(G52&lt;=7,"Sprint 3",IF(G52&lt;=9,"Sprint 4","Final"))))))))</f>
        <v/>
      </c>
      <c r="I52" s="11" t="str">
        <f aca="true">IF(A52="","",IF(TODAY()&lt;E52,"Start",IF(TODAY()&lt;=E52+7,"Charter Approved",IF(TODAY()&lt;=E52+21,"Sprint 1 Review",IF(TODAY()&lt;=E52+35,"Sprint 2 Review",IF(TODAY()&lt;=E52+49,"Sprint 3 Review",IF(TODAY()&lt;=E52+63,"Sprint 4 Review","Final Review")))))))</f>
        <v/>
      </c>
      <c r="J52" s="7" t="str">
        <f aca="true">IF(A52="","",IF(TODAY()&lt;E52,E52,IF(TODAY()&lt;=E52+7,E52+7,IF(TODAY()&lt;=E52+21,E52+21,IF(TODAY()&lt;=E52+35,E52+35,IF(TODAY()&lt;=E52+49,E52+49,IF(TODAY()&lt;=E52+63,E52+63,E52+70)))))))</f>
        <v/>
      </c>
      <c r="K52" s="11" t="str">
        <f aca="true">IF(A52="","",J52-TODAY())</f>
        <v/>
      </c>
      <c r="L52" s="7" t="str">
        <f aca="false">IF(A52="","",IFERROR(LOOKUP(2,1/('Weekly Check-in'!$B$4:$B$1003=A52),'Weekly Check-in'!$A$4:$A$1003),""))</f>
        <v/>
      </c>
      <c r="M52" s="11" t="str">
        <f aca="true">IF(A52="","",IF(L52="","",TODAY()-L52))</f>
        <v/>
      </c>
      <c r="N52" s="11" t="str">
        <f aca="false">IF(A52="","",COUNTIFS('Weekly Check-in'!$B$4:$B$1003,A52,'Weekly Check-in'!$H$4:$H$1003,"&lt;&gt;"))</f>
        <v/>
      </c>
      <c r="O52" s="11" t="str">
        <f aca="true">IF(A52="","",IF(OR(R52="Completed",R52="Withdrawn",TODAY()&lt;E52),"GREEN",IF(L52="","YELLOW",IF(M52&gt;=Config!$B$7,"RED",IF(OR(M52&gt;=Config!$B$6,AND(K52&lt;=Config!$B$8,N52&gt;0)),"YELLOW",IF(N52&gt;0,"YELLOW","GREEN"))))))</f>
        <v/>
      </c>
      <c r="P52" s="17"/>
      <c r="Q52" s="11" t="str">
        <f aca="false">IF(A52="","",IF(P52&lt;&gt;"",P52,O52))</f>
        <v/>
      </c>
      <c r="R52" s="17"/>
      <c r="S52" s="18"/>
      <c r="T52" s="18"/>
    </row>
    <row r="53" customFormat="false" ht="15" hidden="false" customHeight="true" outlineLevel="0" collapsed="false">
      <c r="A53" s="17"/>
      <c r="B53" s="17"/>
      <c r="C53" s="17"/>
      <c r="D53" s="17"/>
      <c r="E53" s="19"/>
      <c r="F53" s="7" t="str">
        <f aca="false">IF(A53="","",E53+Config!$B$4*7)</f>
        <v/>
      </c>
      <c r="G53" s="11" t="str">
        <f aca="true">IF(A53="","",MAX(0,MIN(Config!$B$4,INT((TODAY()-E53)/7)+1)))</f>
        <v/>
      </c>
      <c r="H53" s="11" t="str">
        <f aca="true">IF(A53="","",IF(TODAY()&lt;E53,"Not Started",IF(TODAY()&gt;F53,"Completed",IF(G53=1,"Onboarding",IF(G53&lt;=3,"Sprint 1",IF(G53&lt;=5,"Sprint 2",IF(G53&lt;=7,"Sprint 3",IF(G53&lt;=9,"Sprint 4","Final"))))))))</f>
        <v/>
      </c>
      <c r="I53" s="11" t="str">
        <f aca="true">IF(A53="","",IF(TODAY()&lt;E53,"Start",IF(TODAY()&lt;=E53+7,"Charter Approved",IF(TODAY()&lt;=E53+21,"Sprint 1 Review",IF(TODAY()&lt;=E53+35,"Sprint 2 Review",IF(TODAY()&lt;=E53+49,"Sprint 3 Review",IF(TODAY()&lt;=E53+63,"Sprint 4 Review","Final Review")))))))</f>
        <v/>
      </c>
      <c r="J53" s="7" t="str">
        <f aca="true">IF(A53="","",IF(TODAY()&lt;E53,E53,IF(TODAY()&lt;=E53+7,E53+7,IF(TODAY()&lt;=E53+21,E53+21,IF(TODAY()&lt;=E53+35,E53+35,IF(TODAY()&lt;=E53+49,E53+49,IF(TODAY()&lt;=E53+63,E53+63,E53+70)))))))</f>
        <v/>
      </c>
      <c r="K53" s="11" t="str">
        <f aca="true">IF(A53="","",J53-TODAY())</f>
        <v/>
      </c>
      <c r="L53" s="7" t="str">
        <f aca="false">IF(A53="","",IFERROR(LOOKUP(2,1/('Weekly Check-in'!$B$4:$B$1003=A53),'Weekly Check-in'!$A$4:$A$1003),""))</f>
        <v/>
      </c>
      <c r="M53" s="11" t="str">
        <f aca="true">IF(A53="","",IF(L53="","",TODAY()-L53))</f>
        <v/>
      </c>
      <c r="N53" s="11" t="str">
        <f aca="false">IF(A53="","",COUNTIFS('Weekly Check-in'!$B$4:$B$1003,A53,'Weekly Check-in'!$H$4:$H$1003,"&lt;&gt;"))</f>
        <v/>
      </c>
      <c r="O53" s="11" t="str">
        <f aca="true">IF(A53="","",IF(OR(R53="Completed",R53="Withdrawn",TODAY()&lt;E53),"GREEN",IF(L53="","YELLOW",IF(M53&gt;=Config!$B$7,"RED",IF(OR(M53&gt;=Config!$B$6,AND(K53&lt;=Config!$B$8,N53&gt;0)),"YELLOW",IF(N53&gt;0,"YELLOW","GREEN"))))))</f>
        <v/>
      </c>
      <c r="P53" s="17"/>
      <c r="Q53" s="11" t="str">
        <f aca="false">IF(A53="","",IF(P53&lt;&gt;"",P53,O53))</f>
        <v/>
      </c>
      <c r="R53" s="17"/>
      <c r="S53" s="18"/>
      <c r="T53" s="18"/>
    </row>
    <row r="54" customFormat="false" ht="15" hidden="false" customHeight="true" outlineLevel="0" collapsed="false">
      <c r="A54" s="17"/>
      <c r="B54" s="17"/>
      <c r="C54" s="17"/>
      <c r="D54" s="17"/>
      <c r="E54" s="19"/>
      <c r="F54" s="7" t="str">
        <f aca="false">IF(A54="","",E54+Config!$B$4*7)</f>
        <v/>
      </c>
      <c r="G54" s="11" t="str">
        <f aca="true">IF(A54="","",MAX(0,MIN(Config!$B$4,INT((TODAY()-E54)/7)+1)))</f>
        <v/>
      </c>
      <c r="H54" s="11" t="str">
        <f aca="true">IF(A54="","",IF(TODAY()&lt;E54,"Not Started",IF(TODAY()&gt;F54,"Completed",IF(G54=1,"Onboarding",IF(G54&lt;=3,"Sprint 1",IF(G54&lt;=5,"Sprint 2",IF(G54&lt;=7,"Sprint 3",IF(G54&lt;=9,"Sprint 4","Final"))))))))</f>
        <v/>
      </c>
      <c r="I54" s="11" t="str">
        <f aca="true">IF(A54="","",IF(TODAY()&lt;E54,"Start",IF(TODAY()&lt;=E54+7,"Charter Approved",IF(TODAY()&lt;=E54+21,"Sprint 1 Review",IF(TODAY()&lt;=E54+35,"Sprint 2 Review",IF(TODAY()&lt;=E54+49,"Sprint 3 Review",IF(TODAY()&lt;=E54+63,"Sprint 4 Review","Final Review")))))))</f>
        <v/>
      </c>
      <c r="J54" s="7" t="str">
        <f aca="true">IF(A54="","",IF(TODAY()&lt;E54,E54,IF(TODAY()&lt;=E54+7,E54+7,IF(TODAY()&lt;=E54+21,E54+21,IF(TODAY()&lt;=E54+35,E54+35,IF(TODAY()&lt;=E54+49,E54+49,IF(TODAY()&lt;=E54+63,E54+63,E54+70)))))))</f>
        <v/>
      </c>
      <c r="K54" s="11" t="str">
        <f aca="true">IF(A54="","",J54-TODAY())</f>
        <v/>
      </c>
      <c r="L54" s="7" t="str">
        <f aca="false">IF(A54="","",IFERROR(LOOKUP(2,1/('Weekly Check-in'!$B$4:$B$1003=A54),'Weekly Check-in'!$A$4:$A$1003),""))</f>
        <v/>
      </c>
      <c r="M54" s="11" t="str">
        <f aca="true">IF(A54="","",IF(L54="","",TODAY()-L54))</f>
        <v/>
      </c>
      <c r="N54" s="11" t="str">
        <f aca="false">IF(A54="","",COUNTIFS('Weekly Check-in'!$B$4:$B$1003,A54,'Weekly Check-in'!$H$4:$H$1003,"&lt;&gt;"))</f>
        <v/>
      </c>
      <c r="O54" s="11" t="str">
        <f aca="true">IF(A54="","",IF(OR(R54="Completed",R54="Withdrawn",TODAY()&lt;E54),"GREEN",IF(L54="","YELLOW",IF(M54&gt;=Config!$B$7,"RED",IF(OR(M54&gt;=Config!$B$6,AND(K54&lt;=Config!$B$8,N54&gt;0)),"YELLOW",IF(N54&gt;0,"YELLOW","GREEN"))))))</f>
        <v/>
      </c>
      <c r="P54" s="17"/>
      <c r="Q54" s="11" t="str">
        <f aca="false">IF(A54="","",IF(P54&lt;&gt;"",P54,O54))</f>
        <v/>
      </c>
      <c r="R54" s="17"/>
      <c r="S54" s="18"/>
      <c r="T54" s="18"/>
    </row>
    <row r="55" customFormat="false" ht="15" hidden="false" customHeight="true" outlineLevel="0" collapsed="false">
      <c r="A55" s="17"/>
      <c r="B55" s="17"/>
      <c r="C55" s="17"/>
      <c r="D55" s="17"/>
      <c r="E55" s="19"/>
      <c r="F55" s="7" t="str">
        <f aca="false">IF(A55="","",E55+Config!$B$4*7)</f>
        <v/>
      </c>
      <c r="G55" s="11" t="str">
        <f aca="true">IF(A55="","",MAX(0,MIN(Config!$B$4,INT((TODAY()-E55)/7)+1)))</f>
        <v/>
      </c>
      <c r="H55" s="11" t="str">
        <f aca="true">IF(A55="","",IF(TODAY()&lt;E55,"Not Started",IF(TODAY()&gt;F55,"Completed",IF(G55=1,"Onboarding",IF(G55&lt;=3,"Sprint 1",IF(G55&lt;=5,"Sprint 2",IF(G55&lt;=7,"Sprint 3",IF(G55&lt;=9,"Sprint 4","Final"))))))))</f>
        <v/>
      </c>
      <c r="I55" s="11" t="str">
        <f aca="true">IF(A55="","",IF(TODAY()&lt;E55,"Start",IF(TODAY()&lt;=E55+7,"Charter Approved",IF(TODAY()&lt;=E55+21,"Sprint 1 Review",IF(TODAY()&lt;=E55+35,"Sprint 2 Review",IF(TODAY()&lt;=E55+49,"Sprint 3 Review",IF(TODAY()&lt;=E55+63,"Sprint 4 Review","Final Review")))))))</f>
        <v/>
      </c>
      <c r="J55" s="7" t="str">
        <f aca="true">IF(A55="","",IF(TODAY()&lt;E55,E55,IF(TODAY()&lt;=E55+7,E55+7,IF(TODAY()&lt;=E55+21,E55+21,IF(TODAY()&lt;=E55+35,E55+35,IF(TODAY()&lt;=E55+49,E55+49,IF(TODAY()&lt;=E55+63,E55+63,E55+70)))))))</f>
        <v/>
      </c>
      <c r="K55" s="11" t="str">
        <f aca="true">IF(A55="","",J55-TODAY())</f>
        <v/>
      </c>
      <c r="L55" s="7" t="str">
        <f aca="false">IF(A55="","",IFERROR(LOOKUP(2,1/('Weekly Check-in'!$B$4:$B$1003=A55),'Weekly Check-in'!$A$4:$A$1003),""))</f>
        <v/>
      </c>
      <c r="M55" s="11" t="str">
        <f aca="true">IF(A55="","",IF(L55="","",TODAY()-L55))</f>
        <v/>
      </c>
      <c r="N55" s="11" t="str">
        <f aca="false">IF(A55="","",COUNTIFS('Weekly Check-in'!$B$4:$B$1003,A55,'Weekly Check-in'!$H$4:$H$1003,"&lt;&gt;"))</f>
        <v/>
      </c>
      <c r="O55" s="11" t="str">
        <f aca="true">IF(A55="","",IF(OR(R55="Completed",R55="Withdrawn",TODAY()&lt;E55),"GREEN",IF(L55="","YELLOW",IF(M55&gt;=Config!$B$7,"RED",IF(OR(M55&gt;=Config!$B$6,AND(K55&lt;=Config!$B$8,N55&gt;0)),"YELLOW",IF(N55&gt;0,"YELLOW","GREEN"))))))</f>
        <v/>
      </c>
      <c r="P55" s="17"/>
      <c r="Q55" s="11" t="str">
        <f aca="false">IF(A55="","",IF(P55&lt;&gt;"",P55,O55))</f>
        <v/>
      </c>
      <c r="R55" s="17"/>
      <c r="S55" s="18"/>
      <c r="T55" s="18"/>
    </row>
    <row r="56" customFormat="false" ht="15" hidden="false" customHeight="true" outlineLevel="0" collapsed="false">
      <c r="A56" s="17"/>
      <c r="B56" s="17"/>
      <c r="C56" s="17"/>
      <c r="D56" s="17"/>
      <c r="E56" s="19"/>
      <c r="F56" s="7" t="str">
        <f aca="false">IF(A56="","",E56+Config!$B$4*7)</f>
        <v/>
      </c>
      <c r="G56" s="11" t="str">
        <f aca="true">IF(A56="","",MAX(0,MIN(Config!$B$4,INT((TODAY()-E56)/7)+1)))</f>
        <v/>
      </c>
      <c r="H56" s="11" t="str">
        <f aca="true">IF(A56="","",IF(TODAY()&lt;E56,"Not Started",IF(TODAY()&gt;F56,"Completed",IF(G56=1,"Onboarding",IF(G56&lt;=3,"Sprint 1",IF(G56&lt;=5,"Sprint 2",IF(G56&lt;=7,"Sprint 3",IF(G56&lt;=9,"Sprint 4","Final"))))))))</f>
        <v/>
      </c>
      <c r="I56" s="11" t="str">
        <f aca="true">IF(A56="","",IF(TODAY()&lt;E56,"Start",IF(TODAY()&lt;=E56+7,"Charter Approved",IF(TODAY()&lt;=E56+21,"Sprint 1 Review",IF(TODAY()&lt;=E56+35,"Sprint 2 Review",IF(TODAY()&lt;=E56+49,"Sprint 3 Review",IF(TODAY()&lt;=E56+63,"Sprint 4 Review","Final Review")))))))</f>
        <v/>
      </c>
      <c r="J56" s="7" t="str">
        <f aca="true">IF(A56="","",IF(TODAY()&lt;E56,E56,IF(TODAY()&lt;=E56+7,E56+7,IF(TODAY()&lt;=E56+21,E56+21,IF(TODAY()&lt;=E56+35,E56+35,IF(TODAY()&lt;=E56+49,E56+49,IF(TODAY()&lt;=E56+63,E56+63,E56+70)))))))</f>
        <v/>
      </c>
      <c r="K56" s="11" t="str">
        <f aca="true">IF(A56="","",J56-TODAY())</f>
        <v/>
      </c>
      <c r="L56" s="7" t="str">
        <f aca="false">IF(A56="","",IFERROR(LOOKUP(2,1/('Weekly Check-in'!$B$4:$B$1003=A56),'Weekly Check-in'!$A$4:$A$1003),""))</f>
        <v/>
      </c>
      <c r="M56" s="11" t="str">
        <f aca="true">IF(A56="","",IF(L56="","",TODAY()-L56))</f>
        <v/>
      </c>
      <c r="N56" s="11" t="str">
        <f aca="false">IF(A56="","",COUNTIFS('Weekly Check-in'!$B$4:$B$1003,A56,'Weekly Check-in'!$H$4:$H$1003,"&lt;&gt;"))</f>
        <v/>
      </c>
      <c r="O56" s="11" t="str">
        <f aca="true">IF(A56="","",IF(OR(R56="Completed",R56="Withdrawn",TODAY()&lt;E56),"GREEN",IF(L56="","YELLOW",IF(M56&gt;=Config!$B$7,"RED",IF(OR(M56&gt;=Config!$B$6,AND(K56&lt;=Config!$B$8,N56&gt;0)),"YELLOW",IF(N56&gt;0,"YELLOW","GREEN"))))))</f>
        <v/>
      </c>
      <c r="P56" s="17"/>
      <c r="Q56" s="11" t="str">
        <f aca="false">IF(A56="","",IF(P56&lt;&gt;"",P56,O56))</f>
        <v/>
      </c>
      <c r="R56" s="17"/>
      <c r="S56" s="18"/>
      <c r="T56" s="18"/>
    </row>
    <row r="57" customFormat="false" ht="15" hidden="false" customHeight="true" outlineLevel="0" collapsed="false">
      <c r="A57" s="17"/>
      <c r="B57" s="17"/>
      <c r="C57" s="17"/>
      <c r="D57" s="17"/>
      <c r="E57" s="19"/>
      <c r="F57" s="7" t="str">
        <f aca="false">IF(A57="","",E57+Config!$B$4*7)</f>
        <v/>
      </c>
      <c r="G57" s="11" t="str">
        <f aca="true">IF(A57="","",MAX(0,MIN(Config!$B$4,INT((TODAY()-E57)/7)+1)))</f>
        <v/>
      </c>
      <c r="H57" s="11" t="str">
        <f aca="true">IF(A57="","",IF(TODAY()&lt;E57,"Not Started",IF(TODAY()&gt;F57,"Completed",IF(G57=1,"Onboarding",IF(G57&lt;=3,"Sprint 1",IF(G57&lt;=5,"Sprint 2",IF(G57&lt;=7,"Sprint 3",IF(G57&lt;=9,"Sprint 4","Final"))))))))</f>
        <v/>
      </c>
      <c r="I57" s="11" t="str">
        <f aca="true">IF(A57="","",IF(TODAY()&lt;E57,"Start",IF(TODAY()&lt;=E57+7,"Charter Approved",IF(TODAY()&lt;=E57+21,"Sprint 1 Review",IF(TODAY()&lt;=E57+35,"Sprint 2 Review",IF(TODAY()&lt;=E57+49,"Sprint 3 Review",IF(TODAY()&lt;=E57+63,"Sprint 4 Review","Final Review")))))))</f>
        <v/>
      </c>
      <c r="J57" s="7" t="str">
        <f aca="true">IF(A57="","",IF(TODAY()&lt;E57,E57,IF(TODAY()&lt;=E57+7,E57+7,IF(TODAY()&lt;=E57+21,E57+21,IF(TODAY()&lt;=E57+35,E57+35,IF(TODAY()&lt;=E57+49,E57+49,IF(TODAY()&lt;=E57+63,E57+63,E57+70)))))))</f>
        <v/>
      </c>
      <c r="K57" s="11" t="str">
        <f aca="true">IF(A57="","",J57-TODAY())</f>
        <v/>
      </c>
      <c r="L57" s="7" t="str">
        <f aca="false">IF(A57="","",IFERROR(LOOKUP(2,1/('Weekly Check-in'!$B$4:$B$1003=A57),'Weekly Check-in'!$A$4:$A$1003),""))</f>
        <v/>
      </c>
      <c r="M57" s="11" t="str">
        <f aca="true">IF(A57="","",IF(L57="","",TODAY()-L57))</f>
        <v/>
      </c>
      <c r="N57" s="11" t="str">
        <f aca="false">IF(A57="","",COUNTIFS('Weekly Check-in'!$B$4:$B$1003,A57,'Weekly Check-in'!$H$4:$H$1003,"&lt;&gt;"))</f>
        <v/>
      </c>
      <c r="O57" s="11" t="str">
        <f aca="true">IF(A57="","",IF(OR(R57="Completed",R57="Withdrawn",TODAY()&lt;E57),"GREEN",IF(L57="","YELLOW",IF(M57&gt;=Config!$B$7,"RED",IF(OR(M57&gt;=Config!$B$6,AND(K57&lt;=Config!$B$8,N57&gt;0)),"YELLOW",IF(N57&gt;0,"YELLOW","GREEN"))))))</f>
        <v/>
      </c>
      <c r="P57" s="17"/>
      <c r="Q57" s="11" t="str">
        <f aca="false">IF(A57="","",IF(P57&lt;&gt;"",P57,O57))</f>
        <v/>
      </c>
      <c r="R57" s="17"/>
      <c r="S57" s="18"/>
      <c r="T57" s="18"/>
    </row>
    <row r="58" customFormat="false" ht="15" hidden="false" customHeight="true" outlineLevel="0" collapsed="false">
      <c r="A58" s="17"/>
      <c r="B58" s="17"/>
      <c r="C58" s="17"/>
      <c r="D58" s="17"/>
      <c r="E58" s="19"/>
      <c r="F58" s="7" t="str">
        <f aca="false">IF(A58="","",E58+Config!$B$4*7)</f>
        <v/>
      </c>
      <c r="G58" s="11" t="str">
        <f aca="true">IF(A58="","",MAX(0,MIN(Config!$B$4,INT((TODAY()-E58)/7)+1)))</f>
        <v/>
      </c>
      <c r="H58" s="11" t="str">
        <f aca="true">IF(A58="","",IF(TODAY()&lt;E58,"Not Started",IF(TODAY()&gt;F58,"Completed",IF(G58=1,"Onboarding",IF(G58&lt;=3,"Sprint 1",IF(G58&lt;=5,"Sprint 2",IF(G58&lt;=7,"Sprint 3",IF(G58&lt;=9,"Sprint 4","Final"))))))))</f>
        <v/>
      </c>
      <c r="I58" s="11" t="str">
        <f aca="true">IF(A58="","",IF(TODAY()&lt;E58,"Start",IF(TODAY()&lt;=E58+7,"Charter Approved",IF(TODAY()&lt;=E58+21,"Sprint 1 Review",IF(TODAY()&lt;=E58+35,"Sprint 2 Review",IF(TODAY()&lt;=E58+49,"Sprint 3 Review",IF(TODAY()&lt;=E58+63,"Sprint 4 Review","Final Review")))))))</f>
        <v/>
      </c>
      <c r="J58" s="7" t="str">
        <f aca="true">IF(A58="","",IF(TODAY()&lt;E58,E58,IF(TODAY()&lt;=E58+7,E58+7,IF(TODAY()&lt;=E58+21,E58+21,IF(TODAY()&lt;=E58+35,E58+35,IF(TODAY()&lt;=E58+49,E58+49,IF(TODAY()&lt;=E58+63,E58+63,E58+70)))))))</f>
        <v/>
      </c>
      <c r="K58" s="11" t="str">
        <f aca="true">IF(A58="","",J58-TODAY())</f>
        <v/>
      </c>
      <c r="L58" s="7" t="str">
        <f aca="false">IF(A58="","",IFERROR(LOOKUP(2,1/('Weekly Check-in'!$B$4:$B$1003=A58),'Weekly Check-in'!$A$4:$A$1003),""))</f>
        <v/>
      </c>
      <c r="M58" s="11" t="str">
        <f aca="true">IF(A58="","",IF(L58="","",TODAY()-L58))</f>
        <v/>
      </c>
      <c r="N58" s="11" t="str">
        <f aca="false">IF(A58="","",COUNTIFS('Weekly Check-in'!$B$4:$B$1003,A58,'Weekly Check-in'!$H$4:$H$1003,"&lt;&gt;"))</f>
        <v/>
      </c>
      <c r="O58" s="11" t="str">
        <f aca="true">IF(A58="","",IF(OR(R58="Completed",R58="Withdrawn",TODAY()&lt;E58),"GREEN",IF(L58="","YELLOW",IF(M58&gt;=Config!$B$7,"RED",IF(OR(M58&gt;=Config!$B$6,AND(K58&lt;=Config!$B$8,N58&gt;0)),"YELLOW",IF(N58&gt;0,"YELLOW","GREEN"))))))</f>
        <v/>
      </c>
      <c r="P58" s="17"/>
      <c r="Q58" s="11" t="str">
        <f aca="false">IF(A58="","",IF(P58&lt;&gt;"",P58,O58))</f>
        <v/>
      </c>
      <c r="R58" s="17"/>
      <c r="S58" s="18"/>
      <c r="T58" s="18"/>
    </row>
    <row r="59" customFormat="false" ht="15" hidden="false" customHeight="true" outlineLevel="0" collapsed="false">
      <c r="A59" s="17"/>
      <c r="B59" s="17"/>
      <c r="C59" s="17"/>
      <c r="D59" s="17"/>
      <c r="E59" s="19"/>
      <c r="F59" s="7" t="str">
        <f aca="false">IF(A59="","",E59+Config!$B$4*7)</f>
        <v/>
      </c>
      <c r="G59" s="11" t="str">
        <f aca="true">IF(A59="","",MAX(0,MIN(Config!$B$4,INT((TODAY()-E59)/7)+1)))</f>
        <v/>
      </c>
      <c r="H59" s="11" t="str">
        <f aca="true">IF(A59="","",IF(TODAY()&lt;E59,"Not Started",IF(TODAY()&gt;F59,"Completed",IF(G59=1,"Onboarding",IF(G59&lt;=3,"Sprint 1",IF(G59&lt;=5,"Sprint 2",IF(G59&lt;=7,"Sprint 3",IF(G59&lt;=9,"Sprint 4","Final"))))))))</f>
        <v/>
      </c>
      <c r="I59" s="11" t="str">
        <f aca="true">IF(A59="","",IF(TODAY()&lt;E59,"Start",IF(TODAY()&lt;=E59+7,"Charter Approved",IF(TODAY()&lt;=E59+21,"Sprint 1 Review",IF(TODAY()&lt;=E59+35,"Sprint 2 Review",IF(TODAY()&lt;=E59+49,"Sprint 3 Review",IF(TODAY()&lt;=E59+63,"Sprint 4 Review","Final Review")))))))</f>
        <v/>
      </c>
      <c r="J59" s="7" t="str">
        <f aca="true">IF(A59="","",IF(TODAY()&lt;E59,E59,IF(TODAY()&lt;=E59+7,E59+7,IF(TODAY()&lt;=E59+21,E59+21,IF(TODAY()&lt;=E59+35,E59+35,IF(TODAY()&lt;=E59+49,E59+49,IF(TODAY()&lt;=E59+63,E59+63,E59+70)))))))</f>
        <v/>
      </c>
      <c r="K59" s="11" t="str">
        <f aca="true">IF(A59="","",J59-TODAY())</f>
        <v/>
      </c>
      <c r="L59" s="7" t="str">
        <f aca="false">IF(A59="","",IFERROR(LOOKUP(2,1/('Weekly Check-in'!$B$4:$B$1003=A59),'Weekly Check-in'!$A$4:$A$1003),""))</f>
        <v/>
      </c>
      <c r="M59" s="11" t="str">
        <f aca="true">IF(A59="","",IF(L59="","",TODAY()-L59))</f>
        <v/>
      </c>
      <c r="N59" s="11" t="str">
        <f aca="false">IF(A59="","",COUNTIFS('Weekly Check-in'!$B$4:$B$1003,A59,'Weekly Check-in'!$H$4:$H$1003,"&lt;&gt;"))</f>
        <v/>
      </c>
      <c r="O59" s="11" t="str">
        <f aca="true">IF(A59="","",IF(OR(R59="Completed",R59="Withdrawn",TODAY()&lt;E59),"GREEN",IF(L59="","YELLOW",IF(M59&gt;=Config!$B$7,"RED",IF(OR(M59&gt;=Config!$B$6,AND(K59&lt;=Config!$B$8,N59&gt;0)),"YELLOW",IF(N59&gt;0,"YELLOW","GREEN"))))))</f>
        <v/>
      </c>
      <c r="P59" s="17"/>
      <c r="Q59" s="11" t="str">
        <f aca="false">IF(A59="","",IF(P59&lt;&gt;"",P59,O59))</f>
        <v/>
      </c>
      <c r="R59" s="17"/>
      <c r="S59" s="18"/>
      <c r="T59" s="18"/>
    </row>
    <row r="60" customFormat="false" ht="15" hidden="false" customHeight="true" outlineLevel="0" collapsed="false">
      <c r="A60" s="17"/>
      <c r="B60" s="17"/>
      <c r="C60" s="17"/>
      <c r="D60" s="17"/>
      <c r="E60" s="19"/>
      <c r="F60" s="7" t="str">
        <f aca="false">IF(A60="","",E60+Config!$B$4*7)</f>
        <v/>
      </c>
      <c r="G60" s="11" t="str">
        <f aca="true">IF(A60="","",MAX(0,MIN(Config!$B$4,INT((TODAY()-E60)/7)+1)))</f>
        <v/>
      </c>
      <c r="H60" s="11" t="str">
        <f aca="true">IF(A60="","",IF(TODAY()&lt;E60,"Not Started",IF(TODAY()&gt;F60,"Completed",IF(G60=1,"Onboarding",IF(G60&lt;=3,"Sprint 1",IF(G60&lt;=5,"Sprint 2",IF(G60&lt;=7,"Sprint 3",IF(G60&lt;=9,"Sprint 4","Final"))))))))</f>
        <v/>
      </c>
      <c r="I60" s="11" t="str">
        <f aca="true">IF(A60="","",IF(TODAY()&lt;E60,"Start",IF(TODAY()&lt;=E60+7,"Charter Approved",IF(TODAY()&lt;=E60+21,"Sprint 1 Review",IF(TODAY()&lt;=E60+35,"Sprint 2 Review",IF(TODAY()&lt;=E60+49,"Sprint 3 Review",IF(TODAY()&lt;=E60+63,"Sprint 4 Review","Final Review")))))))</f>
        <v/>
      </c>
      <c r="J60" s="7" t="str">
        <f aca="true">IF(A60="","",IF(TODAY()&lt;E60,E60,IF(TODAY()&lt;=E60+7,E60+7,IF(TODAY()&lt;=E60+21,E60+21,IF(TODAY()&lt;=E60+35,E60+35,IF(TODAY()&lt;=E60+49,E60+49,IF(TODAY()&lt;=E60+63,E60+63,E60+70)))))))</f>
        <v/>
      </c>
      <c r="K60" s="11" t="str">
        <f aca="true">IF(A60="","",J60-TODAY())</f>
        <v/>
      </c>
      <c r="L60" s="7" t="str">
        <f aca="false">IF(A60="","",IFERROR(LOOKUP(2,1/('Weekly Check-in'!$B$4:$B$1003=A60),'Weekly Check-in'!$A$4:$A$1003),""))</f>
        <v/>
      </c>
      <c r="M60" s="11" t="str">
        <f aca="true">IF(A60="","",IF(L60="","",TODAY()-L60))</f>
        <v/>
      </c>
      <c r="N60" s="11" t="str">
        <f aca="false">IF(A60="","",COUNTIFS('Weekly Check-in'!$B$4:$B$1003,A60,'Weekly Check-in'!$H$4:$H$1003,"&lt;&gt;"))</f>
        <v/>
      </c>
      <c r="O60" s="11" t="str">
        <f aca="true">IF(A60="","",IF(OR(R60="Completed",R60="Withdrawn",TODAY()&lt;E60),"GREEN",IF(L60="","YELLOW",IF(M60&gt;=Config!$B$7,"RED",IF(OR(M60&gt;=Config!$B$6,AND(K60&lt;=Config!$B$8,N60&gt;0)),"YELLOW",IF(N60&gt;0,"YELLOW","GREEN"))))))</f>
        <v/>
      </c>
      <c r="P60" s="17"/>
      <c r="Q60" s="11" t="str">
        <f aca="false">IF(A60="","",IF(P60&lt;&gt;"",P60,O60))</f>
        <v/>
      </c>
      <c r="R60" s="17"/>
      <c r="S60" s="18"/>
      <c r="T60" s="18"/>
    </row>
    <row r="61" customFormat="false" ht="15" hidden="false" customHeight="true" outlineLevel="0" collapsed="false">
      <c r="A61" s="17"/>
      <c r="B61" s="17"/>
      <c r="C61" s="17"/>
      <c r="D61" s="17"/>
      <c r="E61" s="19"/>
      <c r="F61" s="7" t="str">
        <f aca="false">IF(A61="","",E61+Config!$B$4*7)</f>
        <v/>
      </c>
      <c r="G61" s="11" t="str">
        <f aca="true">IF(A61="","",MAX(0,MIN(Config!$B$4,INT((TODAY()-E61)/7)+1)))</f>
        <v/>
      </c>
      <c r="H61" s="11" t="str">
        <f aca="true">IF(A61="","",IF(TODAY()&lt;E61,"Not Started",IF(TODAY()&gt;F61,"Completed",IF(G61=1,"Onboarding",IF(G61&lt;=3,"Sprint 1",IF(G61&lt;=5,"Sprint 2",IF(G61&lt;=7,"Sprint 3",IF(G61&lt;=9,"Sprint 4","Final"))))))))</f>
        <v/>
      </c>
      <c r="I61" s="11" t="str">
        <f aca="true">IF(A61="","",IF(TODAY()&lt;E61,"Start",IF(TODAY()&lt;=E61+7,"Charter Approved",IF(TODAY()&lt;=E61+21,"Sprint 1 Review",IF(TODAY()&lt;=E61+35,"Sprint 2 Review",IF(TODAY()&lt;=E61+49,"Sprint 3 Review",IF(TODAY()&lt;=E61+63,"Sprint 4 Review","Final Review")))))))</f>
        <v/>
      </c>
      <c r="J61" s="7" t="str">
        <f aca="true">IF(A61="","",IF(TODAY()&lt;E61,E61,IF(TODAY()&lt;=E61+7,E61+7,IF(TODAY()&lt;=E61+21,E61+21,IF(TODAY()&lt;=E61+35,E61+35,IF(TODAY()&lt;=E61+49,E61+49,IF(TODAY()&lt;=E61+63,E61+63,E61+70)))))))</f>
        <v/>
      </c>
      <c r="K61" s="11" t="str">
        <f aca="true">IF(A61="","",J61-TODAY())</f>
        <v/>
      </c>
      <c r="L61" s="7" t="str">
        <f aca="false">IF(A61="","",IFERROR(LOOKUP(2,1/('Weekly Check-in'!$B$4:$B$1003=A61),'Weekly Check-in'!$A$4:$A$1003),""))</f>
        <v/>
      </c>
      <c r="M61" s="11" t="str">
        <f aca="true">IF(A61="","",IF(L61="","",TODAY()-L61))</f>
        <v/>
      </c>
      <c r="N61" s="11" t="str">
        <f aca="false">IF(A61="","",COUNTIFS('Weekly Check-in'!$B$4:$B$1003,A61,'Weekly Check-in'!$H$4:$H$1003,"&lt;&gt;"))</f>
        <v/>
      </c>
      <c r="O61" s="11" t="str">
        <f aca="true">IF(A61="","",IF(OR(R61="Completed",R61="Withdrawn",TODAY()&lt;E61),"GREEN",IF(L61="","YELLOW",IF(M61&gt;=Config!$B$7,"RED",IF(OR(M61&gt;=Config!$B$6,AND(K61&lt;=Config!$B$8,N61&gt;0)),"YELLOW",IF(N61&gt;0,"YELLOW","GREEN"))))))</f>
        <v/>
      </c>
      <c r="P61" s="17"/>
      <c r="Q61" s="11" t="str">
        <f aca="false">IF(A61="","",IF(P61&lt;&gt;"",P61,O61))</f>
        <v/>
      </c>
      <c r="R61" s="17"/>
      <c r="S61" s="18"/>
      <c r="T61" s="18"/>
    </row>
    <row r="62" customFormat="false" ht="15" hidden="false" customHeight="true" outlineLevel="0" collapsed="false">
      <c r="A62" s="17"/>
      <c r="B62" s="17"/>
      <c r="C62" s="17"/>
      <c r="D62" s="17"/>
      <c r="E62" s="19"/>
      <c r="F62" s="7" t="str">
        <f aca="false">IF(A62="","",E62+Config!$B$4*7)</f>
        <v/>
      </c>
      <c r="G62" s="11" t="str">
        <f aca="true">IF(A62="","",MAX(0,MIN(Config!$B$4,INT((TODAY()-E62)/7)+1)))</f>
        <v/>
      </c>
      <c r="H62" s="11" t="str">
        <f aca="true">IF(A62="","",IF(TODAY()&lt;E62,"Not Started",IF(TODAY()&gt;F62,"Completed",IF(G62=1,"Onboarding",IF(G62&lt;=3,"Sprint 1",IF(G62&lt;=5,"Sprint 2",IF(G62&lt;=7,"Sprint 3",IF(G62&lt;=9,"Sprint 4","Final"))))))))</f>
        <v/>
      </c>
      <c r="I62" s="11" t="str">
        <f aca="true">IF(A62="","",IF(TODAY()&lt;E62,"Start",IF(TODAY()&lt;=E62+7,"Charter Approved",IF(TODAY()&lt;=E62+21,"Sprint 1 Review",IF(TODAY()&lt;=E62+35,"Sprint 2 Review",IF(TODAY()&lt;=E62+49,"Sprint 3 Review",IF(TODAY()&lt;=E62+63,"Sprint 4 Review","Final Review")))))))</f>
        <v/>
      </c>
      <c r="J62" s="7" t="str">
        <f aca="true">IF(A62="","",IF(TODAY()&lt;E62,E62,IF(TODAY()&lt;=E62+7,E62+7,IF(TODAY()&lt;=E62+21,E62+21,IF(TODAY()&lt;=E62+35,E62+35,IF(TODAY()&lt;=E62+49,E62+49,IF(TODAY()&lt;=E62+63,E62+63,E62+70)))))))</f>
        <v/>
      </c>
      <c r="K62" s="11" t="str">
        <f aca="true">IF(A62="","",J62-TODAY())</f>
        <v/>
      </c>
      <c r="L62" s="7" t="str">
        <f aca="false">IF(A62="","",IFERROR(LOOKUP(2,1/('Weekly Check-in'!$B$4:$B$1003=A62),'Weekly Check-in'!$A$4:$A$1003),""))</f>
        <v/>
      </c>
      <c r="M62" s="11" t="str">
        <f aca="true">IF(A62="","",IF(L62="","",TODAY()-L62))</f>
        <v/>
      </c>
      <c r="N62" s="11" t="str">
        <f aca="false">IF(A62="","",COUNTIFS('Weekly Check-in'!$B$4:$B$1003,A62,'Weekly Check-in'!$H$4:$H$1003,"&lt;&gt;"))</f>
        <v/>
      </c>
      <c r="O62" s="11" t="str">
        <f aca="true">IF(A62="","",IF(OR(R62="Completed",R62="Withdrawn",TODAY()&lt;E62),"GREEN",IF(L62="","YELLOW",IF(M62&gt;=Config!$B$7,"RED",IF(OR(M62&gt;=Config!$B$6,AND(K62&lt;=Config!$B$8,N62&gt;0)),"YELLOW",IF(N62&gt;0,"YELLOW","GREEN"))))))</f>
        <v/>
      </c>
      <c r="P62" s="17"/>
      <c r="Q62" s="11" t="str">
        <f aca="false">IF(A62="","",IF(P62&lt;&gt;"",P62,O62))</f>
        <v/>
      </c>
      <c r="R62" s="17"/>
      <c r="S62" s="18"/>
      <c r="T62" s="18"/>
    </row>
    <row r="63" customFormat="false" ht="15" hidden="false" customHeight="true" outlineLevel="0" collapsed="false">
      <c r="A63" s="17"/>
      <c r="B63" s="17"/>
      <c r="C63" s="17"/>
      <c r="D63" s="17"/>
      <c r="E63" s="19"/>
      <c r="F63" s="7" t="str">
        <f aca="false">IF(A63="","",E63+Config!$B$4*7)</f>
        <v/>
      </c>
      <c r="G63" s="11" t="str">
        <f aca="true">IF(A63="","",MAX(0,MIN(Config!$B$4,INT((TODAY()-E63)/7)+1)))</f>
        <v/>
      </c>
      <c r="H63" s="11" t="str">
        <f aca="true">IF(A63="","",IF(TODAY()&lt;E63,"Not Started",IF(TODAY()&gt;F63,"Completed",IF(G63=1,"Onboarding",IF(G63&lt;=3,"Sprint 1",IF(G63&lt;=5,"Sprint 2",IF(G63&lt;=7,"Sprint 3",IF(G63&lt;=9,"Sprint 4","Final"))))))))</f>
        <v/>
      </c>
      <c r="I63" s="11" t="str">
        <f aca="true">IF(A63="","",IF(TODAY()&lt;E63,"Start",IF(TODAY()&lt;=E63+7,"Charter Approved",IF(TODAY()&lt;=E63+21,"Sprint 1 Review",IF(TODAY()&lt;=E63+35,"Sprint 2 Review",IF(TODAY()&lt;=E63+49,"Sprint 3 Review",IF(TODAY()&lt;=E63+63,"Sprint 4 Review","Final Review")))))))</f>
        <v/>
      </c>
      <c r="J63" s="7" t="str">
        <f aca="true">IF(A63="","",IF(TODAY()&lt;E63,E63,IF(TODAY()&lt;=E63+7,E63+7,IF(TODAY()&lt;=E63+21,E63+21,IF(TODAY()&lt;=E63+35,E63+35,IF(TODAY()&lt;=E63+49,E63+49,IF(TODAY()&lt;=E63+63,E63+63,E63+70)))))))</f>
        <v/>
      </c>
      <c r="K63" s="11" t="str">
        <f aca="true">IF(A63="","",J63-TODAY())</f>
        <v/>
      </c>
      <c r="L63" s="7" t="str">
        <f aca="false">IF(A63="","",IFERROR(LOOKUP(2,1/('Weekly Check-in'!$B$4:$B$1003=A63),'Weekly Check-in'!$A$4:$A$1003),""))</f>
        <v/>
      </c>
      <c r="M63" s="11" t="str">
        <f aca="true">IF(A63="","",IF(L63="","",TODAY()-L63))</f>
        <v/>
      </c>
      <c r="N63" s="11" t="str">
        <f aca="false">IF(A63="","",COUNTIFS('Weekly Check-in'!$B$4:$B$1003,A63,'Weekly Check-in'!$H$4:$H$1003,"&lt;&gt;"))</f>
        <v/>
      </c>
      <c r="O63" s="11" t="str">
        <f aca="true">IF(A63="","",IF(OR(R63="Completed",R63="Withdrawn",TODAY()&lt;E63),"GREEN",IF(L63="","YELLOW",IF(M63&gt;=Config!$B$7,"RED",IF(OR(M63&gt;=Config!$B$6,AND(K63&lt;=Config!$B$8,N63&gt;0)),"YELLOW",IF(N63&gt;0,"YELLOW","GREEN"))))))</f>
        <v/>
      </c>
      <c r="P63" s="17"/>
      <c r="Q63" s="11" t="str">
        <f aca="false">IF(A63="","",IF(P63&lt;&gt;"",P63,O63))</f>
        <v/>
      </c>
      <c r="R63" s="17"/>
      <c r="S63" s="18"/>
      <c r="T63" s="18"/>
    </row>
    <row r="64" customFormat="false" ht="15" hidden="false" customHeight="true" outlineLevel="0" collapsed="false">
      <c r="A64" s="17"/>
      <c r="B64" s="17"/>
      <c r="C64" s="17"/>
      <c r="D64" s="17"/>
      <c r="E64" s="19"/>
      <c r="F64" s="7" t="str">
        <f aca="false">IF(A64="","",E64+Config!$B$4*7)</f>
        <v/>
      </c>
      <c r="G64" s="11" t="str">
        <f aca="true">IF(A64="","",MAX(0,MIN(Config!$B$4,INT((TODAY()-E64)/7)+1)))</f>
        <v/>
      </c>
      <c r="H64" s="11" t="str">
        <f aca="true">IF(A64="","",IF(TODAY()&lt;E64,"Not Started",IF(TODAY()&gt;F64,"Completed",IF(G64=1,"Onboarding",IF(G64&lt;=3,"Sprint 1",IF(G64&lt;=5,"Sprint 2",IF(G64&lt;=7,"Sprint 3",IF(G64&lt;=9,"Sprint 4","Final"))))))))</f>
        <v/>
      </c>
      <c r="I64" s="11" t="str">
        <f aca="true">IF(A64="","",IF(TODAY()&lt;E64,"Start",IF(TODAY()&lt;=E64+7,"Charter Approved",IF(TODAY()&lt;=E64+21,"Sprint 1 Review",IF(TODAY()&lt;=E64+35,"Sprint 2 Review",IF(TODAY()&lt;=E64+49,"Sprint 3 Review",IF(TODAY()&lt;=E64+63,"Sprint 4 Review","Final Review")))))))</f>
        <v/>
      </c>
      <c r="J64" s="7" t="str">
        <f aca="true">IF(A64="","",IF(TODAY()&lt;E64,E64,IF(TODAY()&lt;=E64+7,E64+7,IF(TODAY()&lt;=E64+21,E64+21,IF(TODAY()&lt;=E64+35,E64+35,IF(TODAY()&lt;=E64+49,E64+49,IF(TODAY()&lt;=E64+63,E64+63,E64+70)))))))</f>
        <v/>
      </c>
      <c r="K64" s="11" t="str">
        <f aca="true">IF(A64="","",J64-TODAY())</f>
        <v/>
      </c>
      <c r="L64" s="7" t="str">
        <f aca="false">IF(A64="","",IFERROR(LOOKUP(2,1/('Weekly Check-in'!$B$4:$B$1003=A64),'Weekly Check-in'!$A$4:$A$1003),""))</f>
        <v/>
      </c>
      <c r="M64" s="11" t="str">
        <f aca="true">IF(A64="","",IF(L64="","",TODAY()-L64))</f>
        <v/>
      </c>
      <c r="N64" s="11" t="str">
        <f aca="false">IF(A64="","",COUNTIFS('Weekly Check-in'!$B$4:$B$1003,A64,'Weekly Check-in'!$H$4:$H$1003,"&lt;&gt;"))</f>
        <v/>
      </c>
      <c r="O64" s="11" t="str">
        <f aca="true">IF(A64="","",IF(OR(R64="Completed",R64="Withdrawn",TODAY()&lt;E64),"GREEN",IF(L64="","YELLOW",IF(M64&gt;=Config!$B$7,"RED",IF(OR(M64&gt;=Config!$B$6,AND(K64&lt;=Config!$B$8,N64&gt;0)),"YELLOW",IF(N64&gt;0,"YELLOW","GREEN"))))))</f>
        <v/>
      </c>
      <c r="P64" s="17"/>
      <c r="Q64" s="11" t="str">
        <f aca="false">IF(A64="","",IF(P64&lt;&gt;"",P64,O64))</f>
        <v/>
      </c>
      <c r="R64" s="17"/>
      <c r="S64" s="18"/>
      <c r="T64" s="18"/>
    </row>
    <row r="65" customFormat="false" ht="15" hidden="false" customHeight="true" outlineLevel="0" collapsed="false">
      <c r="A65" s="17"/>
      <c r="B65" s="17"/>
      <c r="C65" s="17"/>
      <c r="D65" s="17"/>
      <c r="E65" s="19"/>
      <c r="F65" s="7" t="str">
        <f aca="false">IF(A65="","",E65+Config!$B$4*7)</f>
        <v/>
      </c>
      <c r="G65" s="11" t="str">
        <f aca="true">IF(A65="","",MAX(0,MIN(Config!$B$4,INT((TODAY()-E65)/7)+1)))</f>
        <v/>
      </c>
      <c r="H65" s="11" t="str">
        <f aca="true">IF(A65="","",IF(TODAY()&lt;E65,"Not Started",IF(TODAY()&gt;F65,"Completed",IF(G65=1,"Onboarding",IF(G65&lt;=3,"Sprint 1",IF(G65&lt;=5,"Sprint 2",IF(G65&lt;=7,"Sprint 3",IF(G65&lt;=9,"Sprint 4","Final"))))))))</f>
        <v/>
      </c>
      <c r="I65" s="11" t="str">
        <f aca="true">IF(A65="","",IF(TODAY()&lt;E65,"Start",IF(TODAY()&lt;=E65+7,"Charter Approved",IF(TODAY()&lt;=E65+21,"Sprint 1 Review",IF(TODAY()&lt;=E65+35,"Sprint 2 Review",IF(TODAY()&lt;=E65+49,"Sprint 3 Review",IF(TODAY()&lt;=E65+63,"Sprint 4 Review","Final Review")))))))</f>
        <v/>
      </c>
      <c r="J65" s="7" t="str">
        <f aca="true">IF(A65="","",IF(TODAY()&lt;E65,E65,IF(TODAY()&lt;=E65+7,E65+7,IF(TODAY()&lt;=E65+21,E65+21,IF(TODAY()&lt;=E65+35,E65+35,IF(TODAY()&lt;=E65+49,E65+49,IF(TODAY()&lt;=E65+63,E65+63,E65+70)))))))</f>
        <v/>
      </c>
      <c r="K65" s="11" t="str">
        <f aca="true">IF(A65="","",J65-TODAY())</f>
        <v/>
      </c>
      <c r="L65" s="7" t="str">
        <f aca="false">IF(A65="","",IFERROR(LOOKUP(2,1/('Weekly Check-in'!$B$4:$B$1003=A65),'Weekly Check-in'!$A$4:$A$1003),""))</f>
        <v/>
      </c>
      <c r="M65" s="11" t="str">
        <f aca="true">IF(A65="","",IF(L65="","",TODAY()-L65))</f>
        <v/>
      </c>
      <c r="N65" s="11" t="str">
        <f aca="false">IF(A65="","",COUNTIFS('Weekly Check-in'!$B$4:$B$1003,A65,'Weekly Check-in'!$H$4:$H$1003,"&lt;&gt;"))</f>
        <v/>
      </c>
      <c r="O65" s="11" t="str">
        <f aca="true">IF(A65="","",IF(OR(R65="Completed",R65="Withdrawn",TODAY()&lt;E65),"GREEN",IF(L65="","YELLOW",IF(M65&gt;=Config!$B$7,"RED",IF(OR(M65&gt;=Config!$B$6,AND(K65&lt;=Config!$B$8,N65&gt;0)),"YELLOW",IF(N65&gt;0,"YELLOW","GREEN"))))))</f>
        <v/>
      </c>
      <c r="P65" s="17"/>
      <c r="Q65" s="11" t="str">
        <f aca="false">IF(A65="","",IF(P65&lt;&gt;"",P65,O65))</f>
        <v/>
      </c>
      <c r="R65" s="17"/>
      <c r="S65" s="18"/>
      <c r="T65" s="18"/>
    </row>
    <row r="66" customFormat="false" ht="15" hidden="false" customHeight="true" outlineLevel="0" collapsed="false">
      <c r="A66" s="17"/>
      <c r="B66" s="17"/>
      <c r="C66" s="17"/>
      <c r="D66" s="17"/>
      <c r="E66" s="19"/>
      <c r="F66" s="7" t="str">
        <f aca="false">IF(A66="","",E66+Config!$B$4*7)</f>
        <v/>
      </c>
      <c r="G66" s="11" t="str">
        <f aca="true">IF(A66="","",MAX(0,MIN(Config!$B$4,INT((TODAY()-E66)/7)+1)))</f>
        <v/>
      </c>
      <c r="H66" s="11" t="str">
        <f aca="true">IF(A66="","",IF(TODAY()&lt;E66,"Not Started",IF(TODAY()&gt;F66,"Completed",IF(G66=1,"Onboarding",IF(G66&lt;=3,"Sprint 1",IF(G66&lt;=5,"Sprint 2",IF(G66&lt;=7,"Sprint 3",IF(G66&lt;=9,"Sprint 4","Final"))))))))</f>
        <v/>
      </c>
      <c r="I66" s="11" t="str">
        <f aca="true">IF(A66="","",IF(TODAY()&lt;E66,"Start",IF(TODAY()&lt;=E66+7,"Charter Approved",IF(TODAY()&lt;=E66+21,"Sprint 1 Review",IF(TODAY()&lt;=E66+35,"Sprint 2 Review",IF(TODAY()&lt;=E66+49,"Sprint 3 Review",IF(TODAY()&lt;=E66+63,"Sprint 4 Review","Final Review")))))))</f>
        <v/>
      </c>
      <c r="J66" s="7" t="str">
        <f aca="true">IF(A66="","",IF(TODAY()&lt;E66,E66,IF(TODAY()&lt;=E66+7,E66+7,IF(TODAY()&lt;=E66+21,E66+21,IF(TODAY()&lt;=E66+35,E66+35,IF(TODAY()&lt;=E66+49,E66+49,IF(TODAY()&lt;=E66+63,E66+63,E66+70)))))))</f>
        <v/>
      </c>
      <c r="K66" s="11" t="str">
        <f aca="true">IF(A66="","",J66-TODAY())</f>
        <v/>
      </c>
      <c r="L66" s="7" t="str">
        <f aca="false">IF(A66="","",IFERROR(LOOKUP(2,1/('Weekly Check-in'!$B$4:$B$1003=A66),'Weekly Check-in'!$A$4:$A$1003),""))</f>
        <v/>
      </c>
      <c r="M66" s="11" t="str">
        <f aca="true">IF(A66="","",IF(L66="","",TODAY()-L66))</f>
        <v/>
      </c>
      <c r="N66" s="11" t="str">
        <f aca="false">IF(A66="","",COUNTIFS('Weekly Check-in'!$B$4:$B$1003,A66,'Weekly Check-in'!$H$4:$H$1003,"&lt;&gt;"))</f>
        <v/>
      </c>
      <c r="O66" s="11" t="str">
        <f aca="true">IF(A66="","",IF(OR(R66="Completed",R66="Withdrawn",TODAY()&lt;E66),"GREEN",IF(L66="","YELLOW",IF(M66&gt;=Config!$B$7,"RED",IF(OR(M66&gt;=Config!$B$6,AND(K66&lt;=Config!$B$8,N66&gt;0)),"YELLOW",IF(N66&gt;0,"YELLOW","GREEN"))))))</f>
        <v/>
      </c>
      <c r="P66" s="17"/>
      <c r="Q66" s="11" t="str">
        <f aca="false">IF(A66="","",IF(P66&lt;&gt;"",P66,O66))</f>
        <v/>
      </c>
      <c r="R66" s="17"/>
      <c r="S66" s="18"/>
      <c r="T66" s="18"/>
    </row>
    <row r="67" customFormat="false" ht="15" hidden="false" customHeight="true" outlineLevel="0" collapsed="false">
      <c r="A67" s="17"/>
      <c r="B67" s="17"/>
      <c r="C67" s="17"/>
      <c r="D67" s="17"/>
      <c r="E67" s="19"/>
      <c r="F67" s="7" t="str">
        <f aca="false">IF(A67="","",E67+Config!$B$4*7)</f>
        <v/>
      </c>
      <c r="G67" s="11" t="str">
        <f aca="true">IF(A67="","",MAX(0,MIN(Config!$B$4,INT((TODAY()-E67)/7)+1)))</f>
        <v/>
      </c>
      <c r="H67" s="11" t="str">
        <f aca="true">IF(A67="","",IF(TODAY()&lt;E67,"Not Started",IF(TODAY()&gt;F67,"Completed",IF(G67=1,"Onboarding",IF(G67&lt;=3,"Sprint 1",IF(G67&lt;=5,"Sprint 2",IF(G67&lt;=7,"Sprint 3",IF(G67&lt;=9,"Sprint 4","Final"))))))))</f>
        <v/>
      </c>
      <c r="I67" s="11" t="str">
        <f aca="true">IF(A67="","",IF(TODAY()&lt;E67,"Start",IF(TODAY()&lt;=E67+7,"Charter Approved",IF(TODAY()&lt;=E67+21,"Sprint 1 Review",IF(TODAY()&lt;=E67+35,"Sprint 2 Review",IF(TODAY()&lt;=E67+49,"Sprint 3 Review",IF(TODAY()&lt;=E67+63,"Sprint 4 Review","Final Review")))))))</f>
        <v/>
      </c>
      <c r="J67" s="7" t="str">
        <f aca="true">IF(A67="","",IF(TODAY()&lt;E67,E67,IF(TODAY()&lt;=E67+7,E67+7,IF(TODAY()&lt;=E67+21,E67+21,IF(TODAY()&lt;=E67+35,E67+35,IF(TODAY()&lt;=E67+49,E67+49,IF(TODAY()&lt;=E67+63,E67+63,E67+70)))))))</f>
        <v/>
      </c>
      <c r="K67" s="11" t="str">
        <f aca="true">IF(A67="","",J67-TODAY())</f>
        <v/>
      </c>
      <c r="L67" s="7" t="str">
        <f aca="false">IF(A67="","",IFERROR(LOOKUP(2,1/('Weekly Check-in'!$B$4:$B$1003=A67),'Weekly Check-in'!$A$4:$A$1003),""))</f>
        <v/>
      </c>
      <c r="M67" s="11" t="str">
        <f aca="true">IF(A67="","",IF(L67="","",TODAY()-L67))</f>
        <v/>
      </c>
      <c r="N67" s="11" t="str">
        <f aca="false">IF(A67="","",COUNTIFS('Weekly Check-in'!$B$4:$B$1003,A67,'Weekly Check-in'!$H$4:$H$1003,"&lt;&gt;"))</f>
        <v/>
      </c>
      <c r="O67" s="11" t="str">
        <f aca="true">IF(A67="","",IF(OR(R67="Completed",R67="Withdrawn",TODAY()&lt;E67),"GREEN",IF(L67="","YELLOW",IF(M67&gt;=Config!$B$7,"RED",IF(OR(M67&gt;=Config!$B$6,AND(K67&lt;=Config!$B$8,N67&gt;0)),"YELLOW",IF(N67&gt;0,"YELLOW","GREEN"))))))</f>
        <v/>
      </c>
      <c r="P67" s="17"/>
      <c r="Q67" s="11" t="str">
        <f aca="false">IF(A67="","",IF(P67&lt;&gt;"",P67,O67))</f>
        <v/>
      </c>
      <c r="R67" s="17"/>
      <c r="S67" s="18"/>
      <c r="T67" s="18"/>
    </row>
    <row r="68" customFormat="false" ht="15" hidden="false" customHeight="true" outlineLevel="0" collapsed="false">
      <c r="A68" s="17"/>
      <c r="B68" s="17"/>
      <c r="C68" s="17"/>
      <c r="D68" s="17"/>
      <c r="E68" s="19"/>
      <c r="F68" s="7" t="str">
        <f aca="false">IF(A68="","",E68+Config!$B$4*7)</f>
        <v/>
      </c>
      <c r="G68" s="11" t="str">
        <f aca="true">IF(A68="","",MAX(0,MIN(Config!$B$4,INT((TODAY()-E68)/7)+1)))</f>
        <v/>
      </c>
      <c r="H68" s="11" t="str">
        <f aca="true">IF(A68="","",IF(TODAY()&lt;E68,"Not Started",IF(TODAY()&gt;F68,"Completed",IF(G68=1,"Onboarding",IF(G68&lt;=3,"Sprint 1",IF(G68&lt;=5,"Sprint 2",IF(G68&lt;=7,"Sprint 3",IF(G68&lt;=9,"Sprint 4","Final"))))))))</f>
        <v/>
      </c>
      <c r="I68" s="11" t="str">
        <f aca="true">IF(A68="","",IF(TODAY()&lt;E68,"Start",IF(TODAY()&lt;=E68+7,"Charter Approved",IF(TODAY()&lt;=E68+21,"Sprint 1 Review",IF(TODAY()&lt;=E68+35,"Sprint 2 Review",IF(TODAY()&lt;=E68+49,"Sprint 3 Review",IF(TODAY()&lt;=E68+63,"Sprint 4 Review","Final Review")))))))</f>
        <v/>
      </c>
      <c r="J68" s="7" t="str">
        <f aca="true">IF(A68="","",IF(TODAY()&lt;E68,E68,IF(TODAY()&lt;=E68+7,E68+7,IF(TODAY()&lt;=E68+21,E68+21,IF(TODAY()&lt;=E68+35,E68+35,IF(TODAY()&lt;=E68+49,E68+49,IF(TODAY()&lt;=E68+63,E68+63,E68+70)))))))</f>
        <v/>
      </c>
      <c r="K68" s="11" t="str">
        <f aca="true">IF(A68="","",J68-TODAY())</f>
        <v/>
      </c>
      <c r="L68" s="7" t="str">
        <f aca="false">IF(A68="","",IFERROR(LOOKUP(2,1/('Weekly Check-in'!$B$4:$B$1003=A68),'Weekly Check-in'!$A$4:$A$1003),""))</f>
        <v/>
      </c>
      <c r="M68" s="11" t="str">
        <f aca="true">IF(A68="","",IF(L68="","",TODAY()-L68))</f>
        <v/>
      </c>
      <c r="N68" s="11" t="str">
        <f aca="false">IF(A68="","",COUNTIFS('Weekly Check-in'!$B$4:$B$1003,A68,'Weekly Check-in'!$H$4:$H$1003,"&lt;&gt;"))</f>
        <v/>
      </c>
      <c r="O68" s="11" t="str">
        <f aca="true">IF(A68="","",IF(OR(R68="Completed",R68="Withdrawn",TODAY()&lt;E68),"GREEN",IF(L68="","YELLOW",IF(M68&gt;=Config!$B$7,"RED",IF(OR(M68&gt;=Config!$B$6,AND(K68&lt;=Config!$B$8,N68&gt;0)),"YELLOW",IF(N68&gt;0,"YELLOW","GREEN"))))))</f>
        <v/>
      </c>
      <c r="P68" s="17"/>
      <c r="Q68" s="11" t="str">
        <f aca="false">IF(A68="","",IF(P68&lt;&gt;"",P68,O68))</f>
        <v/>
      </c>
      <c r="R68" s="17"/>
      <c r="S68" s="18"/>
      <c r="T68" s="18"/>
    </row>
    <row r="69" customFormat="false" ht="15" hidden="false" customHeight="true" outlineLevel="0" collapsed="false">
      <c r="A69" s="17"/>
      <c r="B69" s="17"/>
      <c r="C69" s="17"/>
      <c r="D69" s="17"/>
      <c r="E69" s="19"/>
      <c r="F69" s="7" t="str">
        <f aca="false">IF(A69="","",E69+Config!$B$4*7)</f>
        <v/>
      </c>
      <c r="G69" s="11" t="str">
        <f aca="true">IF(A69="","",MAX(0,MIN(Config!$B$4,INT((TODAY()-E69)/7)+1)))</f>
        <v/>
      </c>
      <c r="H69" s="11" t="str">
        <f aca="true">IF(A69="","",IF(TODAY()&lt;E69,"Not Started",IF(TODAY()&gt;F69,"Completed",IF(G69=1,"Onboarding",IF(G69&lt;=3,"Sprint 1",IF(G69&lt;=5,"Sprint 2",IF(G69&lt;=7,"Sprint 3",IF(G69&lt;=9,"Sprint 4","Final"))))))))</f>
        <v/>
      </c>
      <c r="I69" s="11" t="str">
        <f aca="true">IF(A69="","",IF(TODAY()&lt;E69,"Start",IF(TODAY()&lt;=E69+7,"Charter Approved",IF(TODAY()&lt;=E69+21,"Sprint 1 Review",IF(TODAY()&lt;=E69+35,"Sprint 2 Review",IF(TODAY()&lt;=E69+49,"Sprint 3 Review",IF(TODAY()&lt;=E69+63,"Sprint 4 Review","Final Review")))))))</f>
        <v/>
      </c>
      <c r="J69" s="7" t="str">
        <f aca="true">IF(A69="","",IF(TODAY()&lt;E69,E69,IF(TODAY()&lt;=E69+7,E69+7,IF(TODAY()&lt;=E69+21,E69+21,IF(TODAY()&lt;=E69+35,E69+35,IF(TODAY()&lt;=E69+49,E69+49,IF(TODAY()&lt;=E69+63,E69+63,E69+70)))))))</f>
        <v/>
      </c>
      <c r="K69" s="11" t="str">
        <f aca="true">IF(A69="","",J69-TODAY())</f>
        <v/>
      </c>
      <c r="L69" s="7" t="str">
        <f aca="false">IF(A69="","",IFERROR(LOOKUP(2,1/('Weekly Check-in'!$B$4:$B$1003=A69),'Weekly Check-in'!$A$4:$A$1003),""))</f>
        <v/>
      </c>
      <c r="M69" s="11" t="str">
        <f aca="true">IF(A69="","",IF(L69="","",TODAY()-L69))</f>
        <v/>
      </c>
      <c r="N69" s="11" t="str">
        <f aca="false">IF(A69="","",COUNTIFS('Weekly Check-in'!$B$4:$B$1003,A69,'Weekly Check-in'!$H$4:$H$1003,"&lt;&gt;"))</f>
        <v/>
      </c>
      <c r="O69" s="11" t="str">
        <f aca="true">IF(A69="","",IF(OR(R69="Completed",R69="Withdrawn",TODAY()&lt;E69),"GREEN",IF(L69="","YELLOW",IF(M69&gt;=Config!$B$7,"RED",IF(OR(M69&gt;=Config!$B$6,AND(K69&lt;=Config!$B$8,N69&gt;0)),"YELLOW",IF(N69&gt;0,"YELLOW","GREEN"))))))</f>
        <v/>
      </c>
      <c r="P69" s="17"/>
      <c r="Q69" s="11" t="str">
        <f aca="false">IF(A69="","",IF(P69&lt;&gt;"",P69,O69))</f>
        <v/>
      </c>
      <c r="R69" s="17"/>
      <c r="S69" s="18"/>
      <c r="T69" s="18"/>
    </row>
    <row r="70" customFormat="false" ht="15" hidden="false" customHeight="true" outlineLevel="0" collapsed="false">
      <c r="A70" s="17"/>
      <c r="B70" s="17"/>
      <c r="C70" s="17"/>
      <c r="D70" s="17"/>
      <c r="E70" s="19"/>
      <c r="F70" s="7" t="str">
        <f aca="false">IF(A70="","",E70+Config!$B$4*7)</f>
        <v/>
      </c>
      <c r="G70" s="11" t="str">
        <f aca="true">IF(A70="","",MAX(0,MIN(Config!$B$4,INT((TODAY()-E70)/7)+1)))</f>
        <v/>
      </c>
      <c r="H70" s="11" t="str">
        <f aca="true">IF(A70="","",IF(TODAY()&lt;E70,"Not Started",IF(TODAY()&gt;F70,"Completed",IF(G70=1,"Onboarding",IF(G70&lt;=3,"Sprint 1",IF(G70&lt;=5,"Sprint 2",IF(G70&lt;=7,"Sprint 3",IF(G70&lt;=9,"Sprint 4","Final"))))))))</f>
        <v/>
      </c>
      <c r="I70" s="11" t="str">
        <f aca="true">IF(A70="","",IF(TODAY()&lt;E70,"Start",IF(TODAY()&lt;=E70+7,"Charter Approved",IF(TODAY()&lt;=E70+21,"Sprint 1 Review",IF(TODAY()&lt;=E70+35,"Sprint 2 Review",IF(TODAY()&lt;=E70+49,"Sprint 3 Review",IF(TODAY()&lt;=E70+63,"Sprint 4 Review","Final Review")))))))</f>
        <v/>
      </c>
      <c r="J70" s="7" t="str">
        <f aca="true">IF(A70="","",IF(TODAY()&lt;E70,E70,IF(TODAY()&lt;=E70+7,E70+7,IF(TODAY()&lt;=E70+21,E70+21,IF(TODAY()&lt;=E70+35,E70+35,IF(TODAY()&lt;=E70+49,E70+49,IF(TODAY()&lt;=E70+63,E70+63,E70+70)))))))</f>
        <v/>
      </c>
      <c r="K70" s="11" t="str">
        <f aca="true">IF(A70="","",J70-TODAY())</f>
        <v/>
      </c>
      <c r="L70" s="7" t="str">
        <f aca="false">IF(A70="","",IFERROR(LOOKUP(2,1/('Weekly Check-in'!$B$4:$B$1003=A70),'Weekly Check-in'!$A$4:$A$1003),""))</f>
        <v/>
      </c>
      <c r="M70" s="11" t="str">
        <f aca="true">IF(A70="","",IF(L70="","",TODAY()-L70))</f>
        <v/>
      </c>
      <c r="N70" s="11" t="str">
        <f aca="false">IF(A70="","",COUNTIFS('Weekly Check-in'!$B$4:$B$1003,A70,'Weekly Check-in'!$H$4:$H$1003,"&lt;&gt;"))</f>
        <v/>
      </c>
      <c r="O70" s="11" t="str">
        <f aca="true">IF(A70="","",IF(OR(R70="Completed",R70="Withdrawn",TODAY()&lt;E70),"GREEN",IF(L70="","YELLOW",IF(M70&gt;=Config!$B$7,"RED",IF(OR(M70&gt;=Config!$B$6,AND(K70&lt;=Config!$B$8,N70&gt;0)),"YELLOW",IF(N70&gt;0,"YELLOW","GREEN"))))))</f>
        <v/>
      </c>
      <c r="P70" s="17"/>
      <c r="Q70" s="11" t="str">
        <f aca="false">IF(A70="","",IF(P70&lt;&gt;"",P70,O70))</f>
        <v/>
      </c>
      <c r="R70" s="17"/>
      <c r="S70" s="18"/>
      <c r="T70" s="18"/>
    </row>
    <row r="71" customFormat="false" ht="15" hidden="false" customHeight="true" outlineLevel="0" collapsed="false">
      <c r="A71" s="17"/>
      <c r="B71" s="17"/>
      <c r="C71" s="17"/>
      <c r="D71" s="17"/>
      <c r="E71" s="19"/>
      <c r="F71" s="7" t="str">
        <f aca="false">IF(A71="","",E71+Config!$B$4*7)</f>
        <v/>
      </c>
      <c r="G71" s="11" t="str">
        <f aca="true">IF(A71="","",MAX(0,MIN(Config!$B$4,INT((TODAY()-E71)/7)+1)))</f>
        <v/>
      </c>
      <c r="H71" s="11" t="str">
        <f aca="true">IF(A71="","",IF(TODAY()&lt;E71,"Not Started",IF(TODAY()&gt;F71,"Completed",IF(G71=1,"Onboarding",IF(G71&lt;=3,"Sprint 1",IF(G71&lt;=5,"Sprint 2",IF(G71&lt;=7,"Sprint 3",IF(G71&lt;=9,"Sprint 4","Final"))))))))</f>
        <v/>
      </c>
      <c r="I71" s="11" t="str">
        <f aca="true">IF(A71="","",IF(TODAY()&lt;E71,"Start",IF(TODAY()&lt;=E71+7,"Charter Approved",IF(TODAY()&lt;=E71+21,"Sprint 1 Review",IF(TODAY()&lt;=E71+35,"Sprint 2 Review",IF(TODAY()&lt;=E71+49,"Sprint 3 Review",IF(TODAY()&lt;=E71+63,"Sprint 4 Review","Final Review")))))))</f>
        <v/>
      </c>
      <c r="J71" s="7" t="str">
        <f aca="true">IF(A71="","",IF(TODAY()&lt;E71,E71,IF(TODAY()&lt;=E71+7,E71+7,IF(TODAY()&lt;=E71+21,E71+21,IF(TODAY()&lt;=E71+35,E71+35,IF(TODAY()&lt;=E71+49,E71+49,IF(TODAY()&lt;=E71+63,E71+63,E71+70)))))))</f>
        <v/>
      </c>
      <c r="K71" s="11" t="str">
        <f aca="true">IF(A71="","",J71-TODAY())</f>
        <v/>
      </c>
      <c r="L71" s="7" t="str">
        <f aca="false">IF(A71="","",IFERROR(LOOKUP(2,1/('Weekly Check-in'!$B$4:$B$1003=A71),'Weekly Check-in'!$A$4:$A$1003),""))</f>
        <v/>
      </c>
      <c r="M71" s="11" t="str">
        <f aca="true">IF(A71="","",IF(L71="","",TODAY()-L71))</f>
        <v/>
      </c>
      <c r="N71" s="11" t="str">
        <f aca="false">IF(A71="","",COUNTIFS('Weekly Check-in'!$B$4:$B$1003,A71,'Weekly Check-in'!$H$4:$H$1003,"&lt;&gt;"))</f>
        <v/>
      </c>
      <c r="O71" s="11" t="str">
        <f aca="true">IF(A71="","",IF(OR(R71="Completed",R71="Withdrawn",TODAY()&lt;E71),"GREEN",IF(L71="","YELLOW",IF(M71&gt;=Config!$B$7,"RED",IF(OR(M71&gt;=Config!$B$6,AND(K71&lt;=Config!$B$8,N71&gt;0)),"YELLOW",IF(N71&gt;0,"YELLOW","GREEN"))))))</f>
        <v/>
      </c>
      <c r="P71" s="17"/>
      <c r="Q71" s="11" t="str">
        <f aca="false">IF(A71="","",IF(P71&lt;&gt;"",P71,O71))</f>
        <v/>
      </c>
      <c r="R71" s="17"/>
      <c r="S71" s="18"/>
      <c r="T71" s="18"/>
    </row>
    <row r="72" customFormat="false" ht="15" hidden="false" customHeight="true" outlineLevel="0" collapsed="false">
      <c r="A72" s="17"/>
      <c r="B72" s="17"/>
      <c r="C72" s="17"/>
      <c r="D72" s="17"/>
      <c r="E72" s="19"/>
      <c r="F72" s="7" t="str">
        <f aca="false">IF(A72="","",E72+Config!$B$4*7)</f>
        <v/>
      </c>
      <c r="G72" s="11" t="str">
        <f aca="true">IF(A72="","",MAX(0,MIN(Config!$B$4,INT((TODAY()-E72)/7)+1)))</f>
        <v/>
      </c>
      <c r="H72" s="11" t="str">
        <f aca="true">IF(A72="","",IF(TODAY()&lt;E72,"Not Started",IF(TODAY()&gt;F72,"Completed",IF(G72=1,"Onboarding",IF(G72&lt;=3,"Sprint 1",IF(G72&lt;=5,"Sprint 2",IF(G72&lt;=7,"Sprint 3",IF(G72&lt;=9,"Sprint 4","Final"))))))))</f>
        <v/>
      </c>
      <c r="I72" s="11" t="str">
        <f aca="true">IF(A72="","",IF(TODAY()&lt;E72,"Start",IF(TODAY()&lt;=E72+7,"Charter Approved",IF(TODAY()&lt;=E72+21,"Sprint 1 Review",IF(TODAY()&lt;=E72+35,"Sprint 2 Review",IF(TODAY()&lt;=E72+49,"Sprint 3 Review",IF(TODAY()&lt;=E72+63,"Sprint 4 Review","Final Review")))))))</f>
        <v/>
      </c>
      <c r="J72" s="7" t="str">
        <f aca="true">IF(A72="","",IF(TODAY()&lt;E72,E72,IF(TODAY()&lt;=E72+7,E72+7,IF(TODAY()&lt;=E72+21,E72+21,IF(TODAY()&lt;=E72+35,E72+35,IF(TODAY()&lt;=E72+49,E72+49,IF(TODAY()&lt;=E72+63,E72+63,E72+70)))))))</f>
        <v/>
      </c>
      <c r="K72" s="11" t="str">
        <f aca="true">IF(A72="","",J72-TODAY())</f>
        <v/>
      </c>
      <c r="L72" s="7" t="str">
        <f aca="false">IF(A72="","",IFERROR(LOOKUP(2,1/('Weekly Check-in'!$B$4:$B$1003=A72),'Weekly Check-in'!$A$4:$A$1003),""))</f>
        <v/>
      </c>
      <c r="M72" s="11" t="str">
        <f aca="true">IF(A72="","",IF(L72="","",TODAY()-L72))</f>
        <v/>
      </c>
      <c r="N72" s="11" t="str">
        <f aca="false">IF(A72="","",COUNTIFS('Weekly Check-in'!$B$4:$B$1003,A72,'Weekly Check-in'!$H$4:$H$1003,"&lt;&gt;"))</f>
        <v/>
      </c>
      <c r="O72" s="11" t="str">
        <f aca="true">IF(A72="","",IF(OR(R72="Completed",R72="Withdrawn",TODAY()&lt;E72),"GREEN",IF(L72="","YELLOW",IF(M72&gt;=Config!$B$7,"RED",IF(OR(M72&gt;=Config!$B$6,AND(K72&lt;=Config!$B$8,N72&gt;0)),"YELLOW",IF(N72&gt;0,"YELLOW","GREEN"))))))</f>
        <v/>
      </c>
      <c r="P72" s="17"/>
      <c r="Q72" s="11" t="str">
        <f aca="false">IF(A72="","",IF(P72&lt;&gt;"",P72,O72))</f>
        <v/>
      </c>
      <c r="R72" s="17"/>
      <c r="S72" s="18"/>
      <c r="T72" s="18"/>
    </row>
    <row r="73" customFormat="false" ht="15" hidden="false" customHeight="true" outlineLevel="0" collapsed="false">
      <c r="A73" s="17"/>
      <c r="B73" s="17"/>
      <c r="C73" s="17"/>
      <c r="D73" s="17"/>
      <c r="E73" s="19"/>
      <c r="F73" s="7" t="str">
        <f aca="false">IF(A73="","",E73+Config!$B$4*7)</f>
        <v/>
      </c>
      <c r="G73" s="11" t="str">
        <f aca="true">IF(A73="","",MAX(0,MIN(Config!$B$4,INT((TODAY()-E73)/7)+1)))</f>
        <v/>
      </c>
      <c r="H73" s="11" t="str">
        <f aca="true">IF(A73="","",IF(TODAY()&lt;E73,"Not Started",IF(TODAY()&gt;F73,"Completed",IF(G73=1,"Onboarding",IF(G73&lt;=3,"Sprint 1",IF(G73&lt;=5,"Sprint 2",IF(G73&lt;=7,"Sprint 3",IF(G73&lt;=9,"Sprint 4","Final"))))))))</f>
        <v/>
      </c>
      <c r="I73" s="11" t="str">
        <f aca="true">IF(A73="","",IF(TODAY()&lt;E73,"Start",IF(TODAY()&lt;=E73+7,"Charter Approved",IF(TODAY()&lt;=E73+21,"Sprint 1 Review",IF(TODAY()&lt;=E73+35,"Sprint 2 Review",IF(TODAY()&lt;=E73+49,"Sprint 3 Review",IF(TODAY()&lt;=E73+63,"Sprint 4 Review","Final Review")))))))</f>
        <v/>
      </c>
      <c r="J73" s="7" t="str">
        <f aca="true">IF(A73="","",IF(TODAY()&lt;E73,E73,IF(TODAY()&lt;=E73+7,E73+7,IF(TODAY()&lt;=E73+21,E73+21,IF(TODAY()&lt;=E73+35,E73+35,IF(TODAY()&lt;=E73+49,E73+49,IF(TODAY()&lt;=E73+63,E73+63,E73+70)))))))</f>
        <v/>
      </c>
      <c r="K73" s="11" t="str">
        <f aca="true">IF(A73="","",J73-TODAY())</f>
        <v/>
      </c>
      <c r="L73" s="7" t="str">
        <f aca="false">IF(A73="","",IFERROR(LOOKUP(2,1/('Weekly Check-in'!$B$4:$B$1003=A73),'Weekly Check-in'!$A$4:$A$1003),""))</f>
        <v/>
      </c>
      <c r="M73" s="11" t="str">
        <f aca="true">IF(A73="","",IF(L73="","",TODAY()-L73))</f>
        <v/>
      </c>
      <c r="N73" s="11" t="str">
        <f aca="false">IF(A73="","",COUNTIFS('Weekly Check-in'!$B$4:$B$1003,A73,'Weekly Check-in'!$H$4:$H$1003,"&lt;&gt;"))</f>
        <v/>
      </c>
      <c r="O73" s="11" t="str">
        <f aca="true">IF(A73="","",IF(OR(R73="Completed",R73="Withdrawn",TODAY()&lt;E73),"GREEN",IF(L73="","YELLOW",IF(M73&gt;=Config!$B$7,"RED",IF(OR(M73&gt;=Config!$B$6,AND(K73&lt;=Config!$B$8,N73&gt;0)),"YELLOW",IF(N73&gt;0,"YELLOW","GREEN"))))))</f>
        <v/>
      </c>
      <c r="P73" s="17"/>
      <c r="Q73" s="11" t="str">
        <f aca="false">IF(A73="","",IF(P73&lt;&gt;"",P73,O73))</f>
        <v/>
      </c>
      <c r="R73" s="17"/>
      <c r="S73" s="18"/>
      <c r="T73" s="18"/>
    </row>
    <row r="74" customFormat="false" ht="15" hidden="false" customHeight="true" outlineLevel="0" collapsed="false">
      <c r="A74" s="17"/>
      <c r="B74" s="17"/>
      <c r="C74" s="17"/>
      <c r="D74" s="17"/>
      <c r="E74" s="19"/>
      <c r="F74" s="7" t="str">
        <f aca="false">IF(A74="","",E74+Config!$B$4*7)</f>
        <v/>
      </c>
      <c r="G74" s="11" t="str">
        <f aca="true">IF(A74="","",MAX(0,MIN(Config!$B$4,INT((TODAY()-E74)/7)+1)))</f>
        <v/>
      </c>
      <c r="H74" s="11" t="str">
        <f aca="true">IF(A74="","",IF(TODAY()&lt;E74,"Not Started",IF(TODAY()&gt;F74,"Completed",IF(G74=1,"Onboarding",IF(G74&lt;=3,"Sprint 1",IF(G74&lt;=5,"Sprint 2",IF(G74&lt;=7,"Sprint 3",IF(G74&lt;=9,"Sprint 4","Final"))))))))</f>
        <v/>
      </c>
      <c r="I74" s="11" t="str">
        <f aca="true">IF(A74="","",IF(TODAY()&lt;E74,"Start",IF(TODAY()&lt;=E74+7,"Charter Approved",IF(TODAY()&lt;=E74+21,"Sprint 1 Review",IF(TODAY()&lt;=E74+35,"Sprint 2 Review",IF(TODAY()&lt;=E74+49,"Sprint 3 Review",IF(TODAY()&lt;=E74+63,"Sprint 4 Review","Final Review")))))))</f>
        <v/>
      </c>
      <c r="J74" s="7" t="str">
        <f aca="true">IF(A74="","",IF(TODAY()&lt;E74,E74,IF(TODAY()&lt;=E74+7,E74+7,IF(TODAY()&lt;=E74+21,E74+21,IF(TODAY()&lt;=E74+35,E74+35,IF(TODAY()&lt;=E74+49,E74+49,IF(TODAY()&lt;=E74+63,E74+63,E74+70)))))))</f>
        <v/>
      </c>
      <c r="K74" s="11" t="str">
        <f aca="true">IF(A74="","",J74-TODAY())</f>
        <v/>
      </c>
      <c r="L74" s="7" t="str">
        <f aca="false">IF(A74="","",IFERROR(LOOKUP(2,1/('Weekly Check-in'!$B$4:$B$1003=A74),'Weekly Check-in'!$A$4:$A$1003),""))</f>
        <v/>
      </c>
      <c r="M74" s="11" t="str">
        <f aca="true">IF(A74="","",IF(L74="","",TODAY()-L74))</f>
        <v/>
      </c>
      <c r="N74" s="11" t="str">
        <f aca="false">IF(A74="","",COUNTIFS('Weekly Check-in'!$B$4:$B$1003,A74,'Weekly Check-in'!$H$4:$H$1003,"&lt;&gt;"))</f>
        <v/>
      </c>
      <c r="O74" s="11" t="str">
        <f aca="true">IF(A74="","",IF(OR(R74="Completed",R74="Withdrawn",TODAY()&lt;E74),"GREEN",IF(L74="","YELLOW",IF(M74&gt;=Config!$B$7,"RED",IF(OR(M74&gt;=Config!$B$6,AND(K74&lt;=Config!$B$8,N74&gt;0)),"YELLOW",IF(N74&gt;0,"YELLOW","GREEN"))))))</f>
        <v/>
      </c>
      <c r="P74" s="17"/>
      <c r="Q74" s="11" t="str">
        <f aca="false">IF(A74="","",IF(P74&lt;&gt;"",P74,O74))</f>
        <v/>
      </c>
      <c r="R74" s="17"/>
      <c r="S74" s="18"/>
      <c r="T74" s="18"/>
    </row>
    <row r="75" customFormat="false" ht="15" hidden="false" customHeight="true" outlineLevel="0" collapsed="false">
      <c r="A75" s="17"/>
      <c r="B75" s="17"/>
      <c r="C75" s="17"/>
      <c r="D75" s="17"/>
      <c r="E75" s="19"/>
      <c r="F75" s="7" t="str">
        <f aca="false">IF(A75="","",E75+Config!$B$4*7)</f>
        <v/>
      </c>
      <c r="G75" s="11" t="str">
        <f aca="true">IF(A75="","",MAX(0,MIN(Config!$B$4,INT((TODAY()-E75)/7)+1)))</f>
        <v/>
      </c>
      <c r="H75" s="11" t="str">
        <f aca="true">IF(A75="","",IF(TODAY()&lt;E75,"Not Started",IF(TODAY()&gt;F75,"Completed",IF(G75=1,"Onboarding",IF(G75&lt;=3,"Sprint 1",IF(G75&lt;=5,"Sprint 2",IF(G75&lt;=7,"Sprint 3",IF(G75&lt;=9,"Sprint 4","Final"))))))))</f>
        <v/>
      </c>
      <c r="I75" s="11" t="str">
        <f aca="true">IF(A75="","",IF(TODAY()&lt;E75,"Start",IF(TODAY()&lt;=E75+7,"Charter Approved",IF(TODAY()&lt;=E75+21,"Sprint 1 Review",IF(TODAY()&lt;=E75+35,"Sprint 2 Review",IF(TODAY()&lt;=E75+49,"Sprint 3 Review",IF(TODAY()&lt;=E75+63,"Sprint 4 Review","Final Review")))))))</f>
        <v/>
      </c>
      <c r="J75" s="7" t="str">
        <f aca="true">IF(A75="","",IF(TODAY()&lt;E75,E75,IF(TODAY()&lt;=E75+7,E75+7,IF(TODAY()&lt;=E75+21,E75+21,IF(TODAY()&lt;=E75+35,E75+35,IF(TODAY()&lt;=E75+49,E75+49,IF(TODAY()&lt;=E75+63,E75+63,E75+70)))))))</f>
        <v/>
      </c>
      <c r="K75" s="11" t="str">
        <f aca="true">IF(A75="","",J75-TODAY())</f>
        <v/>
      </c>
      <c r="L75" s="7" t="str">
        <f aca="false">IF(A75="","",IFERROR(LOOKUP(2,1/('Weekly Check-in'!$B$4:$B$1003=A75),'Weekly Check-in'!$A$4:$A$1003),""))</f>
        <v/>
      </c>
      <c r="M75" s="11" t="str">
        <f aca="true">IF(A75="","",IF(L75="","",TODAY()-L75))</f>
        <v/>
      </c>
      <c r="N75" s="11" t="str">
        <f aca="false">IF(A75="","",COUNTIFS('Weekly Check-in'!$B$4:$B$1003,A75,'Weekly Check-in'!$H$4:$H$1003,"&lt;&gt;"))</f>
        <v/>
      </c>
      <c r="O75" s="11" t="str">
        <f aca="true">IF(A75="","",IF(OR(R75="Completed",R75="Withdrawn",TODAY()&lt;E75),"GREEN",IF(L75="","YELLOW",IF(M75&gt;=Config!$B$7,"RED",IF(OR(M75&gt;=Config!$B$6,AND(K75&lt;=Config!$B$8,N75&gt;0)),"YELLOW",IF(N75&gt;0,"YELLOW","GREEN"))))))</f>
        <v/>
      </c>
      <c r="P75" s="17"/>
      <c r="Q75" s="11" t="str">
        <f aca="false">IF(A75="","",IF(P75&lt;&gt;"",P75,O75))</f>
        <v/>
      </c>
      <c r="R75" s="17"/>
      <c r="S75" s="18"/>
      <c r="T75" s="18"/>
    </row>
    <row r="76" customFormat="false" ht="15" hidden="false" customHeight="true" outlineLevel="0" collapsed="false">
      <c r="A76" s="17"/>
      <c r="B76" s="17"/>
      <c r="C76" s="17"/>
      <c r="D76" s="17"/>
      <c r="E76" s="19"/>
      <c r="F76" s="7" t="str">
        <f aca="false">IF(A76="","",E76+Config!$B$4*7)</f>
        <v/>
      </c>
      <c r="G76" s="11" t="str">
        <f aca="true">IF(A76="","",MAX(0,MIN(Config!$B$4,INT((TODAY()-E76)/7)+1)))</f>
        <v/>
      </c>
      <c r="H76" s="11" t="str">
        <f aca="true">IF(A76="","",IF(TODAY()&lt;E76,"Not Started",IF(TODAY()&gt;F76,"Completed",IF(G76=1,"Onboarding",IF(G76&lt;=3,"Sprint 1",IF(G76&lt;=5,"Sprint 2",IF(G76&lt;=7,"Sprint 3",IF(G76&lt;=9,"Sprint 4","Final"))))))))</f>
        <v/>
      </c>
      <c r="I76" s="11" t="str">
        <f aca="true">IF(A76="","",IF(TODAY()&lt;E76,"Start",IF(TODAY()&lt;=E76+7,"Charter Approved",IF(TODAY()&lt;=E76+21,"Sprint 1 Review",IF(TODAY()&lt;=E76+35,"Sprint 2 Review",IF(TODAY()&lt;=E76+49,"Sprint 3 Review",IF(TODAY()&lt;=E76+63,"Sprint 4 Review","Final Review")))))))</f>
        <v/>
      </c>
      <c r="J76" s="7" t="str">
        <f aca="true">IF(A76="","",IF(TODAY()&lt;E76,E76,IF(TODAY()&lt;=E76+7,E76+7,IF(TODAY()&lt;=E76+21,E76+21,IF(TODAY()&lt;=E76+35,E76+35,IF(TODAY()&lt;=E76+49,E76+49,IF(TODAY()&lt;=E76+63,E76+63,E76+70)))))))</f>
        <v/>
      </c>
      <c r="K76" s="11" t="str">
        <f aca="true">IF(A76="","",J76-TODAY())</f>
        <v/>
      </c>
      <c r="L76" s="7" t="str">
        <f aca="false">IF(A76="","",IFERROR(LOOKUP(2,1/('Weekly Check-in'!$B$4:$B$1003=A76),'Weekly Check-in'!$A$4:$A$1003),""))</f>
        <v/>
      </c>
      <c r="M76" s="11" t="str">
        <f aca="true">IF(A76="","",IF(L76="","",TODAY()-L76))</f>
        <v/>
      </c>
      <c r="N76" s="11" t="str">
        <f aca="false">IF(A76="","",COUNTIFS('Weekly Check-in'!$B$4:$B$1003,A76,'Weekly Check-in'!$H$4:$H$1003,"&lt;&gt;"))</f>
        <v/>
      </c>
      <c r="O76" s="11" t="str">
        <f aca="true">IF(A76="","",IF(OR(R76="Completed",R76="Withdrawn",TODAY()&lt;E76),"GREEN",IF(L76="","YELLOW",IF(M76&gt;=Config!$B$7,"RED",IF(OR(M76&gt;=Config!$B$6,AND(K76&lt;=Config!$B$8,N76&gt;0)),"YELLOW",IF(N76&gt;0,"YELLOW","GREEN"))))))</f>
        <v/>
      </c>
      <c r="P76" s="17"/>
      <c r="Q76" s="11" t="str">
        <f aca="false">IF(A76="","",IF(P76&lt;&gt;"",P76,O76))</f>
        <v/>
      </c>
      <c r="R76" s="17"/>
      <c r="S76" s="18"/>
      <c r="T76" s="18"/>
    </row>
    <row r="77" customFormat="false" ht="15" hidden="false" customHeight="true" outlineLevel="0" collapsed="false">
      <c r="A77" s="17"/>
      <c r="B77" s="17"/>
      <c r="C77" s="17"/>
      <c r="D77" s="17"/>
      <c r="E77" s="19"/>
      <c r="F77" s="7" t="str">
        <f aca="false">IF(A77="","",E77+Config!$B$4*7)</f>
        <v/>
      </c>
      <c r="G77" s="11" t="str">
        <f aca="true">IF(A77="","",MAX(0,MIN(Config!$B$4,INT((TODAY()-E77)/7)+1)))</f>
        <v/>
      </c>
      <c r="H77" s="11" t="str">
        <f aca="true">IF(A77="","",IF(TODAY()&lt;E77,"Not Started",IF(TODAY()&gt;F77,"Completed",IF(G77=1,"Onboarding",IF(G77&lt;=3,"Sprint 1",IF(G77&lt;=5,"Sprint 2",IF(G77&lt;=7,"Sprint 3",IF(G77&lt;=9,"Sprint 4","Final"))))))))</f>
        <v/>
      </c>
      <c r="I77" s="11" t="str">
        <f aca="true">IF(A77="","",IF(TODAY()&lt;E77,"Start",IF(TODAY()&lt;=E77+7,"Charter Approved",IF(TODAY()&lt;=E77+21,"Sprint 1 Review",IF(TODAY()&lt;=E77+35,"Sprint 2 Review",IF(TODAY()&lt;=E77+49,"Sprint 3 Review",IF(TODAY()&lt;=E77+63,"Sprint 4 Review","Final Review")))))))</f>
        <v/>
      </c>
      <c r="J77" s="7" t="str">
        <f aca="true">IF(A77="","",IF(TODAY()&lt;E77,E77,IF(TODAY()&lt;=E77+7,E77+7,IF(TODAY()&lt;=E77+21,E77+21,IF(TODAY()&lt;=E77+35,E77+35,IF(TODAY()&lt;=E77+49,E77+49,IF(TODAY()&lt;=E77+63,E77+63,E77+70)))))))</f>
        <v/>
      </c>
      <c r="K77" s="11" t="str">
        <f aca="true">IF(A77="","",J77-TODAY())</f>
        <v/>
      </c>
      <c r="L77" s="7" t="str">
        <f aca="false">IF(A77="","",IFERROR(LOOKUP(2,1/('Weekly Check-in'!$B$4:$B$1003=A77),'Weekly Check-in'!$A$4:$A$1003),""))</f>
        <v/>
      </c>
      <c r="M77" s="11" t="str">
        <f aca="true">IF(A77="","",IF(L77="","",TODAY()-L77))</f>
        <v/>
      </c>
      <c r="N77" s="11" t="str">
        <f aca="false">IF(A77="","",COUNTIFS('Weekly Check-in'!$B$4:$B$1003,A77,'Weekly Check-in'!$H$4:$H$1003,"&lt;&gt;"))</f>
        <v/>
      </c>
      <c r="O77" s="11" t="str">
        <f aca="true">IF(A77="","",IF(OR(R77="Completed",R77="Withdrawn",TODAY()&lt;E77),"GREEN",IF(L77="","YELLOW",IF(M77&gt;=Config!$B$7,"RED",IF(OR(M77&gt;=Config!$B$6,AND(K77&lt;=Config!$B$8,N77&gt;0)),"YELLOW",IF(N77&gt;0,"YELLOW","GREEN"))))))</f>
        <v/>
      </c>
      <c r="P77" s="17"/>
      <c r="Q77" s="11" t="str">
        <f aca="false">IF(A77="","",IF(P77&lt;&gt;"",P77,O77))</f>
        <v/>
      </c>
      <c r="R77" s="17"/>
      <c r="S77" s="18"/>
      <c r="T77" s="18"/>
    </row>
    <row r="78" customFormat="false" ht="15" hidden="false" customHeight="true" outlineLevel="0" collapsed="false">
      <c r="A78" s="17"/>
      <c r="B78" s="17"/>
      <c r="C78" s="17"/>
      <c r="D78" s="17"/>
      <c r="E78" s="19"/>
      <c r="F78" s="7" t="str">
        <f aca="false">IF(A78="","",E78+Config!$B$4*7)</f>
        <v/>
      </c>
      <c r="G78" s="11" t="str">
        <f aca="true">IF(A78="","",MAX(0,MIN(Config!$B$4,INT((TODAY()-E78)/7)+1)))</f>
        <v/>
      </c>
      <c r="H78" s="11" t="str">
        <f aca="true">IF(A78="","",IF(TODAY()&lt;E78,"Not Started",IF(TODAY()&gt;F78,"Completed",IF(G78=1,"Onboarding",IF(G78&lt;=3,"Sprint 1",IF(G78&lt;=5,"Sprint 2",IF(G78&lt;=7,"Sprint 3",IF(G78&lt;=9,"Sprint 4","Final"))))))))</f>
        <v/>
      </c>
      <c r="I78" s="11" t="str">
        <f aca="true">IF(A78="","",IF(TODAY()&lt;E78,"Start",IF(TODAY()&lt;=E78+7,"Charter Approved",IF(TODAY()&lt;=E78+21,"Sprint 1 Review",IF(TODAY()&lt;=E78+35,"Sprint 2 Review",IF(TODAY()&lt;=E78+49,"Sprint 3 Review",IF(TODAY()&lt;=E78+63,"Sprint 4 Review","Final Review")))))))</f>
        <v/>
      </c>
      <c r="J78" s="7" t="str">
        <f aca="true">IF(A78="","",IF(TODAY()&lt;E78,E78,IF(TODAY()&lt;=E78+7,E78+7,IF(TODAY()&lt;=E78+21,E78+21,IF(TODAY()&lt;=E78+35,E78+35,IF(TODAY()&lt;=E78+49,E78+49,IF(TODAY()&lt;=E78+63,E78+63,E78+70)))))))</f>
        <v/>
      </c>
      <c r="K78" s="11" t="str">
        <f aca="true">IF(A78="","",J78-TODAY())</f>
        <v/>
      </c>
      <c r="L78" s="7" t="str">
        <f aca="false">IF(A78="","",IFERROR(LOOKUP(2,1/('Weekly Check-in'!$B$4:$B$1003=A78),'Weekly Check-in'!$A$4:$A$1003),""))</f>
        <v/>
      </c>
      <c r="M78" s="11" t="str">
        <f aca="true">IF(A78="","",IF(L78="","",TODAY()-L78))</f>
        <v/>
      </c>
      <c r="N78" s="11" t="str">
        <f aca="false">IF(A78="","",COUNTIFS('Weekly Check-in'!$B$4:$B$1003,A78,'Weekly Check-in'!$H$4:$H$1003,"&lt;&gt;"))</f>
        <v/>
      </c>
      <c r="O78" s="11" t="str">
        <f aca="true">IF(A78="","",IF(OR(R78="Completed",R78="Withdrawn",TODAY()&lt;E78),"GREEN",IF(L78="","YELLOW",IF(M78&gt;=Config!$B$7,"RED",IF(OR(M78&gt;=Config!$B$6,AND(K78&lt;=Config!$B$8,N78&gt;0)),"YELLOW",IF(N78&gt;0,"YELLOW","GREEN"))))))</f>
        <v/>
      </c>
      <c r="P78" s="17"/>
      <c r="Q78" s="11" t="str">
        <f aca="false">IF(A78="","",IF(P78&lt;&gt;"",P78,O78))</f>
        <v/>
      </c>
      <c r="R78" s="17"/>
      <c r="S78" s="18"/>
      <c r="T78" s="18"/>
    </row>
    <row r="79" customFormat="false" ht="15" hidden="false" customHeight="true" outlineLevel="0" collapsed="false">
      <c r="A79" s="17"/>
      <c r="B79" s="17"/>
      <c r="C79" s="17"/>
      <c r="D79" s="17"/>
      <c r="E79" s="19"/>
      <c r="F79" s="7" t="str">
        <f aca="false">IF(A79="","",E79+Config!$B$4*7)</f>
        <v/>
      </c>
      <c r="G79" s="11" t="str">
        <f aca="true">IF(A79="","",MAX(0,MIN(Config!$B$4,INT((TODAY()-E79)/7)+1)))</f>
        <v/>
      </c>
      <c r="H79" s="11" t="str">
        <f aca="true">IF(A79="","",IF(TODAY()&lt;E79,"Not Started",IF(TODAY()&gt;F79,"Completed",IF(G79=1,"Onboarding",IF(G79&lt;=3,"Sprint 1",IF(G79&lt;=5,"Sprint 2",IF(G79&lt;=7,"Sprint 3",IF(G79&lt;=9,"Sprint 4","Final"))))))))</f>
        <v/>
      </c>
      <c r="I79" s="11" t="str">
        <f aca="true">IF(A79="","",IF(TODAY()&lt;E79,"Start",IF(TODAY()&lt;=E79+7,"Charter Approved",IF(TODAY()&lt;=E79+21,"Sprint 1 Review",IF(TODAY()&lt;=E79+35,"Sprint 2 Review",IF(TODAY()&lt;=E79+49,"Sprint 3 Review",IF(TODAY()&lt;=E79+63,"Sprint 4 Review","Final Review")))))))</f>
        <v/>
      </c>
      <c r="J79" s="7" t="str">
        <f aca="true">IF(A79="","",IF(TODAY()&lt;E79,E79,IF(TODAY()&lt;=E79+7,E79+7,IF(TODAY()&lt;=E79+21,E79+21,IF(TODAY()&lt;=E79+35,E79+35,IF(TODAY()&lt;=E79+49,E79+49,IF(TODAY()&lt;=E79+63,E79+63,E79+70)))))))</f>
        <v/>
      </c>
      <c r="K79" s="11" t="str">
        <f aca="true">IF(A79="","",J79-TODAY())</f>
        <v/>
      </c>
      <c r="L79" s="7" t="str">
        <f aca="false">IF(A79="","",IFERROR(LOOKUP(2,1/('Weekly Check-in'!$B$4:$B$1003=A79),'Weekly Check-in'!$A$4:$A$1003),""))</f>
        <v/>
      </c>
      <c r="M79" s="11" t="str">
        <f aca="true">IF(A79="","",IF(L79="","",TODAY()-L79))</f>
        <v/>
      </c>
      <c r="N79" s="11" t="str">
        <f aca="false">IF(A79="","",COUNTIFS('Weekly Check-in'!$B$4:$B$1003,A79,'Weekly Check-in'!$H$4:$H$1003,"&lt;&gt;"))</f>
        <v/>
      </c>
      <c r="O79" s="11" t="str">
        <f aca="true">IF(A79="","",IF(OR(R79="Completed",R79="Withdrawn",TODAY()&lt;E79),"GREEN",IF(L79="","YELLOW",IF(M79&gt;=Config!$B$7,"RED",IF(OR(M79&gt;=Config!$B$6,AND(K79&lt;=Config!$B$8,N79&gt;0)),"YELLOW",IF(N79&gt;0,"YELLOW","GREEN"))))))</f>
        <v/>
      </c>
      <c r="P79" s="17"/>
      <c r="Q79" s="11" t="str">
        <f aca="false">IF(A79="","",IF(P79&lt;&gt;"",P79,O79))</f>
        <v/>
      </c>
      <c r="R79" s="17"/>
      <c r="S79" s="18"/>
      <c r="T79" s="18"/>
    </row>
    <row r="80" customFormat="false" ht="15" hidden="false" customHeight="true" outlineLevel="0" collapsed="false">
      <c r="A80" s="17"/>
      <c r="B80" s="17"/>
      <c r="C80" s="17"/>
      <c r="D80" s="17"/>
      <c r="E80" s="19"/>
      <c r="F80" s="7" t="str">
        <f aca="false">IF(A80="","",E80+Config!$B$4*7)</f>
        <v/>
      </c>
      <c r="G80" s="11" t="str">
        <f aca="true">IF(A80="","",MAX(0,MIN(Config!$B$4,INT((TODAY()-E80)/7)+1)))</f>
        <v/>
      </c>
      <c r="H80" s="11" t="str">
        <f aca="true">IF(A80="","",IF(TODAY()&lt;E80,"Not Started",IF(TODAY()&gt;F80,"Completed",IF(G80=1,"Onboarding",IF(G80&lt;=3,"Sprint 1",IF(G80&lt;=5,"Sprint 2",IF(G80&lt;=7,"Sprint 3",IF(G80&lt;=9,"Sprint 4","Final"))))))))</f>
        <v/>
      </c>
      <c r="I80" s="11" t="str">
        <f aca="true">IF(A80="","",IF(TODAY()&lt;E80,"Start",IF(TODAY()&lt;=E80+7,"Charter Approved",IF(TODAY()&lt;=E80+21,"Sprint 1 Review",IF(TODAY()&lt;=E80+35,"Sprint 2 Review",IF(TODAY()&lt;=E80+49,"Sprint 3 Review",IF(TODAY()&lt;=E80+63,"Sprint 4 Review","Final Review")))))))</f>
        <v/>
      </c>
      <c r="J80" s="7" t="str">
        <f aca="true">IF(A80="","",IF(TODAY()&lt;E80,E80,IF(TODAY()&lt;=E80+7,E80+7,IF(TODAY()&lt;=E80+21,E80+21,IF(TODAY()&lt;=E80+35,E80+35,IF(TODAY()&lt;=E80+49,E80+49,IF(TODAY()&lt;=E80+63,E80+63,E80+70)))))))</f>
        <v/>
      </c>
      <c r="K80" s="11" t="str">
        <f aca="true">IF(A80="","",J80-TODAY())</f>
        <v/>
      </c>
      <c r="L80" s="7" t="str">
        <f aca="false">IF(A80="","",IFERROR(LOOKUP(2,1/('Weekly Check-in'!$B$4:$B$1003=A80),'Weekly Check-in'!$A$4:$A$1003),""))</f>
        <v/>
      </c>
      <c r="M80" s="11" t="str">
        <f aca="true">IF(A80="","",IF(L80="","",TODAY()-L80))</f>
        <v/>
      </c>
      <c r="N80" s="11" t="str">
        <f aca="false">IF(A80="","",COUNTIFS('Weekly Check-in'!$B$4:$B$1003,A80,'Weekly Check-in'!$H$4:$H$1003,"&lt;&gt;"))</f>
        <v/>
      </c>
      <c r="O80" s="11" t="str">
        <f aca="true">IF(A80="","",IF(OR(R80="Completed",R80="Withdrawn",TODAY()&lt;E80),"GREEN",IF(L80="","YELLOW",IF(M80&gt;=Config!$B$7,"RED",IF(OR(M80&gt;=Config!$B$6,AND(K80&lt;=Config!$B$8,N80&gt;0)),"YELLOW",IF(N80&gt;0,"YELLOW","GREEN"))))))</f>
        <v/>
      </c>
      <c r="P80" s="17"/>
      <c r="Q80" s="11" t="str">
        <f aca="false">IF(A80="","",IF(P80&lt;&gt;"",P80,O80))</f>
        <v/>
      </c>
      <c r="R80" s="17"/>
      <c r="S80" s="18"/>
      <c r="T80" s="18"/>
    </row>
    <row r="81" customFormat="false" ht="15" hidden="false" customHeight="true" outlineLevel="0" collapsed="false">
      <c r="A81" s="17"/>
      <c r="B81" s="17"/>
      <c r="C81" s="17"/>
      <c r="D81" s="17"/>
      <c r="E81" s="19"/>
      <c r="F81" s="7" t="str">
        <f aca="false">IF(A81="","",E81+Config!$B$4*7)</f>
        <v/>
      </c>
      <c r="G81" s="11" t="str">
        <f aca="true">IF(A81="","",MAX(0,MIN(Config!$B$4,INT((TODAY()-E81)/7)+1)))</f>
        <v/>
      </c>
      <c r="H81" s="11" t="str">
        <f aca="true">IF(A81="","",IF(TODAY()&lt;E81,"Not Started",IF(TODAY()&gt;F81,"Completed",IF(G81=1,"Onboarding",IF(G81&lt;=3,"Sprint 1",IF(G81&lt;=5,"Sprint 2",IF(G81&lt;=7,"Sprint 3",IF(G81&lt;=9,"Sprint 4","Final"))))))))</f>
        <v/>
      </c>
      <c r="I81" s="11" t="str">
        <f aca="true">IF(A81="","",IF(TODAY()&lt;E81,"Start",IF(TODAY()&lt;=E81+7,"Charter Approved",IF(TODAY()&lt;=E81+21,"Sprint 1 Review",IF(TODAY()&lt;=E81+35,"Sprint 2 Review",IF(TODAY()&lt;=E81+49,"Sprint 3 Review",IF(TODAY()&lt;=E81+63,"Sprint 4 Review","Final Review")))))))</f>
        <v/>
      </c>
      <c r="J81" s="7" t="str">
        <f aca="true">IF(A81="","",IF(TODAY()&lt;E81,E81,IF(TODAY()&lt;=E81+7,E81+7,IF(TODAY()&lt;=E81+21,E81+21,IF(TODAY()&lt;=E81+35,E81+35,IF(TODAY()&lt;=E81+49,E81+49,IF(TODAY()&lt;=E81+63,E81+63,E81+70)))))))</f>
        <v/>
      </c>
      <c r="K81" s="11" t="str">
        <f aca="true">IF(A81="","",J81-TODAY())</f>
        <v/>
      </c>
      <c r="L81" s="7" t="str">
        <f aca="false">IF(A81="","",IFERROR(LOOKUP(2,1/('Weekly Check-in'!$B$4:$B$1003=A81),'Weekly Check-in'!$A$4:$A$1003),""))</f>
        <v/>
      </c>
      <c r="M81" s="11" t="str">
        <f aca="true">IF(A81="","",IF(L81="","",TODAY()-L81))</f>
        <v/>
      </c>
      <c r="N81" s="11" t="str">
        <f aca="false">IF(A81="","",COUNTIFS('Weekly Check-in'!$B$4:$B$1003,A81,'Weekly Check-in'!$H$4:$H$1003,"&lt;&gt;"))</f>
        <v/>
      </c>
      <c r="O81" s="11" t="str">
        <f aca="true">IF(A81="","",IF(OR(R81="Completed",R81="Withdrawn",TODAY()&lt;E81),"GREEN",IF(L81="","YELLOW",IF(M81&gt;=Config!$B$7,"RED",IF(OR(M81&gt;=Config!$B$6,AND(K81&lt;=Config!$B$8,N81&gt;0)),"YELLOW",IF(N81&gt;0,"YELLOW","GREEN"))))))</f>
        <v/>
      </c>
      <c r="P81" s="17"/>
      <c r="Q81" s="11" t="str">
        <f aca="false">IF(A81="","",IF(P81&lt;&gt;"",P81,O81))</f>
        <v/>
      </c>
      <c r="R81" s="17"/>
      <c r="S81" s="18"/>
      <c r="T81" s="18"/>
    </row>
    <row r="82" customFormat="false" ht="15" hidden="false" customHeight="true" outlineLevel="0" collapsed="false">
      <c r="A82" s="17"/>
      <c r="B82" s="17"/>
      <c r="C82" s="17"/>
      <c r="D82" s="17"/>
      <c r="E82" s="19"/>
      <c r="F82" s="7" t="str">
        <f aca="false">IF(A82="","",E82+Config!$B$4*7)</f>
        <v/>
      </c>
      <c r="G82" s="11" t="str">
        <f aca="true">IF(A82="","",MAX(0,MIN(Config!$B$4,INT((TODAY()-E82)/7)+1)))</f>
        <v/>
      </c>
      <c r="H82" s="11" t="str">
        <f aca="true">IF(A82="","",IF(TODAY()&lt;E82,"Not Started",IF(TODAY()&gt;F82,"Completed",IF(G82=1,"Onboarding",IF(G82&lt;=3,"Sprint 1",IF(G82&lt;=5,"Sprint 2",IF(G82&lt;=7,"Sprint 3",IF(G82&lt;=9,"Sprint 4","Final"))))))))</f>
        <v/>
      </c>
      <c r="I82" s="11" t="str">
        <f aca="true">IF(A82="","",IF(TODAY()&lt;E82,"Start",IF(TODAY()&lt;=E82+7,"Charter Approved",IF(TODAY()&lt;=E82+21,"Sprint 1 Review",IF(TODAY()&lt;=E82+35,"Sprint 2 Review",IF(TODAY()&lt;=E82+49,"Sprint 3 Review",IF(TODAY()&lt;=E82+63,"Sprint 4 Review","Final Review")))))))</f>
        <v/>
      </c>
      <c r="J82" s="7" t="str">
        <f aca="true">IF(A82="","",IF(TODAY()&lt;E82,E82,IF(TODAY()&lt;=E82+7,E82+7,IF(TODAY()&lt;=E82+21,E82+21,IF(TODAY()&lt;=E82+35,E82+35,IF(TODAY()&lt;=E82+49,E82+49,IF(TODAY()&lt;=E82+63,E82+63,E82+70)))))))</f>
        <v/>
      </c>
      <c r="K82" s="11" t="str">
        <f aca="true">IF(A82="","",J82-TODAY())</f>
        <v/>
      </c>
      <c r="L82" s="7" t="str">
        <f aca="false">IF(A82="","",IFERROR(LOOKUP(2,1/('Weekly Check-in'!$B$4:$B$1003=A82),'Weekly Check-in'!$A$4:$A$1003),""))</f>
        <v/>
      </c>
      <c r="M82" s="11" t="str">
        <f aca="true">IF(A82="","",IF(L82="","",TODAY()-L82))</f>
        <v/>
      </c>
      <c r="N82" s="11" t="str">
        <f aca="false">IF(A82="","",COUNTIFS('Weekly Check-in'!$B$4:$B$1003,A82,'Weekly Check-in'!$H$4:$H$1003,"&lt;&gt;"))</f>
        <v/>
      </c>
      <c r="O82" s="11" t="str">
        <f aca="true">IF(A82="","",IF(OR(R82="Completed",R82="Withdrawn",TODAY()&lt;E82),"GREEN",IF(L82="","YELLOW",IF(M82&gt;=Config!$B$7,"RED",IF(OR(M82&gt;=Config!$B$6,AND(K82&lt;=Config!$B$8,N82&gt;0)),"YELLOW",IF(N82&gt;0,"YELLOW","GREEN"))))))</f>
        <v/>
      </c>
      <c r="P82" s="17"/>
      <c r="Q82" s="11" t="str">
        <f aca="false">IF(A82="","",IF(P82&lt;&gt;"",P82,O82))</f>
        <v/>
      </c>
      <c r="R82" s="17"/>
      <c r="S82" s="18"/>
      <c r="T82" s="18"/>
    </row>
    <row r="83" customFormat="false" ht="15" hidden="false" customHeight="true" outlineLevel="0" collapsed="false">
      <c r="A83" s="17"/>
      <c r="B83" s="17"/>
      <c r="C83" s="17"/>
      <c r="D83" s="17"/>
      <c r="E83" s="19"/>
      <c r="F83" s="7" t="str">
        <f aca="false">IF(A83="","",E83+Config!$B$4*7)</f>
        <v/>
      </c>
      <c r="G83" s="11" t="str">
        <f aca="true">IF(A83="","",MAX(0,MIN(Config!$B$4,INT((TODAY()-E83)/7)+1)))</f>
        <v/>
      </c>
      <c r="H83" s="11" t="str">
        <f aca="true">IF(A83="","",IF(TODAY()&lt;E83,"Not Started",IF(TODAY()&gt;F83,"Completed",IF(G83=1,"Onboarding",IF(G83&lt;=3,"Sprint 1",IF(G83&lt;=5,"Sprint 2",IF(G83&lt;=7,"Sprint 3",IF(G83&lt;=9,"Sprint 4","Final"))))))))</f>
        <v/>
      </c>
      <c r="I83" s="11" t="str">
        <f aca="true">IF(A83="","",IF(TODAY()&lt;E83,"Start",IF(TODAY()&lt;=E83+7,"Charter Approved",IF(TODAY()&lt;=E83+21,"Sprint 1 Review",IF(TODAY()&lt;=E83+35,"Sprint 2 Review",IF(TODAY()&lt;=E83+49,"Sprint 3 Review",IF(TODAY()&lt;=E83+63,"Sprint 4 Review","Final Review")))))))</f>
        <v/>
      </c>
      <c r="J83" s="7" t="str">
        <f aca="true">IF(A83="","",IF(TODAY()&lt;E83,E83,IF(TODAY()&lt;=E83+7,E83+7,IF(TODAY()&lt;=E83+21,E83+21,IF(TODAY()&lt;=E83+35,E83+35,IF(TODAY()&lt;=E83+49,E83+49,IF(TODAY()&lt;=E83+63,E83+63,E83+70)))))))</f>
        <v/>
      </c>
      <c r="K83" s="11" t="str">
        <f aca="true">IF(A83="","",J83-TODAY())</f>
        <v/>
      </c>
      <c r="L83" s="7" t="str">
        <f aca="false">IF(A83="","",IFERROR(LOOKUP(2,1/('Weekly Check-in'!$B$4:$B$1003=A83),'Weekly Check-in'!$A$4:$A$1003),""))</f>
        <v/>
      </c>
      <c r="M83" s="11" t="str">
        <f aca="true">IF(A83="","",IF(L83="","",TODAY()-L83))</f>
        <v/>
      </c>
      <c r="N83" s="11" t="str">
        <f aca="false">IF(A83="","",COUNTIFS('Weekly Check-in'!$B$4:$B$1003,A83,'Weekly Check-in'!$H$4:$H$1003,"&lt;&gt;"))</f>
        <v/>
      </c>
      <c r="O83" s="11" t="str">
        <f aca="true">IF(A83="","",IF(OR(R83="Completed",R83="Withdrawn",TODAY()&lt;E83),"GREEN",IF(L83="","YELLOW",IF(M83&gt;=Config!$B$7,"RED",IF(OR(M83&gt;=Config!$B$6,AND(K83&lt;=Config!$B$8,N83&gt;0)),"YELLOW",IF(N83&gt;0,"YELLOW","GREEN"))))))</f>
        <v/>
      </c>
      <c r="P83" s="17"/>
      <c r="Q83" s="11" t="str">
        <f aca="false">IF(A83="","",IF(P83&lt;&gt;"",P83,O83))</f>
        <v/>
      </c>
      <c r="R83" s="17"/>
      <c r="S83" s="18"/>
      <c r="T83" s="18"/>
    </row>
    <row r="84" customFormat="false" ht="15" hidden="false" customHeight="true" outlineLevel="0" collapsed="false">
      <c r="A84" s="17"/>
      <c r="B84" s="17"/>
      <c r="C84" s="17"/>
      <c r="D84" s="17"/>
      <c r="E84" s="19"/>
      <c r="F84" s="7" t="str">
        <f aca="false">IF(A84="","",E84+Config!$B$4*7)</f>
        <v/>
      </c>
      <c r="G84" s="11" t="str">
        <f aca="true">IF(A84="","",MAX(0,MIN(Config!$B$4,INT((TODAY()-E84)/7)+1)))</f>
        <v/>
      </c>
      <c r="H84" s="11" t="str">
        <f aca="true">IF(A84="","",IF(TODAY()&lt;E84,"Not Started",IF(TODAY()&gt;F84,"Completed",IF(G84=1,"Onboarding",IF(G84&lt;=3,"Sprint 1",IF(G84&lt;=5,"Sprint 2",IF(G84&lt;=7,"Sprint 3",IF(G84&lt;=9,"Sprint 4","Final"))))))))</f>
        <v/>
      </c>
      <c r="I84" s="11" t="str">
        <f aca="true">IF(A84="","",IF(TODAY()&lt;E84,"Start",IF(TODAY()&lt;=E84+7,"Charter Approved",IF(TODAY()&lt;=E84+21,"Sprint 1 Review",IF(TODAY()&lt;=E84+35,"Sprint 2 Review",IF(TODAY()&lt;=E84+49,"Sprint 3 Review",IF(TODAY()&lt;=E84+63,"Sprint 4 Review","Final Review")))))))</f>
        <v/>
      </c>
      <c r="J84" s="7" t="str">
        <f aca="true">IF(A84="","",IF(TODAY()&lt;E84,E84,IF(TODAY()&lt;=E84+7,E84+7,IF(TODAY()&lt;=E84+21,E84+21,IF(TODAY()&lt;=E84+35,E84+35,IF(TODAY()&lt;=E84+49,E84+49,IF(TODAY()&lt;=E84+63,E84+63,E84+70)))))))</f>
        <v/>
      </c>
      <c r="K84" s="11" t="str">
        <f aca="true">IF(A84="","",J84-TODAY())</f>
        <v/>
      </c>
      <c r="L84" s="7" t="str">
        <f aca="false">IF(A84="","",IFERROR(LOOKUP(2,1/('Weekly Check-in'!$B$4:$B$1003=A84),'Weekly Check-in'!$A$4:$A$1003),""))</f>
        <v/>
      </c>
      <c r="M84" s="11" t="str">
        <f aca="true">IF(A84="","",IF(L84="","",TODAY()-L84))</f>
        <v/>
      </c>
      <c r="N84" s="11" t="str">
        <f aca="false">IF(A84="","",COUNTIFS('Weekly Check-in'!$B$4:$B$1003,A84,'Weekly Check-in'!$H$4:$H$1003,"&lt;&gt;"))</f>
        <v/>
      </c>
      <c r="O84" s="11" t="str">
        <f aca="true">IF(A84="","",IF(OR(R84="Completed",R84="Withdrawn",TODAY()&lt;E84),"GREEN",IF(L84="","YELLOW",IF(M84&gt;=Config!$B$7,"RED",IF(OR(M84&gt;=Config!$B$6,AND(K84&lt;=Config!$B$8,N84&gt;0)),"YELLOW",IF(N84&gt;0,"YELLOW","GREEN"))))))</f>
        <v/>
      </c>
      <c r="P84" s="17"/>
      <c r="Q84" s="11" t="str">
        <f aca="false">IF(A84="","",IF(P84&lt;&gt;"",P84,O84))</f>
        <v/>
      </c>
      <c r="R84" s="17"/>
      <c r="S84" s="18"/>
      <c r="T84" s="18"/>
    </row>
    <row r="85" customFormat="false" ht="15" hidden="false" customHeight="true" outlineLevel="0" collapsed="false">
      <c r="A85" s="17"/>
      <c r="B85" s="17"/>
      <c r="C85" s="17"/>
      <c r="D85" s="17"/>
      <c r="E85" s="19"/>
      <c r="F85" s="7" t="str">
        <f aca="false">IF(A85="","",E85+Config!$B$4*7)</f>
        <v/>
      </c>
      <c r="G85" s="11" t="str">
        <f aca="true">IF(A85="","",MAX(0,MIN(Config!$B$4,INT((TODAY()-E85)/7)+1)))</f>
        <v/>
      </c>
      <c r="H85" s="11" t="str">
        <f aca="true">IF(A85="","",IF(TODAY()&lt;E85,"Not Started",IF(TODAY()&gt;F85,"Completed",IF(G85=1,"Onboarding",IF(G85&lt;=3,"Sprint 1",IF(G85&lt;=5,"Sprint 2",IF(G85&lt;=7,"Sprint 3",IF(G85&lt;=9,"Sprint 4","Final"))))))))</f>
        <v/>
      </c>
      <c r="I85" s="11" t="str">
        <f aca="true">IF(A85="","",IF(TODAY()&lt;E85,"Start",IF(TODAY()&lt;=E85+7,"Charter Approved",IF(TODAY()&lt;=E85+21,"Sprint 1 Review",IF(TODAY()&lt;=E85+35,"Sprint 2 Review",IF(TODAY()&lt;=E85+49,"Sprint 3 Review",IF(TODAY()&lt;=E85+63,"Sprint 4 Review","Final Review")))))))</f>
        <v/>
      </c>
      <c r="J85" s="7" t="str">
        <f aca="true">IF(A85="","",IF(TODAY()&lt;E85,E85,IF(TODAY()&lt;=E85+7,E85+7,IF(TODAY()&lt;=E85+21,E85+21,IF(TODAY()&lt;=E85+35,E85+35,IF(TODAY()&lt;=E85+49,E85+49,IF(TODAY()&lt;=E85+63,E85+63,E85+70)))))))</f>
        <v/>
      </c>
      <c r="K85" s="11" t="str">
        <f aca="true">IF(A85="","",J85-TODAY())</f>
        <v/>
      </c>
      <c r="L85" s="7" t="str">
        <f aca="false">IF(A85="","",IFERROR(LOOKUP(2,1/('Weekly Check-in'!$B$4:$B$1003=A85),'Weekly Check-in'!$A$4:$A$1003),""))</f>
        <v/>
      </c>
      <c r="M85" s="11" t="str">
        <f aca="true">IF(A85="","",IF(L85="","",TODAY()-L85))</f>
        <v/>
      </c>
      <c r="N85" s="11" t="str">
        <f aca="false">IF(A85="","",COUNTIFS('Weekly Check-in'!$B$4:$B$1003,A85,'Weekly Check-in'!$H$4:$H$1003,"&lt;&gt;"))</f>
        <v/>
      </c>
      <c r="O85" s="11" t="str">
        <f aca="true">IF(A85="","",IF(OR(R85="Completed",R85="Withdrawn",TODAY()&lt;E85),"GREEN",IF(L85="","YELLOW",IF(M85&gt;=Config!$B$7,"RED",IF(OR(M85&gt;=Config!$B$6,AND(K85&lt;=Config!$B$8,N85&gt;0)),"YELLOW",IF(N85&gt;0,"YELLOW","GREEN"))))))</f>
        <v/>
      </c>
      <c r="P85" s="17"/>
      <c r="Q85" s="11" t="str">
        <f aca="false">IF(A85="","",IF(P85&lt;&gt;"",P85,O85))</f>
        <v/>
      </c>
      <c r="R85" s="17"/>
      <c r="S85" s="18"/>
      <c r="T85" s="18"/>
    </row>
    <row r="86" customFormat="false" ht="15" hidden="false" customHeight="true" outlineLevel="0" collapsed="false">
      <c r="A86" s="17"/>
      <c r="B86" s="17"/>
      <c r="C86" s="17"/>
      <c r="D86" s="17"/>
      <c r="E86" s="19"/>
      <c r="F86" s="7" t="str">
        <f aca="false">IF(A86="","",E86+Config!$B$4*7)</f>
        <v/>
      </c>
      <c r="G86" s="11" t="str">
        <f aca="true">IF(A86="","",MAX(0,MIN(Config!$B$4,INT((TODAY()-E86)/7)+1)))</f>
        <v/>
      </c>
      <c r="H86" s="11" t="str">
        <f aca="true">IF(A86="","",IF(TODAY()&lt;E86,"Not Started",IF(TODAY()&gt;F86,"Completed",IF(G86=1,"Onboarding",IF(G86&lt;=3,"Sprint 1",IF(G86&lt;=5,"Sprint 2",IF(G86&lt;=7,"Sprint 3",IF(G86&lt;=9,"Sprint 4","Final"))))))))</f>
        <v/>
      </c>
      <c r="I86" s="11" t="str">
        <f aca="true">IF(A86="","",IF(TODAY()&lt;E86,"Start",IF(TODAY()&lt;=E86+7,"Charter Approved",IF(TODAY()&lt;=E86+21,"Sprint 1 Review",IF(TODAY()&lt;=E86+35,"Sprint 2 Review",IF(TODAY()&lt;=E86+49,"Sprint 3 Review",IF(TODAY()&lt;=E86+63,"Sprint 4 Review","Final Review")))))))</f>
        <v/>
      </c>
      <c r="J86" s="7" t="str">
        <f aca="true">IF(A86="","",IF(TODAY()&lt;E86,E86,IF(TODAY()&lt;=E86+7,E86+7,IF(TODAY()&lt;=E86+21,E86+21,IF(TODAY()&lt;=E86+35,E86+35,IF(TODAY()&lt;=E86+49,E86+49,IF(TODAY()&lt;=E86+63,E86+63,E86+70)))))))</f>
        <v/>
      </c>
      <c r="K86" s="11" t="str">
        <f aca="true">IF(A86="","",J86-TODAY())</f>
        <v/>
      </c>
      <c r="L86" s="7" t="str">
        <f aca="false">IF(A86="","",IFERROR(LOOKUP(2,1/('Weekly Check-in'!$B$4:$B$1003=A86),'Weekly Check-in'!$A$4:$A$1003),""))</f>
        <v/>
      </c>
      <c r="M86" s="11" t="str">
        <f aca="true">IF(A86="","",IF(L86="","",TODAY()-L86))</f>
        <v/>
      </c>
      <c r="N86" s="11" t="str">
        <f aca="false">IF(A86="","",COUNTIFS('Weekly Check-in'!$B$4:$B$1003,A86,'Weekly Check-in'!$H$4:$H$1003,"&lt;&gt;"))</f>
        <v/>
      </c>
      <c r="O86" s="11" t="str">
        <f aca="true">IF(A86="","",IF(OR(R86="Completed",R86="Withdrawn",TODAY()&lt;E86),"GREEN",IF(L86="","YELLOW",IF(M86&gt;=Config!$B$7,"RED",IF(OR(M86&gt;=Config!$B$6,AND(K86&lt;=Config!$B$8,N86&gt;0)),"YELLOW",IF(N86&gt;0,"YELLOW","GREEN"))))))</f>
        <v/>
      </c>
      <c r="P86" s="17"/>
      <c r="Q86" s="11" t="str">
        <f aca="false">IF(A86="","",IF(P86&lt;&gt;"",P86,O86))</f>
        <v/>
      </c>
      <c r="R86" s="17"/>
      <c r="S86" s="18"/>
      <c r="T86" s="18"/>
    </row>
    <row r="87" customFormat="false" ht="15" hidden="false" customHeight="true" outlineLevel="0" collapsed="false">
      <c r="A87" s="17"/>
      <c r="B87" s="17"/>
      <c r="C87" s="17"/>
      <c r="D87" s="17"/>
      <c r="E87" s="19"/>
      <c r="F87" s="7" t="str">
        <f aca="false">IF(A87="","",E87+Config!$B$4*7)</f>
        <v/>
      </c>
      <c r="G87" s="11" t="str">
        <f aca="true">IF(A87="","",MAX(0,MIN(Config!$B$4,INT((TODAY()-E87)/7)+1)))</f>
        <v/>
      </c>
      <c r="H87" s="11" t="str">
        <f aca="true">IF(A87="","",IF(TODAY()&lt;E87,"Not Started",IF(TODAY()&gt;F87,"Completed",IF(G87=1,"Onboarding",IF(G87&lt;=3,"Sprint 1",IF(G87&lt;=5,"Sprint 2",IF(G87&lt;=7,"Sprint 3",IF(G87&lt;=9,"Sprint 4","Final"))))))))</f>
        <v/>
      </c>
      <c r="I87" s="11" t="str">
        <f aca="true">IF(A87="","",IF(TODAY()&lt;E87,"Start",IF(TODAY()&lt;=E87+7,"Charter Approved",IF(TODAY()&lt;=E87+21,"Sprint 1 Review",IF(TODAY()&lt;=E87+35,"Sprint 2 Review",IF(TODAY()&lt;=E87+49,"Sprint 3 Review",IF(TODAY()&lt;=E87+63,"Sprint 4 Review","Final Review")))))))</f>
        <v/>
      </c>
      <c r="J87" s="7" t="str">
        <f aca="true">IF(A87="","",IF(TODAY()&lt;E87,E87,IF(TODAY()&lt;=E87+7,E87+7,IF(TODAY()&lt;=E87+21,E87+21,IF(TODAY()&lt;=E87+35,E87+35,IF(TODAY()&lt;=E87+49,E87+49,IF(TODAY()&lt;=E87+63,E87+63,E87+70)))))))</f>
        <v/>
      </c>
      <c r="K87" s="11" t="str">
        <f aca="true">IF(A87="","",J87-TODAY())</f>
        <v/>
      </c>
      <c r="L87" s="7" t="str">
        <f aca="false">IF(A87="","",IFERROR(LOOKUP(2,1/('Weekly Check-in'!$B$4:$B$1003=A87),'Weekly Check-in'!$A$4:$A$1003),""))</f>
        <v/>
      </c>
      <c r="M87" s="11" t="str">
        <f aca="true">IF(A87="","",IF(L87="","",TODAY()-L87))</f>
        <v/>
      </c>
      <c r="N87" s="11" t="str">
        <f aca="false">IF(A87="","",COUNTIFS('Weekly Check-in'!$B$4:$B$1003,A87,'Weekly Check-in'!$H$4:$H$1003,"&lt;&gt;"))</f>
        <v/>
      </c>
      <c r="O87" s="11" t="str">
        <f aca="true">IF(A87="","",IF(OR(R87="Completed",R87="Withdrawn",TODAY()&lt;E87),"GREEN",IF(L87="","YELLOW",IF(M87&gt;=Config!$B$7,"RED",IF(OR(M87&gt;=Config!$B$6,AND(K87&lt;=Config!$B$8,N87&gt;0)),"YELLOW",IF(N87&gt;0,"YELLOW","GREEN"))))))</f>
        <v/>
      </c>
      <c r="P87" s="17"/>
      <c r="Q87" s="11" t="str">
        <f aca="false">IF(A87="","",IF(P87&lt;&gt;"",P87,O87))</f>
        <v/>
      </c>
      <c r="R87" s="17"/>
      <c r="S87" s="18"/>
      <c r="T87" s="18"/>
    </row>
    <row r="88" customFormat="false" ht="15" hidden="false" customHeight="true" outlineLevel="0" collapsed="false">
      <c r="A88" s="17"/>
      <c r="B88" s="17"/>
      <c r="C88" s="17"/>
      <c r="D88" s="17"/>
      <c r="E88" s="19"/>
      <c r="F88" s="7" t="str">
        <f aca="false">IF(A88="","",E88+Config!$B$4*7)</f>
        <v/>
      </c>
      <c r="G88" s="11" t="str">
        <f aca="true">IF(A88="","",MAX(0,MIN(Config!$B$4,INT((TODAY()-E88)/7)+1)))</f>
        <v/>
      </c>
      <c r="H88" s="11" t="str">
        <f aca="true">IF(A88="","",IF(TODAY()&lt;E88,"Not Started",IF(TODAY()&gt;F88,"Completed",IF(G88=1,"Onboarding",IF(G88&lt;=3,"Sprint 1",IF(G88&lt;=5,"Sprint 2",IF(G88&lt;=7,"Sprint 3",IF(G88&lt;=9,"Sprint 4","Final"))))))))</f>
        <v/>
      </c>
      <c r="I88" s="11" t="str">
        <f aca="true">IF(A88="","",IF(TODAY()&lt;E88,"Start",IF(TODAY()&lt;=E88+7,"Charter Approved",IF(TODAY()&lt;=E88+21,"Sprint 1 Review",IF(TODAY()&lt;=E88+35,"Sprint 2 Review",IF(TODAY()&lt;=E88+49,"Sprint 3 Review",IF(TODAY()&lt;=E88+63,"Sprint 4 Review","Final Review")))))))</f>
        <v/>
      </c>
      <c r="J88" s="7" t="str">
        <f aca="true">IF(A88="","",IF(TODAY()&lt;E88,E88,IF(TODAY()&lt;=E88+7,E88+7,IF(TODAY()&lt;=E88+21,E88+21,IF(TODAY()&lt;=E88+35,E88+35,IF(TODAY()&lt;=E88+49,E88+49,IF(TODAY()&lt;=E88+63,E88+63,E88+70)))))))</f>
        <v/>
      </c>
      <c r="K88" s="11" t="str">
        <f aca="true">IF(A88="","",J88-TODAY())</f>
        <v/>
      </c>
      <c r="L88" s="7" t="str">
        <f aca="false">IF(A88="","",IFERROR(LOOKUP(2,1/('Weekly Check-in'!$B$4:$B$1003=A88),'Weekly Check-in'!$A$4:$A$1003),""))</f>
        <v/>
      </c>
      <c r="M88" s="11" t="str">
        <f aca="true">IF(A88="","",IF(L88="","",TODAY()-L88))</f>
        <v/>
      </c>
      <c r="N88" s="11" t="str">
        <f aca="false">IF(A88="","",COUNTIFS('Weekly Check-in'!$B$4:$B$1003,A88,'Weekly Check-in'!$H$4:$H$1003,"&lt;&gt;"))</f>
        <v/>
      </c>
      <c r="O88" s="11" t="str">
        <f aca="true">IF(A88="","",IF(OR(R88="Completed",R88="Withdrawn",TODAY()&lt;E88),"GREEN",IF(L88="","YELLOW",IF(M88&gt;=Config!$B$7,"RED",IF(OR(M88&gt;=Config!$B$6,AND(K88&lt;=Config!$B$8,N88&gt;0)),"YELLOW",IF(N88&gt;0,"YELLOW","GREEN"))))))</f>
        <v/>
      </c>
      <c r="P88" s="17"/>
      <c r="Q88" s="11" t="str">
        <f aca="false">IF(A88="","",IF(P88&lt;&gt;"",P88,O88))</f>
        <v/>
      </c>
      <c r="R88" s="17"/>
      <c r="S88" s="18"/>
      <c r="T88" s="18"/>
    </row>
    <row r="89" customFormat="false" ht="15" hidden="false" customHeight="true" outlineLevel="0" collapsed="false">
      <c r="A89" s="17"/>
      <c r="B89" s="17"/>
      <c r="C89" s="17"/>
      <c r="D89" s="17"/>
      <c r="E89" s="19"/>
      <c r="F89" s="7" t="str">
        <f aca="false">IF(A89="","",E89+Config!$B$4*7)</f>
        <v/>
      </c>
      <c r="G89" s="11" t="str">
        <f aca="true">IF(A89="","",MAX(0,MIN(Config!$B$4,INT((TODAY()-E89)/7)+1)))</f>
        <v/>
      </c>
      <c r="H89" s="11" t="str">
        <f aca="true">IF(A89="","",IF(TODAY()&lt;E89,"Not Started",IF(TODAY()&gt;F89,"Completed",IF(G89=1,"Onboarding",IF(G89&lt;=3,"Sprint 1",IF(G89&lt;=5,"Sprint 2",IF(G89&lt;=7,"Sprint 3",IF(G89&lt;=9,"Sprint 4","Final"))))))))</f>
        <v/>
      </c>
      <c r="I89" s="11" t="str">
        <f aca="true">IF(A89="","",IF(TODAY()&lt;E89,"Start",IF(TODAY()&lt;=E89+7,"Charter Approved",IF(TODAY()&lt;=E89+21,"Sprint 1 Review",IF(TODAY()&lt;=E89+35,"Sprint 2 Review",IF(TODAY()&lt;=E89+49,"Sprint 3 Review",IF(TODAY()&lt;=E89+63,"Sprint 4 Review","Final Review")))))))</f>
        <v/>
      </c>
      <c r="J89" s="7" t="str">
        <f aca="true">IF(A89="","",IF(TODAY()&lt;E89,E89,IF(TODAY()&lt;=E89+7,E89+7,IF(TODAY()&lt;=E89+21,E89+21,IF(TODAY()&lt;=E89+35,E89+35,IF(TODAY()&lt;=E89+49,E89+49,IF(TODAY()&lt;=E89+63,E89+63,E89+70)))))))</f>
        <v/>
      </c>
      <c r="K89" s="11" t="str">
        <f aca="true">IF(A89="","",J89-TODAY())</f>
        <v/>
      </c>
      <c r="L89" s="7" t="str">
        <f aca="false">IF(A89="","",IFERROR(LOOKUP(2,1/('Weekly Check-in'!$B$4:$B$1003=A89),'Weekly Check-in'!$A$4:$A$1003),""))</f>
        <v/>
      </c>
      <c r="M89" s="11" t="str">
        <f aca="true">IF(A89="","",IF(L89="","",TODAY()-L89))</f>
        <v/>
      </c>
      <c r="N89" s="11" t="str">
        <f aca="false">IF(A89="","",COUNTIFS('Weekly Check-in'!$B$4:$B$1003,A89,'Weekly Check-in'!$H$4:$H$1003,"&lt;&gt;"))</f>
        <v/>
      </c>
      <c r="O89" s="11" t="str">
        <f aca="true">IF(A89="","",IF(OR(R89="Completed",R89="Withdrawn",TODAY()&lt;E89),"GREEN",IF(L89="","YELLOW",IF(M89&gt;=Config!$B$7,"RED",IF(OR(M89&gt;=Config!$B$6,AND(K89&lt;=Config!$B$8,N89&gt;0)),"YELLOW",IF(N89&gt;0,"YELLOW","GREEN"))))))</f>
        <v/>
      </c>
      <c r="P89" s="17"/>
      <c r="Q89" s="11" t="str">
        <f aca="false">IF(A89="","",IF(P89&lt;&gt;"",P89,O89))</f>
        <v/>
      </c>
      <c r="R89" s="17"/>
      <c r="S89" s="18"/>
      <c r="T89" s="18"/>
    </row>
    <row r="90" customFormat="false" ht="15" hidden="false" customHeight="true" outlineLevel="0" collapsed="false">
      <c r="A90" s="17"/>
      <c r="B90" s="17"/>
      <c r="C90" s="17"/>
      <c r="D90" s="17"/>
      <c r="E90" s="19"/>
      <c r="F90" s="7" t="str">
        <f aca="false">IF(A90="","",E90+Config!$B$4*7)</f>
        <v/>
      </c>
      <c r="G90" s="11" t="str">
        <f aca="true">IF(A90="","",MAX(0,MIN(Config!$B$4,INT((TODAY()-E90)/7)+1)))</f>
        <v/>
      </c>
      <c r="H90" s="11" t="str">
        <f aca="true">IF(A90="","",IF(TODAY()&lt;E90,"Not Started",IF(TODAY()&gt;F90,"Completed",IF(G90=1,"Onboarding",IF(G90&lt;=3,"Sprint 1",IF(G90&lt;=5,"Sprint 2",IF(G90&lt;=7,"Sprint 3",IF(G90&lt;=9,"Sprint 4","Final"))))))))</f>
        <v/>
      </c>
      <c r="I90" s="11" t="str">
        <f aca="true">IF(A90="","",IF(TODAY()&lt;E90,"Start",IF(TODAY()&lt;=E90+7,"Charter Approved",IF(TODAY()&lt;=E90+21,"Sprint 1 Review",IF(TODAY()&lt;=E90+35,"Sprint 2 Review",IF(TODAY()&lt;=E90+49,"Sprint 3 Review",IF(TODAY()&lt;=E90+63,"Sprint 4 Review","Final Review")))))))</f>
        <v/>
      </c>
      <c r="J90" s="7" t="str">
        <f aca="true">IF(A90="","",IF(TODAY()&lt;E90,E90,IF(TODAY()&lt;=E90+7,E90+7,IF(TODAY()&lt;=E90+21,E90+21,IF(TODAY()&lt;=E90+35,E90+35,IF(TODAY()&lt;=E90+49,E90+49,IF(TODAY()&lt;=E90+63,E90+63,E90+70)))))))</f>
        <v/>
      </c>
      <c r="K90" s="11" t="str">
        <f aca="true">IF(A90="","",J90-TODAY())</f>
        <v/>
      </c>
      <c r="L90" s="7" t="str">
        <f aca="false">IF(A90="","",IFERROR(LOOKUP(2,1/('Weekly Check-in'!$B$4:$B$1003=A90),'Weekly Check-in'!$A$4:$A$1003),""))</f>
        <v/>
      </c>
      <c r="M90" s="11" t="str">
        <f aca="true">IF(A90="","",IF(L90="","",TODAY()-L90))</f>
        <v/>
      </c>
      <c r="N90" s="11" t="str">
        <f aca="false">IF(A90="","",COUNTIFS('Weekly Check-in'!$B$4:$B$1003,A90,'Weekly Check-in'!$H$4:$H$1003,"&lt;&gt;"))</f>
        <v/>
      </c>
      <c r="O90" s="11" t="str">
        <f aca="true">IF(A90="","",IF(OR(R90="Completed",R90="Withdrawn",TODAY()&lt;E90),"GREEN",IF(L90="","YELLOW",IF(M90&gt;=Config!$B$7,"RED",IF(OR(M90&gt;=Config!$B$6,AND(K90&lt;=Config!$B$8,N90&gt;0)),"YELLOW",IF(N90&gt;0,"YELLOW","GREEN"))))))</f>
        <v/>
      </c>
      <c r="P90" s="17"/>
      <c r="Q90" s="11" t="str">
        <f aca="false">IF(A90="","",IF(P90&lt;&gt;"",P90,O90))</f>
        <v/>
      </c>
      <c r="R90" s="17"/>
      <c r="S90" s="18"/>
      <c r="T90" s="18"/>
    </row>
    <row r="91" customFormat="false" ht="15" hidden="false" customHeight="true" outlineLevel="0" collapsed="false">
      <c r="A91" s="17"/>
      <c r="B91" s="17"/>
      <c r="C91" s="17"/>
      <c r="D91" s="17"/>
      <c r="E91" s="19"/>
      <c r="F91" s="7" t="str">
        <f aca="false">IF(A91="","",E91+Config!$B$4*7)</f>
        <v/>
      </c>
      <c r="G91" s="11" t="str">
        <f aca="true">IF(A91="","",MAX(0,MIN(Config!$B$4,INT((TODAY()-E91)/7)+1)))</f>
        <v/>
      </c>
      <c r="H91" s="11" t="str">
        <f aca="true">IF(A91="","",IF(TODAY()&lt;E91,"Not Started",IF(TODAY()&gt;F91,"Completed",IF(G91=1,"Onboarding",IF(G91&lt;=3,"Sprint 1",IF(G91&lt;=5,"Sprint 2",IF(G91&lt;=7,"Sprint 3",IF(G91&lt;=9,"Sprint 4","Final"))))))))</f>
        <v/>
      </c>
      <c r="I91" s="11" t="str">
        <f aca="true">IF(A91="","",IF(TODAY()&lt;E91,"Start",IF(TODAY()&lt;=E91+7,"Charter Approved",IF(TODAY()&lt;=E91+21,"Sprint 1 Review",IF(TODAY()&lt;=E91+35,"Sprint 2 Review",IF(TODAY()&lt;=E91+49,"Sprint 3 Review",IF(TODAY()&lt;=E91+63,"Sprint 4 Review","Final Review")))))))</f>
        <v/>
      </c>
      <c r="J91" s="7" t="str">
        <f aca="true">IF(A91="","",IF(TODAY()&lt;E91,E91,IF(TODAY()&lt;=E91+7,E91+7,IF(TODAY()&lt;=E91+21,E91+21,IF(TODAY()&lt;=E91+35,E91+35,IF(TODAY()&lt;=E91+49,E91+49,IF(TODAY()&lt;=E91+63,E91+63,E91+70)))))))</f>
        <v/>
      </c>
      <c r="K91" s="11" t="str">
        <f aca="true">IF(A91="","",J91-TODAY())</f>
        <v/>
      </c>
      <c r="L91" s="7" t="str">
        <f aca="false">IF(A91="","",IFERROR(LOOKUP(2,1/('Weekly Check-in'!$B$4:$B$1003=A91),'Weekly Check-in'!$A$4:$A$1003),""))</f>
        <v/>
      </c>
      <c r="M91" s="11" t="str">
        <f aca="true">IF(A91="","",IF(L91="","",TODAY()-L91))</f>
        <v/>
      </c>
      <c r="N91" s="11" t="str">
        <f aca="false">IF(A91="","",COUNTIFS('Weekly Check-in'!$B$4:$B$1003,A91,'Weekly Check-in'!$H$4:$H$1003,"&lt;&gt;"))</f>
        <v/>
      </c>
      <c r="O91" s="11" t="str">
        <f aca="true">IF(A91="","",IF(OR(R91="Completed",R91="Withdrawn",TODAY()&lt;E91),"GREEN",IF(L91="","YELLOW",IF(M91&gt;=Config!$B$7,"RED",IF(OR(M91&gt;=Config!$B$6,AND(K91&lt;=Config!$B$8,N91&gt;0)),"YELLOW",IF(N91&gt;0,"YELLOW","GREEN"))))))</f>
        <v/>
      </c>
      <c r="P91" s="17"/>
      <c r="Q91" s="11" t="str">
        <f aca="false">IF(A91="","",IF(P91&lt;&gt;"",P91,O91))</f>
        <v/>
      </c>
      <c r="R91" s="17"/>
      <c r="S91" s="18"/>
      <c r="T91" s="18"/>
    </row>
    <row r="92" customFormat="false" ht="15" hidden="false" customHeight="true" outlineLevel="0" collapsed="false">
      <c r="A92" s="17"/>
      <c r="B92" s="17"/>
      <c r="C92" s="17"/>
      <c r="D92" s="17"/>
      <c r="E92" s="19"/>
      <c r="F92" s="7" t="str">
        <f aca="false">IF(A92="","",E92+Config!$B$4*7)</f>
        <v/>
      </c>
      <c r="G92" s="11" t="str">
        <f aca="true">IF(A92="","",MAX(0,MIN(Config!$B$4,INT((TODAY()-E92)/7)+1)))</f>
        <v/>
      </c>
      <c r="H92" s="11" t="str">
        <f aca="true">IF(A92="","",IF(TODAY()&lt;E92,"Not Started",IF(TODAY()&gt;F92,"Completed",IF(G92=1,"Onboarding",IF(G92&lt;=3,"Sprint 1",IF(G92&lt;=5,"Sprint 2",IF(G92&lt;=7,"Sprint 3",IF(G92&lt;=9,"Sprint 4","Final"))))))))</f>
        <v/>
      </c>
      <c r="I92" s="11" t="str">
        <f aca="true">IF(A92="","",IF(TODAY()&lt;E92,"Start",IF(TODAY()&lt;=E92+7,"Charter Approved",IF(TODAY()&lt;=E92+21,"Sprint 1 Review",IF(TODAY()&lt;=E92+35,"Sprint 2 Review",IF(TODAY()&lt;=E92+49,"Sprint 3 Review",IF(TODAY()&lt;=E92+63,"Sprint 4 Review","Final Review")))))))</f>
        <v/>
      </c>
      <c r="J92" s="7" t="str">
        <f aca="true">IF(A92="","",IF(TODAY()&lt;E92,E92,IF(TODAY()&lt;=E92+7,E92+7,IF(TODAY()&lt;=E92+21,E92+21,IF(TODAY()&lt;=E92+35,E92+35,IF(TODAY()&lt;=E92+49,E92+49,IF(TODAY()&lt;=E92+63,E92+63,E92+70)))))))</f>
        <v/>
      </c>
      <c r="K92" s="11" t="str">
        <f aca="true">IF(A92="","",J92-TODAY())</f>
        <v/>
      </c>
      <c r="L92" s="7" t="str">
        <f aca="false">IF(A92="","",IFERROR(LOOKUP(2,1/('Weekly Check-in'!$B$4:$B$1003=A92),'Weekly Check-in'!$A$4:$A$1003),""))</f>
        <v/>
      </c>
      <c r="M92" s="11" t="str">
        <f aca="true">IF(A92="","",IF(L92="","",TODAY()-L92))</f>
        <v/>
      </c>
      <c r="N92" s="11" t="str">
        <f aca="false">IF(A92="","",COUNTIFS('Weekly Check-in'!$B$4:$B$1003,A92,'Weekly Check-in'!$H$4:$H$1003,"&lt;&gt;"))</f>
        <v/>
      </c>
      <c r="O92" s="11" t="str">
        <f aca="true">IF(A92="","",IF(OR(R92="Completed",R92="Withdrawn",TODAY()&lt;E92),"GREEN",IF(L92="","YELLOW",IF(M92&gt;=Config!$B$7,"RED",IF(OR(M92&gt;=Config!$B$6,AND(K92&lt;=Config!$B$8,N92&gt;0)),"YELLOW",IF(N92&gt;0,"YELLOW","GREEN"))))))</f>
        <v/>
      </c>
      <c r="P92" s="17"/>
      <c r="Q92" s="11" t="str">
        <f aca="false">IF(A92="","",IF(P92&lt;&gt;"",P92,O92))</f>
        <v/>
      </c>
      <c r="R92" s="17"/>
      <c r="S92" s="18"/>
      <c r="T92" s="18"/>
    </row>
    <row r="93" customFormat="false" ht="15" hidden="false" customHeight="true" outlineLevel="0" collapsed="false">
      <c r="A93" s="17"/>
      <c r="B93" s="17"/>
      <c r="C93" s="17"/>
      <c r="D93" s="17"/>
      <c r="E93" s="19"/>
      <c r="F93" s="7" t="str">
        <f aca="false">IF(A93="","",E93+Config!$B$4*7)</f>
        <v/>
      </c>
      <c r="G93" s="11" t="str">
        <f aca="true">IF(A93="","",MAX(0,MIN(Config!$B$4,INT((TODAY()-E93)/7)+1)))</f>
        <v/>
      </c>
      <c r="H93" s="11" t="str">
        <f aca="true">IF(A93="","",IF(TODAY()&lt;E93,"Not Started",IF(TODAY()&gt;F93,"Completed",IF(G93=1,"Onboarding",IF(G93&lt;=3,"Sprint 1",IF(G93&lt;=5,"Sprint 2",IF(G93&lt;=7,"Sprint 3",IF(G93&lt;=9,"Sprint 4","Final"))))))))</f>
        <v/>
      </c>
      <c r="I93" s="11" t="str">
        <f aca="true">IF(A93="","",IF(TODAY()&lt;E93,"Start",IF(TODAY()&lt;=E93+7,"Charter Approved",IF(TODAY()&lt;=E93+21,"Sprint 1 Review",IF(TODAY()&lt;=E93+35,"Sprint 2 Review",IF(TODAY()&lt;=E93+49,"Sprint 3 Review",IF(TODAY()&lt;=E93+63,"Sprint 4 Review","Final Review")))))))</f>
        <v/>
      </c>
      <c r="J93" s="7" t="str">
        <f aca="true">IF(A93="","",IF(TODAY()&lt;E93,E93,IF(TODAY()&lt;=E93+7,E93+7,IF(TODAY()&lt;=E93+21,E93+21,IF(TODAY()&lt;=E93+35,E93+35,IF(TODAY()&lt;=E93+49,E93+49,IF(TODAY()&lt;=E93+63,E93+63,E93+70)))))))</f>
        <v/>
      </c>
      <c r="K93" s="11" t="str">
        <f aca="true">IF(A93="","",J93-TODAY())</f>
        <v/>
      </c>
      <c r="L93" s="7" t="str">
        <f aca="false">IF(A93="","",IFERROR(LOOKUP(2,1/('Weekly Check-in'!$B$4:$B$1003=A93),'Weekly Check-in'!$A$4:$A$1003),""))</f>
        <v/>
      </c>
      <c r="M93" s="11" t="str">
        <f aca="true">IF(A93="","",IF(L93="","",TODAY()-L93))</f>
        <v/>
      </c>
      <c r="N93" s="11" t="str">
        <f aca="false">IF(A93="","",COUNTIFS('Weekly Check-in'!$B$4:$B$1003,A93,'Weekly Check-in'!$H$4:$H$1003,"&lt;&gt;"))</f>
        <v/>
      </c>
      <c r="O93" s="11" t="str">
        <f aca="true">IF(A93="","",IF(OR(R93="Completed",R93="Withdrawn",TODAY()&lt;E93),"GREEN",IF(L93="","YELLOW",IF(M93&gt;=Config!$B$7,"RED",IF(OR(M93&gt;=Config!$B$6,AND(K93&lt;=Config!$B$8,N93&gt;0)),"YELLOW",IF(N93&gt;0,"YELLOW","GREEN"))))))</f>
        <v/>
      </c>
      <c r="P93" s="17"/>
      <c r="Q93" s="11" t="str">
        <f aca="false">IF(A93="","",IF(P93&lt;&gt;"",P93,O93))</f>
        <v/>
      </c>
      <c r="R93" s="17"/>
      <c r="S93" s="18"/>
      <c r="T93" s="18"/>
    </row>
    <row r="94" customFormat="false" ht="15" hidden="false" customHeight="true" outlineLevel="0" collapsed="false">
      <c r="A94" s="17"/>
      <c r="B94" s="17"/>
      <c r="C94" s="17"/>
      <c r="D94" s="17"/>
      <c r="E94" s="19"/>
      <c r="F94" s="7" t="str">
        <f aca="false">IF(A94="","",E94+Config!$B$4*7)</f>
        <v/>
      </c>
      <c r="G94" s="11" t="str">
        <f aca="true">IF(A94="","",MAX(0,MIN(Config!$B$4,INT((TODAY()-E94)/7)+1)))</f>
        <v/>
      </c>
      <c r="H94" s="11" t="str">
        <f aca="true">IF(A94="","",IF(TODAY()&lt;E94,"Not Started",IF(TODAY()&gt;F94,"Completed",IF(G94=1,"Onboarding",IF(G94&lt;=3,"Sprint 1",IF(G94&lt;=5,"Sprint 2",IF(G94&lt;=7,"Sprint 3",IF(G94&lt;=9,"Sprint 4","Final"))))))))</f>
        <v/>
      </c>
      <c r="I94" s="11" t="str">
        <f aca="true">IF(A94="","",IF(TODAY()&lt;E94,"Start",IF(TODAY()&lt;=E94+7,"Charter Approved",IF(TODAY()&lt;=E94+21,"Sprint 1 Review",IF(TODAY()&lt;=E94+35,"Sprint 2 Review",IF(TODAY()&lt;=E94+49,"Sprint 3 Review",IF(TODAY()&lt;=E94+63,"Sprint 4 Review","Final Review")))))))</f>
        <v/>
      </c>
      <c r="J94" s="7" t="str">
        <f aca="true">IF(A94="","",IF(TODAY()&lt;E94,E94,IF(TODAY()&lt;=E94+7,E94+7,IF(TODAY()&lt;=E94+21,E94+21,IF(TODAY()&lt;=E94+35,E94+35,IF(TODAY()&lt;=E94+49,E94+49,IF(TODAY()&lt;=E94+63,E94+63,E94+70)))))))</f>
        <v/>
      </c>
      <c r="K94" s="11" t="str">
        <f aca="true">IF(A94="","",J94-TODAY())</f>
        <v/>
      </c>
      <c r="L94" s="7" t="str">
        <f aca="false">IF(A94="","",IFERROR(LOOKUP(2,1/('Weekly Check-in'!$B$4:$B$1003=A94),'Weekly Check-in'!$A$4:$A$1003),""))</f>
        <v/>
      </c>
      <c r="M94" s="11" t="str">
        <f aca="true">IF(A94="","",IF(L94="","",TODAY()-L94))</f>
        <v/>
      </c>
      <c r="N94" s="11" t="str">
        <f aca="false">IF(A94="","",COUNTIFS('Weekly Check-in'!$B$4:$B$1003,A94,'Weekly Check-in'!$H$4:$H$1003,"&lt;&gt;"))</f>
        <v/>
      </c>
      <c r="O94" s="11" t="str">
        <f aca="true">IF(A94="","",IF(OR(R94="Completed",R94="Withdrawn",TODAY()&lt;E94),"GREEN",IF(L94="","YELLOW",IF(M94&gt;=Config!$B$7,"RED",IF(OR(M94&gt;=Config!$B$6,AND(K94&lt;=Config!$B$8,N94&gt;0)),"YELLOW",IF(N94&gt;0,"YELLOW","GREEN"))))))</f>
        <v/>
      </c>
      <c r="P94" s="17"/>
      <c r="Q94" s="11" t="str">
        <f aca="false">IF(A94="","",IF(P94&lt;&gt;"",P94,O94))</f>
        <v/>
      </c>
      <c r="R94" s="17"/>
      <c r="S94" s="18"/>
      <c r="T94" s="18"/>
    </row>
    <row r="95" customFormat="false" ht="15" hidden="false" customHeight="true" outlineLevel="0" collapsed="false">
      <c r="A95" s="17"/>
      <c r="B95" s="17"/>
      <c r="C95" s="17"/>
      <c r="D95" s="17"/>
      <c r="E95" s="19"/>
      <c r="F95" s="7" t="str">
        <f aca="false">IF(A95="","",E95+Config!$B$4*7)</f>
        <v/>
      </c>
      <c r="G95" s="11" t="str">
        <f aca="true">IF(A95="","",MAX(0,MIN(Config!$B$4,INT((TODAY()-E95)/7)+1)))</f>
        <v/>
      </c>
      <c r="H95" s="11" t="str">
        <f aca="true">IF(A95="","",IF(TODAY()&lt;E95,"Not Started",IF(TODAY()&gt;F95,"Completed",IF(G95=1,"Onboarding",IF(G95&lt;=3,"Sprint 1",IF(G95&lt;=5,"Sprint 2",IF(G95&lt;=7,"Sprint 3",IF(G95&lt;=9,"Sprint 4","Final"))))))))</f>
        <v/>
      </c>
      <c r="I95" s="11" t="str">
        <f aca="true">IF(A95="","",IF(TODAY()&lt;E95,"Start",IF(TODAY()&lt;=E95+7,"Charter Approved",IF(TODAY()&lt;=E95+21,"Sprint 1 Review",IF(TODAY()&lt;=E95+35,"Sprint 2 Review",IF(TODAY()&lt;=E95+49,"Sprint 3 Review",IF(TODAY()&lt;=E95+63,"Sprint 4 Review","Final Review")))))))</f>
        <v/>
      </c>
      <c r="J95" s="7" t="str">
        <f aca="true">IF(A95="","",IF(TODAY()&lt;E95,E95,IF(TODAY()&lt;=E95+7,E95+7,IF(TODAY()&lt;=E95+21,E95+21,IF(TODAY()&lt;=E95+35,E95+35,IF(TODAY()&lt;=E95+49,E95+49,IF(TODAY()&lt;=E95+63,E95+63,E95+70)))))))</f>
        <v/>
      </c>
      <c r="K95" s="11" t="str">
        <f aca="true">IF(A95="","",J95-TODAY())</f>
        <v/>
      </c>
      <c r="L95" s="7" t="str">
        <f aca="false">IF(A95="","",IFERROR(LOOKUP(2,1/('Weekly Check-in'!$B$4:$B$1003=A95),'Weekly Check-in'!$A$4:$A$1003),""))</f>
        <v/>
      </c>
      <c r="M95" s="11" t="str">
        <f aca="true">IF(A95="","",IF(L95="","",TODAY()-L95))</f>
        <v/>
      </c>
      <c r="N95" s="11" t="str">
        <f aca="false">IF(A95="","",COUNTIFS('Weekly Check-in'!$B$4:$B$1003,A95,'Weekly Check-in'!$H$4:$H$1003,"&lt;&gt;"))</f>
        <v/>
      </c>
      <c r="O95" s="11" t="str">
        <f aca="true">IF(A95="","",IF(OR(R95="Completed",R95="Withdrawn",TODAY()&lt;E95),"GREEN",IF(L95="","YELLOW",IF(M95&gt;=Config!$B$7,"RED",IF(OR(M95&gt;=Config!$B$6,AND(K95&lt;=Config!$B$8,N95&gt;0)),"YELLOW",IF(N95&gt;0,"YELLOW","GREEN"))))))</f>
        <v/>
      </c>
      <c r="P95" s="17"/>
      <c r="Q95" s="11" t="str">
        <f aca="false">IF(A95="","",IF(P95&lt;&gt;"",P95,O95))</f>
        <v/>
      </c>
      <c r="R95" s="17"/>
      <c r="S95" s="18"/>
      <c r="T95" s="18"/>
    </row>
    <row r="96" customFormat="false" ht="15" hidden="false" customHeight="true" outlineLevel="0" collapsed="false">
      <c r="A96" s="17"/>
      <c r="B96" s="17"/>
      <c r="C96" s="17"/>
      <c r="D96" s="17"/>
      <c r="E96" s="19"/>
      <c r="F96" s="7" t="str">
        <f aca="false">IF(A96="","",E96+Config!$B$4*7)</f>
        <v/>
      </c>
      <c r="G96" s="11" t="str">
        <f aca="true">IF(A96="","",MAX(0,MIN(Config!$B$4,INT((TODAY()-E96)/7)+1)))</f>
        <v/>
      </c>
      <c r="H96" s="11" t="str">
        <f aca="true">IF(A96="","",IF(TODAY()&lt;E96,"Not Started",IF(TODAY()&gt;F96,"Completed",IF(G96=1,"Onboarding",IF(G96&lt;=3,"Sprint 1",IF(G96&lt;=5,"Sprint 2",IF(G96&lt;=7,"Sprint 3",IF(G96&lt;=9,"Sprint 4","Final"))))))))</f>
        <v/>
      </c>
      <c r="I96" s="11" t="str">
        <f aca="true">IF(A96="","",IF(TODAY()&lt;E96,"Start",IF(TODAY()&lt;=E96+7,"Charter Approved",IF(TODAY()&lt;=E96+21,"Sprint 1 Review",IF(TODAY()&lt;=E96+35,"Sprint 2 Review",IF(TODAY()&lt;=E96+49,"Sprint 3 Review",IF(TODAY()&lt;=E96+63,"Sprint 4 Review","Final Review")))))))</f>
        <v/>
      </c>
      <c r="J96" s="7" t="str">
        <f aca="true">IF(A96="","",IF(TODAY()&lt;E96,E96,IF(TODAY()&lt;=E96+7,E96+7,IF(TODAY()&lt;=E96+21,E96+21,IF(TODAY()&lt;=E96+35,E96+35,IF(TODAY()&lt;=E96+49,E96+49,IF(TODAY()&lt;=E96+63,E96+63,E96+70)))))))</f>
        <v/>
      </c>
      <c r="K96" s="11" t="str">
        <f aca="true">IF(A96="","",J96-TODAY())</f>
        <v/>
      </c>
      <c r="L96" s="7" t="str">
        <f aca="false">IF(A96="","",IFERROR(LOOKUP(2,1/('Weekly Check-in'!$B$4:$B$1003=A96),'Weekly Check-in'!$A$4:$A$1003),""))</f>
        <v/>
      </c>
      <c r="M96" s="11" t="str">
        <f aca="true">IF(A96="","",IF(L96="","",TODAY()-L96))</f>
        <v/>
      </c>
      <c r="N96" s="11" t="str">
        <f aca="false">IF(A96="","",COUNTIFS('Weekly Check-in'!$B$4:$B$1003,A96,'Weekly Check-in'!$H$4:$H$1003,"&lt;&gt;"))</f>
        <v/>
      </c>
      <c r="O96" s="11" t="str">
        <f aca="true">IF(A96="","",IF(OR(R96="Completed",R96="Withdrawn",TODAY()&lt;E96),"GREEN",IF(L96="","YELLOW",IF(M96&gt;=Config!$B$7,"RED",IF(OR(M96&gt;=Config!$B$6,AND(K96&lt;=Config!$B$8,N96&gt;0)),"YELLOW",IF(N96&gt;0,"YELLOW","GREEN"))))))</f>
        <v/>
      </c>
      <c r="P96" s="17"/>
      <c r="Q96" s="11" t="str">
        <f aca="false">IF(A96="","",IF(P96&lt;&gt;"",P96,O96))</f>
        <v/>
      </c>
      <c r="R96" s="17"/>
      <c r="S96" s="18"/>
      <c r="T96" s="18"/>
    </row>
    <row r="97" customFormat="false" ht="15" hidden="false" customHeight="true" outlineLevel="0" collapsed="false">
      <c r="A97" s="17"/>
      <c r="B97" s="17"/>
      <c r="C97" s="17"/>
      <c r="D97" s="17"/>
      <c r="E97" s="19"/>
      <c r="F97" s="7" t="str">
        <f aca="false">IF(A97="","",E97+Config!$B$4*7)</f>
        <v/>
      </c>
      <c r="G97" s="11" t="str">
        <f aca="true">IF(A97="","",MAX(0,MIN(Config!$B$4,INT((TODAY()-E97)/7)+1)))</f>
        <v/>
      </c>
      <c r="H97" s="11" t="str">
        <f aca="true">IF(A97="","",IF(TODAY()&lt;E97,"Not Started",IF(TODAY()&gt;F97,"Completed",IF(G97=1,"Onboarding",IF(G97&lt;=3,"Sprint 1",IF(G97&lt;=5,"Sprint 2",IF(G97&lt;=7,"Sprint 3",IF(G97&lt;=9,"Sprint 4","Final"))))))))</f>
        <v/>
      </c>
      <c r="I97" s="11" t="str">
        <f aca="true">IF(A97="","",IF(TODAY()&lt;E97,"Start",IF(TODAY()&lt;=E97+7,"Charter Approved",IF(TODAY()&lt;=E97+21,"Sprint 1 Review",IF(TODAY()&lt;=E97+35,"Sprint 2 Review",IF(TODAY()&lt;=E97+49,"Sprint 3 Review",IF(TODAY()&lt;=E97+63,"Sprint 4 Review","Final Review")))))))</f>
        <v/>
      </c>
      <c r="J97" s="7" t="str">
        <f aca="true">IF(A97="","",IF(TODAY()&lt;E97,E97,IF(TODAY()&lt;=E97+7,E97+7,IF(TODAY()&lt;=E97+21,E97+21,IF(TODAY()&lt;=E97+35,E97+35,IF(TODAY()&lt;=E97+49,E97+49,IF(TODAY()&lt;=E97+63,E97+63,E97+70)))))))</f>
        <v/>
      </c>
      <c r="K97" s="11" t="str">
        <f aca="true">IF(A97="","",J97-TODAY())</f>
        <v/>
      </c>
      <c r="L97" s="7" t="str">
        <f aca="false">IF(A97="","",IFERROR(LOOKUP(2,1/('Weekly Check-in'!$B$4:$B$1003=A97),'Weekly Check-in'!$A$4:$A$1003),""))</f>
        <v/>
      </c>
      <c r="M97" s="11" t="str">
        <f aca="true">IF(A97="","",IF(L97="","",TODAY()-L97))</f>
        <v/>
      </c>
      <c r="N97" s="11" t="str">
        <f aca="false">IF(A97="","",COUNTIFS('Weekly Check-in'!$B$4:$B$1003,A97,'Weekly Check-in'!$H$4:$H$1003,"&lt;&gt;"))</f>
        <v/>
      </c>
      <c r="O97" s="11" t="str">
        <f aca="true">IF(A97="","",IF(OR(R97="Completed",R97="Withdrawn",TODAY()&lt;E97),"GREEN",IF(L97="","YELLOW",IF(M97&gt;=Config!$B$7,"RED",IF(OR(M97&gt;=Config!$B$6,AND(K97&lt;=Config!$B$8,N97&gt;0)),"YELLOW",IF(N97&gt;0,"YELLOW","GREEN"))))))</f>
        <v/>
      </c>
      <c r="P97" s="17"/>
      <c r="Q97" s="11" t="str">
        <f aca="false">IF(A97="","",IF(P97&lt;&gt;"",P97,O97))</f>
        <v/>
      </c>
      <c r="R97" s="17"/>
      <c r="S97" s="18"/>
      <c r="T97" s="18"/>
    </row>
    <row r="98" customFormat="false" ht="15" hidden="false" customHeight="true" outlineLevel="0" collapsed="false">
      <c r="A98" s="17"/>
      <c r="B98" s="17"/>
      <c r="C98" s="17"/>
      <c r="D98" s="17"/>
      <c r="E98" s="19"/>
      <c r="F98" s="7" t="str">
        <f aca="false">IF(A98="","",E98+Config!$B$4*7)</f>
        <v/>
      </c>
      <c r="G98" s="11" t="str">
        <f aca="true">IF(A98="","",MAX(0,MIN(Config!$B$4,INT((TODAY()-E98)/7)+1)))</f>
        <v/>
      </c>
      <c r="H98" s="11" t="str">
        <f aca="true">IF(A98="","",IF(TODAY()&lt;E98,"Not Started",IF(TODAY()&gt;F98,"Completed",IF(G98=1,"Onboarding",IF(G98&lt;=3,"Sprint 1",IF(G98&lt;=5,"Sprint 2",IF(G98&lt;=7,"Sprint 3",IF(G98&lt;=9,"Sprint 4","Final"))))))))</f>
        <v/>
      </c>
      <c r="I98" s="11" t="str">
        <f aca="true">IF(A98="","",IF(TODAY()&lt;E98,"Start",IF(TODAY()&lt;=E98+7,"Charter Approved",IF(TODAY()&lt;=E98+21,"Sprint 1 Review",IF(TODAY()&lt;=E98+35,"Sprint 2 Review",IF(TODAY()&lt;=E98+49,"Sprint 3 Review",IF(TODAY()&lt;=E98+63,"Sprint 4 Review","Final Review")))))))</f>
        <v/>
      </c>
      <c r="J98" s="7" t="str">
        <f aca="true">IF(A98="","",IF(TODAY()&lt;E98,E98,IF(TODAY()&lt;=E98+7,E98+7,IF(TODAY()&lt;=E98+21,E98+21,IF(TODAY()&lt;=E98+35,E98+35,IF(TODAY()&lt;=E98+49,E98+49,IF(TODAY()&lt;=E98+63,E98+63,E98+70)))))))</f>
        <v/>
      </c>
      <c r="K98" s="11" t="str">
        <f aca="true">IF(A98="","",J98-TODAY())</f>
        <v/>
      </c>
      <c r="L98" s="7" t="str">
        <f aca="false">IF(A98="","",IFERROR(LOOKUP(2,1/('Weekly Check-in'!$B$4:$B$1003=A98),'Weekly Check-in'!$A$4:$A$1003),""))</f>
        <v/>
      </c>
      <c r="M98" s="11" t="str">
        <f aca="true">IF(A98="","",IF(L98="","",TODAY()-L98))</f>
        <v/>
      </c>
      <c r="N98" s="11" t="str">
        <f aca="false">IF(A98="","",COUNTIFS('Weekly Check-in'!$B$4:$B$1003,A98,'Weekly Check-in'!$H$4:$H$1003,"&lt;&gt;"))</f>
        <v/>
      </c>
      <c r="O98" s="11" t="str">
        <f aca="true">IF(A98="","",IF(OR(R98="Completed",R98="Withdrawn",TODAY()&lt;E98),"GREEN",IF(L98="","YELLOW",IF(M98&gt;=Config!$B$7,"RED",IF(OR(M98&gt;=Config!$B$6,AND(K98&lt;=Config!$B$8,N98&gt;0)),"YELLOW",IF(N98&gt;0,"YELLOW","GREEN"))))))</f>
        <v/>
      </c>
      <c r="P98" s="17"/>
      <c r="Q98" s="11" t="str">
        <f aca="false">IF(A98="","",IF(P98&lt;&gt;"",P98,O98))</f>
        <v/>
      </c>
      <c r="R98" s="17"/>
      <c r="S98" s="18"/>
      <c r="T98" s="18"/>
    </row>
    <row r="99" customFormat="false" ht="15" hidden="false" customHeight="true" outlineLevel="0" collapsed="false">
      <c r="A99" s="17"/>
      <c r="B99" s="17"/>
      <c r="C99" s="17"/>
      <c r="D99" s="17"/>
      <c r="E99" s="19"/>
      <c r="F99" s="7" t="str">
        <f aca="false">IF(A99="","",E99+Config!$B$4*7)</f>
        <v/>
      </c>
      <c r="G99" s="11" t="str">
        <f aca="true">IF(A99="","",MAX(0,MIN(Config!$B$4,INT((TODAY()-E99)/7)+1)))</f>
        <v/>
      </c>
      <c r="H99" s="11" t="str">
        <f aca="true">IF(A99="","",IF(TODAY()&lt;E99,"Not Started",IF(TODAY()&gt;F99,"Completed",IF(G99=1,"Onboarding",IF(G99&lt;=3,"Sprint 1",IF(G99&lt;=5,"Sprint 2",IF(G99&lt;=7,"Sprint 3",IF(G99&lt;=9,"Sprint 4","Final"))))))))</f>
        <v/>
      </c>
      <c r="I99" s="11" t="str">
        <f aca="true">IF(A99="","",IF(TODAY()&lt;E99,"Start",IF(TODAY()&lt;=E99+7,"Charter Approved",IF(TODAY()&lt;=E99+21,"Sprint 1 Review",IF(TODAY()&lt;=E99+35,"Sprint 2 Review",IF(TODAY()&lt;=E99+49,"Sprint 3 Review",IF(TODAY()&lt;=E99+63,"Sprint 4 Review","Final Review")))))))</f>
        <v/>
      </c>
      <c r="J99" s="7" t="str">
        <f aca="true">IF(A99="","",IF(TODAY()&lt;E99,E99,IF(TODAY()&lt;=E99+7,E99+7,IF(TODAY()&lt;=E99+21,E99+21,IF(TODAY()&lt;=E99+35,E99+35,IF(TODAY()&lt;=E99+49,E99+49,IF(TODAY()&lt;=E99+63,E99+63,E99+70)))))))</f>
        <v/>
      </c>
      <c r="K99" s="11" t="str">
        <f aca="true">IF(A99="","",J99-TODAY())</f>
        <v/>
      </c>
      <c r="L99" s="7" t="str">
        <f aca="false">IF(A99="","",IFERROR(LOOKUP(2,1/('Weekly Check-in'!$B$4:$B$1003=A99),'Weekly Check-in'!$A$4:$A$1003),""))</f>
        <v/>
      </c>
      <c r="M99" s="11" t="str">
        <f aca="true">IF(A99="","",IF(L99="","",TODAY()-L99))</f>
        <v/>
      </c>
      <c r="N99" s="11" t="str">
        <f aca="false">IF(A99="","",COUNTIFS('Weekly Check-in'!$B$4:$B$1003,A99,'Weekly Check-in'!$H$4:$H$1003,"&lt;&gt;"))</f>
        <v/>
      </c>
      <c r="O99" s="11" t="str">
        <f aca="true">IF(A99="","",IF(OR(R99="Completed",R99="Withdrawn",TODAY()&lt;E99),"GREEN",IF(L99="","YELLOW",IF(M99&gt;=Config!$B$7,"RED",IF(OR(M99&gt;=Config!$B$6,AND(K99&lt;=Config!$B$8,N99&gt;0)),"YELLOW",IF(N99&gt;0,"YELLOW","GREEN"))))))</f>
        <v/>
      </c>
      <c r="P99" s="17"/>
      <c r="Q99" s="11" t="str">
        <f aca="false">IF(A99="","",IF(P99&lt;&gt;"",P99,O99))</f>
        <v/>
      </c>
      <c r="R99" s="17"/>
      <c r="S99" s="18"/>
      <c r="T99" s="18"/>
    </row>
    <row r="100" customFormat="false" ht="15" hidden="false" customHeight="true" outlineLevel="0" collapsed="false">
      <c r="A100" s="17"/>
      <c r="B100" s="17"/>
      <c r="C100" s="17"/>
      <c r="D100" s="17"/>
      <c r="E100" s="19"/>
      <c r="F100" s="7" t="str">
        <f aca="false">IF(A100="","",E100+Config!$B$4*7)</f>
        <v/>
      </c>
      <c r="G100" s="11" t="str">
        <f aca="true">IF(A100="","",MAX(0,MIN(Config!$B$4,INT((TODAY()-E100)/7)+1)))</f>
        <v/>
      </c>
      <c r="H100" s="11" t="str">
        <f aca="true">IF(A100="","",IF(TODAY()&lt;E100,"Not Started",IF(TODAY()&gt;F100,"Completed",IF(G100=1,"Onboarding",IF(G100&lt;=3,"Sprint 1",IF(G100&lt;=5,"Sprint 2",IF(G100&lt;=7,"Sprint 3",IF(G100&lt;=9,"Sprint 4","Final"))))))))</f>
        <v/>
      </c>
      <c r="I100" s="11" t="str">
        <f aca="true">IF(A100="","",IF(TODAY()&lt;E100,"Start",IF(TODAY()&lt;=E100+7,"Charter Approved",IF(TODAY()&lt;=E100+21,"Sprint 1 Review",IF(TODAY()&lt;=E100+35,"Sprint 2 Review",IF(TODAY()&lt;=E100+49,"Sprint 3 Review",IF(TODAY()&lt;=E100+63,"Sprint 4 Review","Final Review")))))))</f>
        <v/>
      </c>
      <c r="J100" s="7" t="str">
        <f aca="true">IF(A100="","",IF(TODAY()&lt;E100,E100,IF(TODAY()&lt;=E100+7,E100+7,IF(TODAY()&lt;=E100+21,E100+21,IF(TODAY()&lt;=E100+35,E100+35,IF(TODAY()&lt;=E100+49,E100+49,IF(TODAY()&lt;=E100+63,E100+63,E100+70)))))))</f>
        <v/>
      </c>
      <c r="K100" s="11" t="str">
        <f aca="true">IF(A100="","",J100-TODAY())</f>
        <v/>
      </c>
      <c r="L100" s="7" t="str">
        <f aca="false">IF(A100="","",IFERROR(LOOKUP(2,1/('Weekly Check-in'!$B$4:$B$1003=A100),'Weekly Check-in'!$A$4:$A$1003),""))</f>
        <v/>
      </c>
      <c r="M100" s="11" t="str">
        <f aca="true">IF(A100="","",IF(L100="","",TODAY()-L100))</f>
        <v/>
      </c>
      <c r="N100" s="11" t="str">
        <f aca="false">IF(A100="","",COUNTIFS('Weekly Check-in'!$B$4:$B$1003,A100,'Weekly Check-in'!$H$4:$H$1003,"&lt;&gt;"))</f>
        <v/>
      </c>
      <c r="O100" s="11" t="str">
        <f aca="true">IF(A100="","",IF(OR(R100="Completed",R100="Withdrawn",TODAY()&lt;E100),"GREEN",IF(L100="","YELLOW",IF(M100&gt;=Config!$B$7,"RED",IF(OR(M100&gt;=Config!$B$6,AND(K100&lt;=Config!$B$8,N100&gt;0)),"YELLOW",IF(N100&gt;0,"YELLOW","GREEN"))))))</f>
        <v/>
      </c>
      <c r="P100" s="17"/>
      <c r="Q100" s="11" t="str">
        <f aca="false">IF(A100="","",IF(P100&lt;&gt;"",P100,O100))</f>
        <v/>
      </c>
      <c r="R100" s="17"/>
      <c r="S100" s="18"/>
      <c r="T100" s="18"/>
    </row>
    <row r="101" customFormat="false" ht="15" hidden="false" customHeight="true" outlineLevel="0" collapsed="false">
      <c r="A101" s="17"/>
      <c r="B101" s="17"/>
      <c r="C101" s="17"/>
      <c r="D101" s="17"/>
      <c r="E101" s="19"/>
      <c r="F101" s="7" t="str">
        <f aca="false">IF(A101="","",E101+Config!$B$4*7)</f>
        <v/>
      </c>
      <c r="G101" s="11" t="str">
        <f aca="true">IF(A101="","",MAX(0,MIN(Config!$B$4,INT((TODAY()-E101)/7)+1)))</f>
        <v/>
      </c>
      <c r="H101" s="11" t="str">
        <f aca="true">IF(A101="","",IF(TODAY()&lt;E101,"Not Started",IF(TODAY()&gt;F101,"Completed",IF(G101=1,"Onboarding",IF(G101&lt;=3,"Sprint 1",IF(G101&lt;=5,"Sprint 2",IF(G101&lt;=7,"Sprint 3",IF(G101&lt;=9,"Sprint 4","Final"))))))))</f>
        <v/>
      </c>
      <c r="I101" s="11" t="str">
        <f aca="true">IF(A101="","",IF(TODAY()&lt;E101,"Start",IF(TODAY()&lt;=E101+7,"Charter Approved",IF(TODAY()&lt;=E101+21,"Sprint 1 Review",IF(TODAY()&lt;=E101+35,"Sprint 2 Review",IF(TODAY()&lt;=E101+49,"Sprint 3 Review",IF(TODAY()&lt;=E101+63,"Sprint 4 Review","Final Review")))))))</f>
        <v/>
      </c>
      <c r="J101" s="7" t="str">
        <f aca="true">IF(A101="","",IF(TODAY()&lt;E101,E101,IF(TODAY()&lt;=E101+7,E101+7,IF(TODAY()&lt;=E101+21,E101+21,IF(TODAY()&lt;=E101+35,E101+35,IF(TODAY()&lt;=E101+49,E101+49,IF(TODAY()&lt;=E101+63,E101+63,E101+70)))))))</f>
        <v/>
      </c>
      <c r="K101" s="11" t="str">
        <f aca="true">IF(A101="","",J101-TODAY())</f>
        <v/>
      </c>
      <c r="L101" s="7" t="str">
        <f aca="false">IF(A101="","",IFERROR(LOOKUP(2,1/('Weekly Check-in'!$B$4:$B$1003=A101),'Weekly Check-in'!$A$4:$A$1003),""))</f>
        <v/>
      </c>
      <c r="M101" s="11" t="str">
        <f aca="true">IF(A101="","",IF(L101="","",TODAY()-L101))</f>
        <v/>
      </c>
      <c r="N101" s="11" t="str">
        <f aca="false">IF(A101="","",COUNTIFS('Weekly Check-in'!$B$4:$B$1003,A101,'Weekly Check-in'!$H$4:$H$1003,"&lt;&gt;"))</f>
        <v/>
      </c>
      <c r="O101" s="11" t="str">
        <f aca="true">IF(A101="","",IF(OR(R101="Completed",R101="Withdrawn",TODAY()&lt;E101),"GREEN",IF(L101="","YELLOW",IF(M101&gt;=Config!$B$7,"RED",IF(OR(M101&gt;=Config!$B$6,AND(K101&lt;=Config!$B$8,N101&gt;0)),"YELLOW",IF(N101&gt;0,"YELLOW","GREEN"))))))</f>
        <v/>
      </c>
      <c r="P101" s="17"/>
      <c r="Q101" s="11" t="str">
        <f aca="false">IF(A101="","",IF(P101&lt;&gt;"",P101,O101))</f>
        <v/>
      </c>
      <c r="R101" s="17"/>
      <c r="S101" s="18"/>
      <c r="T101" s="18"/>
    </row>
    <row r="102" customFormat="false" ht="15" hidden="false" customHeight="true" outlineLevel="0" collapsed="false">
      <c r="A102" s="17"/>
      <c r="B102" s="17"/>
      <c r="C102" s="17"/>
      <c r="D102" s="17"/>
      <c r="E102" s="19"/>
      <c r="F102" s="7" t="str">
        <f aca="false">IF(A102="","",E102+Config!$B$4*7)</f>
        <v/>
      </c>
      <c r="G102" s="11" t="str">
        <f aca="true">IF(A102="","",MAX(0,MIN(Config!$B$4,INT((TODAY()-E102)/7)+1)))</f>
        <v/>
      </c>
      <c r="H102" s="11" t="str">
        <f aca="true">IF(A102="","",IF(TODAY()&lt;E102,"Not Started",IF(TODAY()&gt;F102,"Completed",IF(G102=1,"Onboarding",IF(G102&lt;=3,"Sprint 1",IF(G102&lt;=5,"Sprint 2",IF(G102&lt;=7,"Sprint 3",IF(G102&lt;=9,"Sprint 4","Final"))))))))</f>
        <v/>
      </c>
      <c r="I102" s="11" t="str">
        <f aca="true">IF(A102="","",IF(TODAY()&lt;E102,"Start",IF(TODAY()&lt;=E102+7,"Charter Approved",IF(TODAY()&lt;=E102+21,"Sprint 1 Review",IF(TODAY()&lt;=E102+35,"Sprint 2 Review",IF(TODAY()&lt;=E102+49,"Sprint 3 Review",IF(TODAY()&lt;=E102+63,"Sprint 4 Review","Final Review")))))))</f>
        <v/>
      </c>
      <c r="J102" s="7" t="str">
        <f aca="true">IF(A102="","",IF(TODAY()&lt;E102,E102,IF(TODAY()&lt;=E102+7,E102+7,IF(TODAY()&lt;=E102+21,E102+21,IF(TODAY()&lt;=E102+35,E102+35,IF(TODAY()&lt;=E102+49,E102+49,IF(TODAY()&lt;=E102+63,E102+63,E102+70)))))))</f>
        <v/>
      </c>
      <c r="K102" s="11" t="str">
        <f aca="true">IF(A102="","",J102-TODAY())</f>
        <v/>
      </c>
      <c r="L102" s="7" t="str">
        <f aca="false">IF(A102="","",IFERROR(LOOKUP(2,1/('Weekly Check-in'!$B$4:$B$1003=A102),'Weekly Check-in'!$A$4:$A$1003),""))</f>
        <v/>
      </c>
      <c r="M102" s="11" t="str">
        <f aca="true">IF(A102="","",IF(L102="","",TODAY()-L102))</f>
        <v/>
      </c>
      <c r="N102" s="11" t="str">
        <f aca="false">IF(A102="","",COUNTIFS('Weekly Check-in'!$B$4:$B$1003,A102,'Weekly Check-in'!$H$4:$H$1003,"&lt;&gt;"))</f>
        <v/>
      </c>
      <c r="O102" s="11" t="str">
        <f aca="true">IF(A102="","",IF(OR(R102="Completed",R102="Withdrawn",TODAY()&lt;E102),"GREEN",IF(L102="","YELLOW",IF(M102&gt;=Config!$B$7,"RED",IF(OR(M102&gt;=Config!$B$6,AND(K102&lt;=Config!$B$8,N102&gt;0)),"YELLOW",IF(N102&gt;0,"YELLOW","GREEN"))))))</f>
        <v/>
      </c>
      <c r="P102" s="17"/>
      <c r="Q102" s="11" t="str">
        <f aca="false">IF(A102="","",IF(P102&lt;&gt;"",P102,O102))</f>
        <v/>
      </c>
      <c r="R102" s="17"/>
      <c r="S102" s="18"/>
      <c r="T102" s="18"/>
    </row>
    <row r="103" customFormat="false" ht="15" hidden="false" customHeight="true" outlineLevel="0" collapsed="false">
      <c r="A103" s="17"/>
      <c r="B103" s="17"/>
      <c r="C103" s="17"/>
      <c r="D103" s="17"/>
      <c r="E103" s="19"/>
      <c r="F103" s="7" t="str">
        <f aca="false">IF(A103="","",E103+Config!$B$4*7)</f>
        <v/>
      </c>
      <c r="G103" s="11" t="str">
        <f aca="true">IF(A103="","",MAX(0,MIN(Config!$B$4,INT((TODAY()-E103)/7)+1)))</f>
        <v/>
      </c>
      <c r="H103" s="11" t="str">
        <f aca="true">IF(A103="","",IF(TODAY()&lt;E103,"Not Started",IF(TODAY()&gt;F103,"Completed",IF(G103=1,"Onboarding",IF(G103&lt;=3,"Sprint 1",IF(G103&lt;=5,"Sprint 2",IF(G103&lt;=7,"Sprint 3",IF(G103&lt;=9,"Sprint 4","Final"))))))))</f>
        <v/>
      </c>
      <c r="I103" s="11" t="str">
        <f aca="true">IF(A103="","",IF(TODAY()&lt;E103,"Start",IF(TODAY()&lt;=E103+7,"Charter Approved",IF(TODAY()&lt;=E103+21,"Sprint 1 Review",IF(TODAY()&lt;=E103+35,"Sprint 2 Review",IF(TODAY()&lt;=E103+49,"Sprint 3 Review",IF(TODAY()&lt;=E103+63,"Sprint 4 Review","Final Review")))))))</f>
        <v/>
      </c>
      <c r="J103" s="7" t="str">
        <f aca="true">IF(A103="","",IF(TODAY()&lt;E103,E103,IF(TODAY()&lt;=E103+7,E103+7,IF(TODAY()&lt;=E103+21,E103+21,IF(TODAY()&lt;=E103+35,E103+35,IF(TODAY()&lt;=E103+49,E103+49,IF(TODAY()&lt;=E103+63,E103+63,E103+70)))))))</f>
        <v/>
      </c>
      <c r="K103" s="11" t="str">
        <f aca="true">IF(A103="","",J103-TODAY())</f>
        <v/>
      </c>
      <c r="L103" s="7" t="str">
        <f aca="false">IF(A103="","",IFERROR(LOOKUP(2,1/('Weekly Check-in'!$B$4:$B$1003=A103),'Weekly Check-in'!$A$4:$A$1003),""))</f>
        <v/>
      </c>
      <c r="M103" s="11" t="str">
        <f aca="true">IF(A103="","",IF(L103="","",TODAY()-L103))</f>
        <v/>
      </c>
      <c r="N103" s="11" t="str">
        <f aca="false">IF(A103="","",COUNTIFS('Weekly Check-in'!$B$4:$B$1003,A103,'Weekly Check-in'!$H$4:$H$1003,"&lt;&gt;"))</f>
        <v/>
      </c>
      <c r="O103" s="11" t="str">
        <f aca="true">IF(A103="","",IF(OR(R103="Completed",R103="Withdrawn",TODAY()&lt;E103),"GREEN",IF(L103="","YELLOW",IF(M103&gt;=Config!$B$7,"RED",IF(OR(M103&gt;=Config!$B$6,AND(K103&lt;=Config!$B$8,N103&gt;0)),"YELLOW",IF(N103&gt;0,"YELLOW","GREEN"))))))</f>
        <v/>
      </c>
      <c r="P103" s="17"/>
      <c r="Q103" s="11" t="str">
        <f aca="false">IF(A103="","",IF(P103&lt;&gt;"",P103,O103))</f>
        <v/>
      </c>
      <c r="R103" s="17"/>
      <c r="S103" s="18"/>
      <c r="T103" s="18"/>
    </row>
    <row r="104" customFormat="false" ht="15" hidden="false" customHeight="true" outlineLevel="0" collapsed="false">
      <c r="A104" s="17"/>
      <c r="B104" s="17"/>
      <c r="C104" s="17"/>
      <c r="D104" s="17"/>
      <c r="E104" s="19"/>
      <c r="F104" s="7" t="str">
        <f aca="false">IF(A104="","",E104+Config!$B$4*7)</f>
        <v/>
      </c>
      <c r="G104" s="11" t="str">
        <f aca="true">IF(A104="","",MAX(0,MIN(Config!$B$4,INT((TODAY()-E104)/7)+1)))</f>
        <v/>
      </c>
      <c r="H104" s="11" t="str">
        <f aca="true">IF(A104="","",IF(TODAY()&lt;E104,"Not Started",IF(TODAY()&gt;F104,"Completed",IF(G104=1,"Onboarding",IF(G104&lt;=3,"Sprint 1",IF(G104&lt;=5,"Sprint 2",IF(G104&lt;=7,"Sprint 3",IF(G104&lt;=9,"Sprint 4","Final"))))))))</f>
        <v/>
      </c>
      <c r="I104" s="11" t="str">
        <f aca="true">IF(A104="","",IF(TODAY()&lt;E104,"Start",IF(TODAY()&lt;=E104+7,"Charter Approved",IF(TODAY()&lt;=E104+21,"Sprint 1 Review",IF(TODAY()&lt;=E104+35,"Sprint 2 Review",IF(TODAY()&lt;=E104+49,"Sprint 3 Review",IF(TODAY()&lt;=E104+63,"Sprint 4 Review","Final Review")))))))</f>
        <v/>
      </c>
      <c r="J104" s="7" t="str">
        <f aca="true">IF(A104="","",IF(TODAY()&lt;E104,E104,IF(TODAY()&lt;=E104+7,E104+7,IF(TODAY()&lt;=E104+21,E104+21,IF(TODAY()&lt;=E104+35,E104+35,IF(TODAY()&lt;=E104+49,E104+49,IF(TODAY()&lt;=E104+63,E104+63,E104+70)))))))</f>
        <v/>
      </c>
      <c r="K104" s="11" t="str">
        <f aca="true">IF(A104="","",J104-TODAY())</f>
        <v/>
      </c>
      <c r="L104" s="7" t="str">
        <f aca="false">IF(A104="","",IFERROR(LOOKUP(2,1/('Weekly Check-in'!$B$4:$B$1003=A104),'Weekly Check-in'!$A$4:$A$1003),""))</f>
        <v/>
      </c>
      <c r="M104" s="11" t="str">
        <f aca="true">IF(A104="","",IF(L104="","",TODAY()-L104))</f>
        <v/>
      </c>
      <c r="N104" s="11" t="str">
        <f aca="false">IF(A104="","",COUNTIFS('Weekly Check-in'!$B$4:$B$1003,A104,'Weekly Check-in'!$H$4:$H$1003,"&lt;&gt;"))</f>
        <v/>
      </c>
      <c r="O104" s="11" t="str">
        <f aca="true">IF(A104="","",IF(OR(R104="Completed",R104="Withdrawn",TODAY()&lt;E104),"GREEN",IF(L104="","YELLOW",IF(M104&gt;=Config!$B$7,"RED",IF(OR(M104&gt;=Config!$B$6,AND(K104&lt;=Config!$B$8,N104&gt;0)),"YELLOW",IF(N104&gt;0,"YELLOW","GREEN"))))))</f>
        <v/>
      </c>
      <c r="P104" s="17"/>
      <c r="Q104" s="11" t="str">
        <f aca="false">IF(A104="","",IF(P104&lt;&gt;"",P104,O104))</f>
        <v/>
      </c>
      <c r="R104" s="17"/>
      <c r="S104" s="18"/>
      <c r="T104" s="18"/>
    </row>
    <row r="105" customFormat="false" ht="15" hidden="false" customHeight="true" outlineLevel="0" collapsed="false">
      <c r="A105" s="17"/>
      <c r="B105" s="17"/>
      <c r="C105" s="17"/>
      <c r="D105" s="17"/>
      <c r="E105" s="19"/>
      <c r="F105" s="7" t="str">
        <f aca="false">IF(A105="","",E105+Config!$B$4*7)</f>
        <v/>
      </c>
      <c r="G105" s="11" t="str">
        <f aca="true">IF(A105="","",MAX(0,MIN(Config!$B$4,INT((TODAY()-E105)/7)+1)))</f>
        <v/>
      </c>
      <c r="H105" s="11" t="str">
        <f aca="true">IF(A105="","",IF(TODAY()&lt;E105,"Not Started",IF(TODAY()&gt;F105,"Completed",IF(G105=1,"Onboarding",IF(G105&lt;=3,"Sprint 1",IF(G105&lt;=5,"Sprint 2",IF(G105&lt;=7,"Sprint 3",IF(G105&lt;=9,"Sprint 4","Final"))))))))</f>
        <v/>
      </c>
      <c r="I105" s="11" t="str">
        <f aca="true">IF(A105="","",IF(TODAY()&lt;E105,"Start",IF(TODAY()&lt;=E105+7,"Charter Approved",IF(TODAY()&lt;=E105+21,"Sprint 1 Review",IF(TODAY()&lt;=E105+35,"Sprint 2 Review",IF(TODAY()&lt;=E105+49,"Sprint 3 Review",IF(TODAY()&lt;=E105+63,"Sprint 4 Review","Final Review")))))))</f>
        <v/>
      </c>
      <c r="J105" s="7" t="str">
        <f aca="true">IF(A105="","",IF(TODAY()&lt;E105,E105,IF(TODAY()&lt;=E105+7,E105+7,IF(TODAY()&lt;=E105+21,E105+21,IF(TODAY()&lt;=E105+35,E105+35,IF(TODAY()&lt;=E105+49,E105+49,IF(TODAY()&lt;=E105+63,E105+63,E105+70)))))))</f>
        <v/>
      </c>
      <c r="K105" s="11" t="str">
        <f aca="true">IF(A105="","",J105-TODAY())</f>
        <v/>
      </c>
      <c r="L105" s="7" t="str">
        <f aca="false">IF(A105="","",IFERROR(LOOKUP(2,1/('Weekly Check-in'!$B$4:$B$1003=A105),'Weekly Check-in'!$A$4:$A$1003),""))</f>
        <v/>
      </c>
      <c r="M105" s="11" t="str">
        <f aca="true">IF(A105="","",IF(L105="","",TODAY()-L105))</f>
        <v/>
      </c>
      <c r="N105" s="11" t="str">
        <f aca="false">IF(A105="","",COUNTIFS('Weekly Check-in'!$B$4:$B$1003,A105,'Weekly Check-in'!$H$4:$H$1003,"&lt;&gt;"))</f>
        <v/>
      </c>
      <c r="O105" s="11" t="str">
        <f aca="true">IF(A105="","",IF(OR(R105="Completed",R105="Withdrawn",TODAY()&lt;E105),"GREEN",IF(L105="","YELLOW",IF(M105&gt;=Config!$B$7,"RED",IF(OR(M105&gt;=Config!$B$6,AND(K105&lt;=Config!$B$8,N105&gt;0)),"YELLOW",IF(N105&gt;0,"YELLOW","GREEN"))))))</f>
        <v/>
      </c>
      <c r="P105" s="17"/>
      <c r="Q105" s="11" t="str">
        <f aca="false">IF(A105="","",IF(P105&lt;&gt;"",P105,O105))</f>
        <v/>
      </c>
      <c r="R105" s="17"/>
      <c r="S105" s="18"/>
      <c r="T105" s="18"/>
    </row>
    <row r="106" customFormat="false" ht="15" hidden="false" customHeight="true" outlineLevel="0" collapsed="false">
      <c r="A106" s="17"/>
      <c r="B106" s="17"/>
      <c r="C106" s="17"/>
      <c r="D106" s="17"/>
      <c r="E106" s="19"/>
      <c r="F106" s="7" t="str">
        <f aca="false">IF(A106="","",E106+Config!$B$4*7)</f>
        <v/>
      </c>
      <c r="G106" s="11" t="str">
        <f aca="true">IF(A106="","",MAX(0,MIN(Config!$B$4,INT((TODAY()-E106)/7)+1)))</f>
        <v/>
      </c>
      <c r="H106" s="11" t="str">
        <f aca="true">IF(A106="","",IF(TODAY()&lt;E106,"Not Started",IF(TODAY()&gt;F106,"Completed",IF(G106=1,"Onboarding",IF(G106&lt;=3,"Sprint 1",IF(G106&lt;=5,"Sprint 2",IF(G106&lt;=7,"Sprint 3",IF(G106&lt;=9,"Sprint 4","Final"))))))))</f>
        <v/>
      </c>
      <c r="I106" s="11" t="str">
        <f aca="true">IF(A106="","",IF(TODAY()&lt;E106,"Start",IF(TODAY()&lt;=E106+7,"Charter Approved",IF(TODAY()&lt;=E106+21,"Sprint 1 Review",IF(TODAY()&lt;=E106+35,"Sprint 2 Review",IF(TODAY()&lt;=E106+49,"Sprint 3 Review",IF(TODAY()&lt;=E106+63,"Sprint 4 Review","Final Review")))))))</f>
        <v/>
      </c>
      <c r="J106" s="7" t="str">
        <f aca="true">IF(A106="","",IF(TODAY()&lt;E106,E106,IF(TODAY()&lt;=E106+7,E106+7,IF(TODAY()&lt;=E106+21,E106+21,IF(TODAY()&lt;=E106+35,E106+35,IF(TODAY()&lt;=E106+49,E106+49,IF(TODAY()&lt;=E106+63,E106+63,E106+70)))))))</f>
        <v/>
      </c>
      <c r="K106" s="11" t="str">
        <f aca="true">IF(A106="","",J106-TODAY())</f>
        <v/>
      </c>
      <c r="L106" s="7" t="str">
        <f aca="false">IF(A106="","",IFERROR(LOOKUP(2,1/('Weekly Check-in'!$B$4:$B$1003=A106),'Weekly Check-in'!$A$4:$A$1003),""))</f>
        <v/>
      </c>
      <c r="M106" s="11" t="str">
        <f aca="true">IF(A106="","",IF(L106="","",TODAY()-L106))</f>
        <v/>
      </c>
      <c r="N106" s="11" t="str">
        <f aca="false">IF(A106="","",COUNTIFS('Weekly Check-in'!$B$4:$B$1003,A106,'Weekly Check-in'!$H$4:$H$1003,"&lt;&gt;"))</f>
        <v/>
      </c>
      <c r="O106" s="11" t="str">
        <f aca="true">IF(A106="","",IF(OR(R106="Completed",R106="Withdrawn",TODAY()&lt;E106),"GREEN",IF(L106="","YELLOW",IF(M106&gt;=Config!$B$7,"RED",IF(OR(M106&gt;=Config!$B$6,AND(K106&lt;=Config!$B$8,N106&gt;0)),"YELLOW",IF(N106&gt;0,"YELLOW","GREEN"))))))</f>
        <v/>
      </c>
      <c r="P106" s="17"/>
      <c r="Q106" s="11" t="str">
        <f aca="false">IF(A106="","",IF(P106&lt;&gt;"",P106,O106))</f>
        <v/>
      </c>
      <c r="R106" s="17"/>
      <c r="S106" s="18"/>
      <c r="T106" s="18"/>
    </row>
    <row r="107" customFormat="false" ht="15" hidden="false" customHeight="true" outlineLevel="0" collapsed="false">
      <c r="A107" s="17"/>
      <c r="B107" s="17"/>
      <c r="C107" s="17"/>
      <c r="D107" s="17"/>
      <c r="E107" s="19"/>
      <c r="F107" s="7" t="str">
        <f aca="false">IF(A107="","",E107+Config!$B$4*7)</f>
        <v/>
      </c>
      <c r="G107" s="11" t="str">
        <f aca="true">IF(A107="","",MAX(0,MIN(Config!$B$4,INT((TODAY()-E107)/7)+1)))</f>
        <v/>
      </c>
      <c r="H107" s="11" t="str">
        <f aca="true">IF(A107="","",IF(TODAY()&lt;E107,"Not Started",IF(TODAY()&gt;F107,"Completed",IF(G107=1,"Onboarding",IF(G107&lt;=3,"Sprint 1",IF(G107&lt;=5,"Sprint 2",IF(G107&lt;=7,"Sprint 3",IF(G107&lt;=9,"Sprint 4","Final"))))))))</f>
        <v/>
      </c>
      <c r="I107" s="11" t="str">
        <f aca="true">IF(A107="","",IF(TODAY()&lt;E107,"Start",IF(TODAY()&lt;=E107+7,"Charter Approved",IF(TODAY()&lt;=E107+21,"Sprint 1 Review",IF(TODAY()&lt;=E107+35,"Sprint 2 Review",IF(TODAY()&lt;=E107+49,"Sprint 3 Review",IF(TODAY()&lt;=E107+63,"Sprint 4 Review","Final Review")))))))</f>
        <v/>
      </c>
      <c r="J107" s="7" t="str">
        <f aca="true">IF(A107="","",IF(TODAY()&lt;E107,E107,IF(TODAY()&lt;=E107+7,E107+7,IF(TODAY()&lt;=E107+21,E107+21,IF(TODAY()&lt;=E107+35,E107+35,IF(TODAY()&lt;=E107+49,E107+49,IF(TODAY()&lt;=E107+63,E107+63,E107+70)))))))</f>
        <v/>
      </c>
      <c r="K107" s="11" t="str">
        <f aca="true">IF(A107="","",J107-TODAY())</f>
        <v/>
      </c>
      <c r="L107" s="7" t="str">
        <f aca="false">IF(A107="","",IFERROR(LOOKUP(2,1/('Weekly Check-in'!$B$4:$B$1003=A107),'Weekly Check-in'!$A$4:$A$1003),""))</f>
        <v/>
      </c>
      <c r="M107" s="11" t="str">
        <f aca="true">IF(A107="","",IF(L107="","",TODAY()-L107))</f>
        <v/>
      </c>
      <c r="N107" s="11" t="str">
        <f aca="false">IF(A107="","",COUNTIFS('Weekly Check-in'!$B$4:$B$1003,A107,'Weekly Check-in'!$H$4:$H$1003,"&lt;&gt;"))</f>
        <v/>
      </c>
      <c r="O107" s="11" t="str">
        <f aca="true">IF(A107="","",IF(OR(R107="Completed",R107="Withdrawn",TODAY()&lt;E107),"GREEN",IF(L107="","YELLOW",IF(M107&gt;=Config!$B$7,"RED",IF(OR(M107&gt;=Config!$B$6,AND(K107&lt;=Config!$B$8,N107&gt;0)),"YELLOW",IF(N107&gt;0,"YELLOW","GREEN"))))))</f>
        <v/>
      </c>
      <c r="P107" s="17"/>
      <c r="Q107" s="11" t="str">
        <f aca="false">IF(A107="","",IF(P107&lt;&gt;"",P107,O107))</f>
        <v/>
      </c>
      <c r="R107" s="17"/>
      <c r="S107" s="18"/>
      <c r="T107" s="18"/>
    </row>
    <row r="108" customFormat="false" ht="15" hidden="false" customHeight="true" outlineLevel="0" collapsed="false">
      <c r="A108" s="17"/>
      <c r="B108" s="17"/>
      <c r="C108" s="17"/>
      <c r="D108" s="17"/>
      <c r="E108" s="19"/>
      <c r="F108" s="7" t="str">
        <f aca="false">IF(A108="","",E108+Config!$B$4*7)</f>
        <v/>
      </c>
      <c r="G108" s="11" t="str">
        <f aca="true">IF(A108="","",MAX(0,MIN(Config!$B$4,INT((TODAY()-E108)/7)+1)))</f>
        <v/>
      </c>
      <c r="H108" s="11" t="str">
        <f aca="true">IF(A108="","",IF(TODAY()&lt;E108,"Not Started",IF(TODAY()&gt;F108,"Completed",IF(G108=1,"Onboarding",IF(G108&lt;=3,"Sprint 1",IF(G108&lt;=5,"Sprint 2",IF(G108&lt;=7,"Sprint 3",IF(G108&lt;=9,"Sprint 4","Final"))))))))</f>
        <v/>
      </c>
      <c r="I108" s="11" t="str">
        <f aca="true">IF(A108="","",IF(TODAY()&lt;E108,"Start",IF(TODAY()&lt;=E108+7,"Charter Approved",IF(TODAY()&lt;=E108+21,"Sprint 1 Review",IF(TODAY()&lt;=E108+35,"Sprint 2 Review",IF(TODAY()&lt;=E108+49,"Sprint 3 Review",IF(TODAY()&lt;=E108+63,"Sprint 4 Review","Final Review")))))))</f>
        <v/>
      </c>
      <c r="J108" s="7" t="str">
        <f aca="true">IF(A108="","",IF(TODAY()&lt;E108,E108,IF(TODAY()&lt;=E108+7,E108+7,IF(TODAY()&lt;=E108+21,E108+21,IF(TODAY()&lt;=E108+35,E108+35,IF(TODAY()&lt;=E108+49,E108+49,IF(TODAY()&lt;=E108+63,E108+63,E108+70)))))))</f>
        <v/>
      </c>
      <c r="K108" s="11" t="str">
        <f aca="true">IF(A108="","",J108-TODAY())</f>
        <v/>
      </c>
      <c r="L108" s="7" t="str">
        <f aca="false">IF(A108="","",IFERROR(LOOKUP(2,1/('Weekly Check-in'!$B$4:$B$1003=A108),'Weekly Check-in'!$A$4:$A$1003),""))</f>
        <v/>
      </c>
      <c r="M108" s="11" t="str">
        <f aca="true">IF(A108="","",IF(L108="","",TODAY()-L108))</f>
        <v/>
      </c>
      <c r="N108" s="11" t="str">
        <f aca="false">IF(A108="","",COUNTIFS('Weekly Check-in'!$B$4:$B$1003,A108,'Weekly Check-in'!$H$4:$H$1003,"&lt;&gt;"))</f>
        <v/>
      </c>
      <c r="O108" s="11" t="str">
        <f aca="true">IF(A108="","",IF(OR(R108="Completed",R108="Withdrawn",TODAY()&lt;E108),"GREEN",IF(L108="","YELLOW",IF(M108&gt;=Config!$B$7,"RED",IF(OR(M108&gt;=Config!$B$6,AND(K108&lt;=Config!$B$8,N108&gt;0)),"YELLOW",IF(N108&gt;0,"YELLOW","GREEN"))))))</f>
        <v/>
      </c>
      <c r="P108" s="17"/>
      <c r="Q108" s="11" t="str">
        <f aca="false">IF(A108="","",IF(P108&lt;&gt;"",P108,O108))</f>
        <v/>
      </c>
      <c r="R108" s="17"/>
      <c r="S108" s="18"/>
      <c r="T108" s="18"/>
    </row>
    <row r="109" customFormat="false" ht="15" hidden="false" customHeight="true" outlineLevel="0" collapsed="false">
      <c r="A109" s="17"/>
      <c r="B109" s="17"/>
      <c r="C109" s="17"/>
      <c r="D109" s="17"/>
      <c r="E109" s="19"/>
      <c r="F109" s="7" t="str">
        <f aca="false">IF(A109="","",E109+Config!$B$4*7)</f>
        <v/>
      </c>
      <c r="G109" s="11" t="str">
        <f aca="true">IF(A109="","",MAX(0,MIN(Config!$B$4,INT((TODAY()-E109)/7)+1)))</f>
        <v/>
      </c>
      <c r="H109" s="11" t="str">
        <f aca="true">IF(A109="","",IF(TODAY()&lt;E109,"Not Started",IF(TODAY()&gt;F109,"Completed",IF(G109=1,"Onboarding",IF(G109&lt;=3,"Sprint 1",IF(G109&lt;=5,"Sprint 2",IF(G109&lt;=7,"Sprint 3",IF(G109&lt;=9,"Sprint 4","Final"))))))))</f>
        <v/>
      </c>
      <c r="I109" s="11" t="str">
        <f aca="true">IF(A109="","",IF(TODAY()&lt;E109,"Start",IF(TODAY()&lt;=E109+7,"Charter Approved",IF(TODAY()&lt;=E109+21,"Sprint 1 Review",IF(TODAY()&lt;=E109+35,"Sprint 2 Review",IF(TODAY()&lt;=E109+49,"Sprint 3 Review",IF(TODAY()&lt;=E109+63,"Sprint 4 Review","Final Review")))))))</f>
        <v/>
      </c>
      <c r="J109" s="7" t="str">
        <f aca="true">IF(A109="","",IF(TODAY()&lt;E109,E109,IF(TODAY()&lt;=E109+7,E109+7,IF(TODAY()&lt;=E109+21,E109+21,IF(TODAY()&lt;=E109+35,E109+35,IF(TODAY()&lt;=E109+49,E109+49,IF(TODAY()&lt;=E109+63,E109+63,E109+70)))))))</f>
        <v/>
      </c>
      <c r="K109" s="11" t="str">
        <f aca="true">IF(A109="","",J109-TODAY())</f>
        <v/>
      </c>
      <c r="L109" s="7" t="str">
        <f aca="false">IF(A109="","",IFERROR(LOOKUP(2,1/('Weekly Check-in'!$B$4:$B$1003=A109),'Weekly Check-in'!$A$4:$A$1003),""))</f>
        <v/>
      </c>
      <c r="M109" s="11" t="str">
        <f aca="true">IF(A109="","",IF(L109="","",TODAY()-L109))</f>
        <v/>
      </c>
      <c r="N109" s="11" t="str">
        <f aca="false">IF(A109="","",COUNTIFS('Weekly Check-in'!$B$4:$B$1003,A109,'Weekly Check-in'!$H$4:$H$1003,"&lt;&gt;"))</f>
        <v/>
      </c>
      <c r="O109" s="11" t="str">
        <f aca="true">IF(A109="","",IF(OR(R109="Completed",R109="Withdrawn",TODAY()&lt;E109),"GREEN",IF(L109="","YELLOW",IF(M109&gt;=Config!$B$7,"RED",IF(OR(M109&gt;=Config!$B$6,AND(K109&lt;=Config!$B$8,N109&gt;0)),"YELLOW",IF(N109&gt;0,"YELLOW","GREEN"))))))</f>
        <v/>
      </c>
      <c r="P109" s="17"/>
      <c r="Q109" s="11" t="str">
        <f aca="false">IF(A109="","",IF(P109&lt;&gt;"",P109,O109))</f>
        <v/>
      </c>
      <c r="R109" s="17"/>
      <c r="S109" s="18"/>
      <c r="T109" s="18"/>
    </row>
    <row r="110" customFormat="false" ht="15" hidden="false" customHeight="true" outlineLevel="0" collapsed="false">
      <c r="A110" s="17"/>
      <c r="B110" s="17"/>
      <c r="C110" s="17"/>
      <c r="D110" s="17"/>
      <c r="E110" s="19"/>
      <c r="F110" s="7" t="str">
        <f aca="false">IF(A110="","",E110+Config!$B$4*7)</f>
        <v/>
      </c>
      <c r="G110" s="11" t="str">
        <f aca="true">IF(A110="","",MAX(0,MIN(Config!$B$4,INT((TODAY()-E110)/7)+1)))</f>
        <v/>
      </c>
      <c r="H110" s="11" t="str">
        <f aca="true">IF(A110="","",IF(TODAY()&lt;E110,"Not Started",IF(TODAY()&gt;F110,"Completed",IF(G110=1,"Onboarding",IF(G110&lt;=3,"Sprint 1",IF(G110&lt;=5,"Sprint 2",IF(G110&lt;=7,"Sprint 3",IF(G110&lt;=9,"Sprint 4","Final"))))))))</f>
        <v/>
      </c>
      <c r="I110" s="11" t="str">
        <f aca="true">IF(A110="","",IF(TODAY()&lt;E110,"Start",IF(TODAY()&lt;=E110+7,"Charter Approved",IF(TODAY()&lt;=E110+21,"Sprint 1 Review",IF(TODAY()&lt;=E110+35,"Sprint 2 Review",IF(TODAY()&lt;=E110+49,"Sprint 3 Review",IF(TODAY()&lt;=E110+63,"Sprint 4 Review","Final Review")))))))</f>
        <v/>
      </c>
      <c r="J110" s="7" t="str">
        <f aca="true">IF(A110="","",IF(TODAY()&lt;E110,E110,IF(TODAY()&lt;=E110+7,E110+7,IF(TODAY()&lt;=E110+21,E110+21,IF(TODAY()&lt;=E110+35,E110+35,IF(TODAY()&lt;=E110+49,E110+49,IF(TODAY()&lt;=E110+63,E110+63,E110+70)))))))</f>
        <v/>
      </c>
      <c r="K110" s="11" t="str">
        <f aca="true">IF(A110="","",J110-TODAY())</f>
        <v/>
      </c>
      <c r="L110" s="7" t="str">
        <f aca="false">IF(A110="","",IFERROR(LOOKUP(2,1/('Weekly Check-in'!$B$4:$B$1003=A110),'Weekly Check-in'!$A$4:$A$1003),""))</f>
        <v/>
      </c>
      <c r="M110" s="11" t="str">
        <f aca="true">IF(A110="","",IF(L110="","",TODAY()-L110))</f>
        <v/>
      </c>
      <c r="N110" s="11" t="str">
        <f aca="false">IF(A110="","",COUNTIFS('Weekly Check-in'!$B$4:$B$1003,A110,'Weekly Check-in'!$H$4:$H$1003,"&lt;&gt;"))</f>
        <v/>
      </c>
      <c r="O110" s="11" t="str">
        <f aca="true">IF(A110="","",IF(OR(R110="Completed",R110="Withdrawn",TODAY()&lt;E110),"GREEN",IF(L110="","YELLOW",IF(M110&gt;=Config!$B$7,"RED",IF(OR(M110&gt;=Config!$B$6,AND(K110&lt;=Config!$B$8,N110&gt;0)),"YELLOW",IF(N110&gt;0,"YELLOW","GREEN"))))))</f>
        <v/>
      </c>
      <c r="P110" s="17"/>
      <c r="Q110" s="11" t="str">
        <f aca="false">IF(A110="","",IF(P110&lt;&gt;"",P110,O110))</f>
        <v/>
      </c>
      <c r="R110" s="17"/>
      <c r="S110" s="18"/>
      <c r="T110" s="18"/>
    </row>
    <row r="111" customFormat="false" ht="15" hidden="false" customHeight="true" outlineLevel="0" collapsed="false">
      <c r="A111" s="17"/>
      <c r="B111" s="17"/>
      <c r="C111" s="17"/>
      <c r="D111" s="17"/>
      <c r="E111" s="19"/>
      <c r="F111" s="7" t="str">
        <f aca="false">IF(A111="","",E111+Config!$B$4*7)</f>
        <v/>
      </c>
      <c r="G111" s="11" t="str">
        <f aca="true">IF(A111="","",MAX(0,MIN(Config!$B$4,INT((TODAY()-E111)/7)+1)))</f>
        <v/>
      </c>
      <c r="H111" s="11" t="str">
        <f aca="true">IF(A111="","",IF(TODAY()&lt;E111,"Not Started",IF(TODAY()&gt;F111,"Completed",IF(G111=1,"Onboarding",IF(G111&lt;=3,"Sprint 1",IF(G111&lt;=5,"Sprint 2",IF(G111&lt;=7,"Sprint 3",IF(G111&lt;=9,"Sprint 4","Final"))))))))</f>
        <v/>
      </c>
      <c r="I111" s="11" t="str">
        <f aca="true">IF(A111="","",IF(TODAY()&lt;E111,"Start",IF(TODAY()&lt;=E111+7,"Charter Approved",IF(TODAY()&lt;=E111+21,"Sprint 1 Review",IF(TODAY()&lt;=E111+35,"Sprint 2 Review",IF(TODAY()&lt;=E111+49,"Sprint 3 Review",IF(TODAY()&lt;=E111+63,"Sprint 4 Review","Final Review")))))))</f>
        <v/>
      </c>
      <c r="J111" s="7" t="str">
        <f aca="true">IF(A111="","",IF(TODAY()&lt;E111,E111,IF(TODAY()&lt;=E111+7,E111+7,IF(TODAY()&lt;=E111+21,E111+21,IF(TODAY()&lt;=E111+35,E111+35,IF(TODAY()&lt;=E111+49,E111+49,IF(TODAY()&lt;=E111+63,E111+63,E111+70)))))))</f>
        <v/>
      </c>
      <c r="K111" s="11" t="str">
        <f aca="true">IF(A111="","",J111-TODAY())</f>
        <v/>
      </c>
      <c r="L111" s="7" t="str">
        <f aca="false">IF(A111="","",IFERROR(LOOKUP(2,1/('Weekly Check-in'!$B$4:$B$1003=A111),'Weekly Check-in'!$A$4:$A$1003),""))</f>
        <v/>
      </c>
      <c r="M111" s="11" t="str">
        <f aca="true">IF(A111="","",IF(L111="","",TODAY()-L111))</f>
        <v/>
      </c>
      <c r="N111" s="11" t="str">
        <f aca="false">IF(A111="","",COUNTIFS('Weekly Check-in'!$B$4:$B$1003,A111,'Weekly Check-in'!$H$4:$H$1003,"&lt;&gt;"))</f>
        <v/>
      </c>
      <c r="O111" s="11" t="str">
        <f aca="true">IF(A111="","",IF(OR(R111="Completed",R111="Withdrawn",TODAY()&lt;E111),"GREEN",IF(L111="","YELLOW",IF(M111&gt;=Config!$B$7,"RED",IF(OR(M111&gt;=Config!$B$6,AND(K111&lt;=Config!$B$8,N111&gt;0)),"YELLOW",IF(N111&gt;0,"YELLOW","GREEN"))))))</f>
        <v/>
      </c>
      <c r="P111" s="17"/>
      <c r="Q111" s="11" t="str">
        <f aca="false">IF(A111="","",IF(P111&lt;&gt;"",P111,O111))</f>
        <v/>
      </c>
      <c r="R111" s="17"/>
      <c r="S111" s="18"/>
      <c r="T111" s="18"/>
    </row>
    <row r="112" customFormat="false" ht="15" hidden="false" customHeight="true" outlineLevel="0" collapsed="false">
      <c r="A112" s="17"/>
      <c r="B112" s="17"/>
      <c r="C112" s="17"/>
      <c r="D112" s="17"/>
      <c r="E112" s="19"/>
      <c r="F112" s="7" t="str">
        <f aca="false">IF(A112="","",E112+Config!$B$4*7)</f>
        <v/>
      </c>
      <c r="G112" s="11" t="str">
        <f aca="true">IF(A112="","",MAX(0,MIN(Config!$B$4,INT((TODAY()-E112)/7)+1)))</f>
        <v/>
      </c>
      <c r="H112" s="11" t="str">
        <f aca="true">IF(A112="","",IF(TODAY()&lt;E112,"Not Started",IF(TODAY()&gt;F112,"Completed",IF(G112=1,"Onboarding",IF(G112&lt;=3,"Sprint 1",IF(G112&lt;=5,"Sprint 2",IF(G112&lt;=7,"Sprint 3",IF(G112&lt;=9,"Sprint 4","Final"))))))))</f>
        <v/>
      </c>
      <c r="I112" s="11" t="str">
        <f aca="true">IF(A112="","",IF(TODAY()&lt;E112,"Start",IF(TODAY()&lt;=E112+7,"Charter Approved",IF(TODAY()&lt;=E112+21,"Sprint 1 Review",IF(TODAY()&lt;=E112+35,"Sprint 2 Review",IF(TODAY()&lt;=E112+49,"Sprint 3 Review",IF(TODAY()&lt;=E112+63,"Sprint 4 Review","Final Review")))))))</f>
        <v/>
      </c>
      <c r="J112" s="7" t="str">
        <f aca="true">IF(A112="","",IF(TODAY()&lt;E112,E112,IF(TODAY()&lt;=E112+7,E112+7,IF(TODAY()&lt;=E112+21,E112+21,IF(TODAY()&lt;=E112+35,E112+35,IF(TODAY()&lt;=E112+49,E112+49,IF(TODAY()&lt;=E112+63,E112+63,E112+70)))))))</f>
        <v/>
      </c>
      <c r="K112" s="11" t="str">
        <f aca="true">IF(A112="","",J112-TODAY())</f>
        <v/>
      </c>
      <c r="L112" s="7" t="str">
        <f aca="false">IF(A112="","",IFERROR(LOOKUP(2,1/('Weekly Check-in'!$B$4:$B$1003=A112),'Weekly Check-in'!$A$4:$A$1003),""))</f>
        <v/>
      </c>
      <c r="M112" s="11" t="str">
        <f aca="true">IF(A112="","",IF(L112="","",TODAY()-L112))</f>
        <v/>
      </c>
      <c r="N112" s="11" t="str">
        <f aca="false">IF(A112="","",COUNTIFS('Weekly Check-in'!$B$4:$B$1003,A112,'Weekly Check-in'!$H$4:$H$1003,"&lt;&gt;"))</f>
        <v/>
      </c>
      <c r="O112" s="11" t="str">
        <f aca="true">IF(A112="","",IF(OR(R112="Completed",R112="Withdrawn",TODAY()&lt;E112),"GREEN",IF(L112="","YELLOW",IF(M112&gt;=Config!$B$7,"RED",IF(OR(M112&gt;=Config!$B$6,AND(K112&lt;=Config!$B$8,N112&gt;0)),"YELLOW",IF(N112&gt;0,"YELLOW","GREEN"))))))</f>
        <v/>
      </c>
      <c r="P112" s="17"/>
      <c r="Q112" s="11" t="str">
        <f aca="false">IF(A112="","",IF(P112&lt;&gt;"",P112,O112))</f>
        <v/>
      </c>
      <c r="R112" s="17"/>
      <c r="S112" s="18"/>
      <c r="T112" s="18"/>
    </row>
    <row r="113" customFormat="false" ht="15" hidden="false" customHeight="true" outlineLevel="0" collapsed="false">
      <c r="A113" s="17"/>
      <c r="B113" s="17"/>
      <c r="C113" s="17"/>
      <c r="D113" s="17"/>
      <c r="E113" s="19"/>
      <c r="F113" s="7" t="str">
        <f aca="false">IF(A113="","",E113+Config!$B$4*7)</f>
        <v/>
      </c>
      <c r="G113" s="11" t="str">
        <f aca="true">IF(A113="","",MAX(0,MIN(Config!$B$4,INT((TODAY()-E113)/7)+1)))</f>
        <v/>
      </c>
      <c r="H113" s="11" t="str">
        <f aca="true">IF(A113="","",IF(TODAY()&lt;E113,"Not Started",IF(TODAY()&gt;F113,"Completed",IF(G113=1,"Onboarding",IF(G113&lt;=3,"Sprint 1",IF(G113&lt;=5,"Sprint 2",IF(G113&lt;=7,"Sprint 3",IF(G113&lt;=9,"Sprint 4","Final"))))))))</f>
        <v/>
      </c>
      <c r="I113" s="11" t="str">
        <f aca="true">IF(A113="","",IF(TODAY()&lt;E113,"Start",IF(TODAY()&lt;=E113+7,"Charter Approved",IF(TODAY()&lt;=E113+21,"Sprint 1 Review",IF(TODAY()&lt;=E113+35,"Sprint 2 Review",IF(TODAY()&lt;=E113+49,"Sprint 3 Review",IF(TODAY()&lt;=E113+63,"Sprint 4 Review","Final Review")))))))</f>
        <v/>
      </c>
      <c r="J113" s="7" t="str">
        <f aca="true">IF(A113="","",IF(TODAY()&lt;E113,E113,IF(TODAY()&lt;=E113+7,E113+7,IF(TODAY()&lt;=E113+21,E113+21,IF(TODAY()&lt;=E113+35,E113+35,IF(TODAY()&lt;=E113+49,E113+49,IF(TODAY()&lt;=E113+63,E113+63,E113+70)))))))</f>
        <v/>
      </c>
      <c r="K113" s="11" t="str">
        <f aca="true">IF(A113="","",J113-TODAY())</f>
        <v/>
      </c>
      <c r="L113" s="7" t="str">
        <f aca="false">IF(A113="","",IFERROR(LOOKUP(2,1/('Weekly Check-in'!$B$4:$B$1003=A113),'Weekly Check-in'!$A$4:$A$1003),""))</f>
        <v/>
      </c>
      <c r="M113" s="11" t="str">
        <f aca="true">IF(A113="","",IF(L113="","",TODAY()-L113))</f>
        <v/>
      </c>
      <c r="N113" s="11" t="str">
        <f aca="false">IF(A113="","",COUNTIFS('Weekly Check-in'!$B$4:$B$1003,A113,'Weekly Check-in'!$H$4:$H$1003,"&lt;&gt;"))</f>
        <v/>
      </c>
      <c r="O113" s="11" t="str">
        <f aca="true">IF(A113="","",IF(OR(R113="Completed",R113="Withdrawn",TODAY()&lt;E113),"GREEN",IF(L113="","YELLOW",IF(M113&gt;=Config!$B$7,"RED",IF(OR(M113&gt;=Config!$B$6,AND(K113&lt;=Config!$B$8,N113&gt;0)),"YELLOW",IF(N113&gt;0,"YELLOW","GREEN"))))))</f>
        <v/>
      </c>
      <c r="P113" s="17"/>
      <c r="Q113" s="11" t="str">
        <f aca="false">IF(A113="","",IF(P113&lt;&gt;"",P113,O113))</f>
        <v/>
      </c>
      <c r="R113" s="17"/>
      <c r="S113" s="18"/>
      <c r="T113" s="18"/>
    </row>
    <row r="114" customFormat="false" ht="15" hidden="false" customHeight="true" outlineLevel="0" collapsed="false">
      <c r="A114" s="17"/>
      <c r="B114" s="17"/>
      <c r="C114" s="17"/>
      <c r="D114" s="17"/>
      <c r="E114" s="19"/>
      <c r="F114" s="7" t="str">
        <f aca="false">IF(A114="","",E114+Config!$B$4*7)</f>
        <v/>
      </c>
      <c r="G114" s="11" t="str">
        <f aca="true">IF(A114="","",MAX(0,MIN(Config!$B$4,INT((TODAY()-E114)/7)+1)))</f>
        <v/>
      </c>
      <c r="H114" s="11" t="str">
        <f aca="true">IF(A114="","",IF(TODAY()&lt;E114,"Not Started",IF(TODAY()&gt;F114,"Completed",IF(G114=1,"Onboarding",IF(G114&lt;=3,"Sprint 1",IF(G114&lt;=5,"Sprint 2",IF(G114&lt;=7,"Sprint 3",IF(G114&lt;=9,"Sprint 4","Final"))))))))</f>
        <v/>
      </c>
      <c r="I114" s="11" t="str">
        <f aca="true">IF(A114="","",IF(TODAY()&lt;E114,"Start",IF(TODAY()&lt;=E114+7,"Charter Approved",IF(TODAY()&lt;=E114+21,"Sprint 1 Review",IF(TODAY()&lt;=E114+35,"Sprint 2 Review",IF(TODAY()&lt;=E114+49,"Sprint 3 Review",IF(TODAY()&lt;=E114+63,"Sprint 4 Review","Final Review")))))))</f>
        <v/>
      </c>
      <c r="J114" s="7" t="str">
        <f aca="true">IF(A114="","",IF(TODAY()&lt;E114,E114,IF(TODAY()&lt;=E114+7,E114+7,IF(TODAY()&lt;=E114+21,E114+21,IF(TODAY()&lt;=E114+35,E114+35,IF(TODAY()&lt;=E114+49,E114+49,IF(TODAY()&lt;=E114+63,E114+63,E114+70)))))))</f>
        <v/>
      </c>
      <c r="K114" s="11" t="str">
        <f aca="true">IF(A114="","",J114-TODAY())</f>
        <v/>
      </c>
      <c r="L114" s="7" t="str">
        <f aca="false">IF(A114="","",IFERROR(LOOKUP(2,1/('Weekly Check-in'!$B$4:$B$1003=A114),'Weekly Check-in'!$A$4:$A$1003),""))</f>
        <v/>
      </c>
      <c r="M114" s="11" t="str">
        <f aca="true">IF(A114="","",IF(L114="","",TODAY()-L114))</f>
        <v/>
      </c>
      <c r="N114" s="11" t="str">
        <f aca="false">IF(A114="","",COUNTIFS('Weekly Check-in'!$B$4:$B$1003,A114,'Weekly Check-in'!$H$4:$H$1003,"&lt;&gt;"))</f>
        <v/>
      </c>
      <c r="O114" s="11" t="str">
        <f aca="true">IF(A114="","",IF(OR(R114="Completed",R114="Withdrawn",TODAY()&lt;E114),"GREEN",IF(L114="","YELLOW",IF(M114&gt;=Config!$B$7,"RED",IF(OR(M114&gt;=Config!$B$6,AND(K114&lt;=Config!$B$8,N114&gt;0)),"YELLOW",IF(N114&gt;0,"YELLOW","GREEN"))))))</f>
        <v/>
      </c>
      <c r="P114" s="17"/>
      <c r="Q114" s="11" t="str">
        <f aca="false">IF(A114="","",IF(P114&lt;&gt;"",P114,O114))</f>
        <v/>
      </c>
      <c r="R114" s="17"/>
      <c r="S114" s="18"/>
      <c r="T114" s="18"/>
    </row>
    <row r="115" customFormat="false" ht="15" hidden="false" customHeight="true" outlineLevel="0" collapsed="false">
      <c r="A115" s="17"/>
      <c r="B115" s="17"/>
      <c r="C115" s="17"/>
      <c r="D115" s="17"/>
      <c r="E115" s="19"/>
      <c r="F115" s="7" t="str">
        <f aca="false">IF(A115="","",E115+Config!$B$4*7)</f>
        <v/>
      </c>
      <c r="G115" s="11" t="str">
        <f aca="true">IF(A115="","",MAX(0,MIN(Config!$B$4,INT((TODAY()-E115)/7)+1)))</f>
        <v/>
      </c>
      <c r="H115" s="11" t="str">
        <f aca="true">IF(A115="","",IF(TODAY()&lt;E115,"Not Started",IF(TODAY()&gt;F115,"Completed",IF(G115=1,"Onboarding",IF(G115&lt;=3,"Sprint 1",IF(G115&lt;=5,"Sprint 2",IF(G115&lt;=7,"Sprint 3",IF(G115&lt;=9,"Sprint 4","Final"))))))))</f>
        <v/>
      </c>
      <c r="I115" s="11" t="str">
        <f aca="true">IF(A115="","",IF(TODAY()&lt;E115,"Start",IF(TODAY()&lt;=E115+7,"Charter Approved",IF(TODAY()&lt;=E115+21,"Sprint 1 Review",IF(TODAY()&lt;=E115+35,"Sprint 2 Review",IF(TODAY()&lt;=E115+49,"Sprint 3 Review",IF(TODAY()&lt;=E115+63,"Sprint 4 Review","Final Review")))))))</f>
        <v/>
      </c>
      <c r="J115" s="7" t="str">
        <f aca="true">IF(A115="","",IF(TODAY()&lt;E115,E115,IF(TODAY()&lt;=E115+7,E115+7,IF(TODAY()&lt;=E115+21,E115+21,IF(TODAY()&lt;=E115+35,E115+35,IF(TODAY()&lt;=E115+49,E115+49,IF(TODAY()&lt;=E115+63,E115+63,E115+70)))))))</f>
        <v/>
      </c>
      <c r="K115" s="11" t="str">
        <f aca="true">IF(A115="","",J115-TODAY())</f>
        <v/>
      </c>
      <c r="L115" s="7" t="str">
        <f aca="false">IF(A115="","",IFERROR(LOOKUP(2,1/('Weekly Check-in'!$B$4:$B$1003=A115),'Weekly Check-in'!$A$4:$A$1003),""))</f>
        <v/>
      </c>
      <c r="M115" s="11" t="str">
        <f aca="true">IF(A115="","",IF(L115="","",TODAY()-L115))</f>
        <v/>
      </c>
      <c r="N115" s="11" t="str">
        <f aca="false">IF(A115="","",COUNTIFS('Weekly Check-in'!$B$4:$B$1003,A115,'Weekly Check-in'!$H$4:$H$1003,"&lt;&gt;"))</f>
        <v/>
      </c>
      <c r="O115" s="11" t="str">
        <f aca="true">IF(A115="","",IF(OR(R115="Completed",R115="Withdrawn",TODAY()&lt;E115),"GREEN",IF(L115="","YELLOW",IF(M115&gt;=Config!$B$7,"RED",IF(OR(M115&gt;=Config!$B$6,AND(K115&lt;=Config!$B$8,N115&gt;0)),"YELLOW",IF(N115&gt;0,"YELLOW","GREEN"))))))</f>
        <v/>
      </c>
      <c r="P115" s="17"/>
      <c r="Q115" s="11" t="str">
        <f aca="false">IF(A115="","",IF(P115&lt;&gt;"",P115,O115))</f>
        <v/>
      </c>
      <c r="R115" s="17"/>
      <c r="S115" s="18"/>
      <c r="T115" s="18"/>
    </row>
    <row r="116" customFormat="false" ht="15" hidden="false" customHeight="true" outlineLevel="0" collapsed="false">
      <c r="A116" s="17"/>
      <c r="B116" s="17"/>
      <c r="C116" s="17"/>
      <c r="D116" s="17"/>
      <c r="E116" s="19"/>
      <c r="F116" s="7" t="str">
        <f aca="false">IF(A116="","",E116+Config!$B$4*7)</f>
        <v/>
      </c>
      <c r="G116" s="11" t="str">
        <f aca="true">IF(A116="","",MAX(0,MIN(Config!$B$4,INT((TODAY()-E116)/7)+1)))</f>
        <v/>
      </c>
      <c r="H116" s="11" t="str">
        <f aca="true">IF(A116="","",IF(TODAY()&lt;E116,"Not Started",IF(TODAY()&gt;F116,"Completed",IF(G116=1,"Onboarding",IF(G116&lt;=3,"Sprint 1",IF(G116&lt;=5,"Sprint 2",IF(G116&lt;=7,"Sprint 3",IF(G116&lt;=9,"Sprint 4","Final"))))))))</f>
        <v/>
      </c>
      <c r="I116" s="11" t="str">
        <f aca="true">IF(A116="","",IF(TODAY()&lt;E116,"Start",IF(TODAY()&lt;=E116+7,"Charter Approved",IF(TODAY()&lt;=E116+21,"Sprint 1 Review",IF(TODAY()&lt;=E116+35,"Sprint 2 Review",IF(TODAY()&lt;=E116+49,"Sprint 3 Review",IF(TODAY()&lt;=E116+63,"Sprint 4 Review","Final Review")))))))</f>
        <v/>
      </c>
      <c r="J116" s="7" t="str">
        <f aca="true">IF(A116="","",IF(TODAY()&lt;E116,E116,IF(TODAY()&lt;=E116+7,E116+7,IF(TODAY()&lt;=E116+21,E116+21,IF(TODAY()&lt;=E116+35,E116+35,IF(TODAY()&lt;=E116+49,E116+49,IF(TODAY()&lt;=E116+63,E116+63,E116+70)))))))</f>
        <v/>
      </c>
      <c r="K116" s="11" t="str">
        <f aca="true">IF(A116="","",J116-TODAY())</f>
        <v/>
      </c>
      <c r="L116" s="7" t="str">
        <f aca="false">IF(A116="","",IFERROR(LOOKUP(2,1/('Weekly Check-in'!$B$4:$B$1003=A116),'Weekly Check-in'!$A$4:$A$1003),""))</f>
        <v/>
      </c>
      <c r="M116" s="11" t="str">
        <f aca="true">IF(A116="","",IF(L116="","",TODAY()-L116))</f>
        <v/>
      </c>
      <c r="N116" s="11" t="str">
        <f aca="false">IF(A116="","",COUNTIFS('Weekly Check-in'!$B$4:$B$1003,A116,'Weekly Check-in'!$H$4:$H$1003,"&lt;&gt;"))</f>
        <v/>
      </c>
      <c r="O116" s="11" t="str">
        <f aca="true">IF(A116="","",IF(OR(R116="Completed",R116="Withdrawn",TODAY()&lt;E116),"GREEN",IF(L116="","YELLOW",IF(M116&gt;=Config!$B$7,"RED",IF(OR(M116&gt;=Config!$B$6,AND(K116&lt;=Config!$B$8,N116&gt;0)),"YELLOW",IF(N116&gt;0,"YELLOW","GREEN"))))))</f>
        <v/>
      </c>
      <c r="P116" s="17"/>
      <c r="Q116" s="11" t="str">
        <f aca="false">IF(A116="","",IF(P116&lt;&gt;"",P116,O116))</f>
        <v/>
      </c>
      <c r="R116" s="17"/>
      <c r="S116" s="18"/>
      <c r="T116" s="18"/>
    </row>
    <row r="117" customFormat="false" ht="15" hidden="false" customHeight="true" outlineLevel="0" collapsed="false">
      <c r="A117" s="17"/>
      <c r="B117" s="17"/>
      <c r="C117" s="17"/>
      <c r="D117" s="17"/>
      <c r="E117" s="19"/>
      <c r="F117" s="7" t="str">
        <f aca="false">IF(A117="","",E117+Config!$B$4*7)</f>
        <v/>
      </c>
      <c r="G117" s="11" t="str">
        <f aca="true">IF(A117="","",MAX(0,MIN(Config!$B$4,INT((TODAY()-E117)/7)+1)))</f>
        <v/>
      </c>
      <c r="H117" s="11" t="str">
        <f aca="true">IF(A117="","",IF(TODAY()&lt;E117,"Not Started",IF(TODAY()&gt;F117,"Completed",IF(G117=1,"Onboarding",IF(G117&lt;=3,"Sprint 1",IF(G117&lt;=5,"Sprint 2",IF(G117&lt;=7,"Sprint 3",IF(G117&lt;=9,"Sprint 4","Final"))))))))</f>
        <v/>
      </c>
      <c r="I117" s="11" t="str">
        <f aca="true">IF(A117="","",IF(TODAY()&lt;E117,"Start",IF(TODAY()&lt;=E117+7,"Charter Approved",IF(TODAY()&lt;=E117+21,"Sprint 1 Review",IF(TODAY()&lt;=E117+35,"Sprint 2 Review",IF(TODAY()&lt;=E117+49,"Sprint 3 Review",IF(TODAY()&lt;=E117+63,"Sprint 4 Review","Final Review")))))))</f>
        <v/>
      </c>
      <c r="J117" s="7" t="str">
        <f aca="true">IF(A117="","",IF(TODAY()&lt;E117,E117,IF(TODAY()&lt;=E117+7,E117+7,IF(TODAY()&lt;=E117+21,E117+21,IF(TODAY()&lt;=E117+35,E117+35,IF(TODAY()&lt;=E117+49,E117+49,IF(TODAY()&lt;=E117+63,E117+63,E117+70)))))))</f>
        <v/>
      </c>
      <c r="K117" s="11" t="str">
        <f aca="true">IF(A117="","",J117-TODAY())</f>
        <v/>
      </c>
      <c r="L117" s="7" t="str">
        <f aca="false">IF(A117="","",IFERROR(LOOKUP(2,1/('Weekly Check-in'!$B$4:$B$1003=A117),'Weekly Check-in'!$A$4:$A$1003),""))</f>
        <v/>
      </c>
      <c r="M117" s="11" t="str">
        <f aca="true">IF(A117="","",IF(L117="","",TODAY()-L117))</f>
        <v/>
      </c>
      <c r="N117" s="11" t="str">
        <f aca="false">IF(A117="","",COUNTIFS('Weekly Check-in'!$B$4:$B$1003,A117,'Weekly Check-in'!$H$4:$H$1003,"&lt;&gt;"))</f>
        <v/>
      </c>
      <c r="O117" s="11" t="str">
        <f aca="true">IF(A117="","",IF(OR(R117="Completed",R117="Withdrawn",TODAY()&lt;E117),"GREEN",IF(L117="","YELLOW",IF(M117&gt;=Config!$B$7,"RED",IF(OR(M117&gt;=Config!$B$6,AND(K117&lt;=Config!$B$8,N117&gt;0)),"YELLOW",IF(N117&gt;0,"YELLOW","GREEN"))))))</f>
        <v/>
      </c>
      <c r="P117" s="17"/>
      <c r="Q117" s="11" t="str">
        <f aca="false">IF(A117="","",IF(P117&lt;&gt;"",P117,O117))</f>
        <v/>
      </c>
      <c r="R117" s="17"/>
      <c r="S117" s="18"/>
      <c r="T117" s="18"/>
    </row>
    <row r="118" customFormat="false" ht="15" hidden="false" customHeight="true" outlineLevel="0" collapsed="false">
      <c r="A118" s="17"/>
      <c r="B118" s="17"/>
      <c r="C118" s="17"/>
      <c r="D118" s="17"/>
      <c r="E118" s="19"/>
      <c r="F118" s="7" t="str">
        <f aca="false">IF(A118="","",E118+Config!$B$4*7)</f>
        <v/>
      </c>
      <c r="G118" s="11" t="str">
        <f aca="true">IF(A118="","",MAX(0,MIN(Config!$B$4,INT((TODAY()-E118)/7)+1)))</f>
        <v/>
      </c>
      <c r="H118" s="11" t="str">
        <f aca="true">IF(A118="","",IF(TODAY()&lt;E118,"Not Started",IF(TODAY()&gt;F118,"Completed",IF(G118=1,"Onboarding",IF(G118&lt;=3,"Sprint 1",IF(G118&lt;=5,"Sprint 2",IF(G118&lt;=7,"Sprint 3",IF(G118&lt;=9,"Sprint 4","Final"))))))))</f>
        <v/>
      </c>
      <c r="I118" s="11" t="str">
        <f aca="true">IF(A118="","",IF(TODAY()&lt;E118,"Start",IF(TODAY()&lt;=E118+7,"Charter Approved",IF(TODAY()&lt;=E118+21,"Sprint 1 Review",IF(TODAY()&lt;=E118+35,"Sprint 2 Review",IF(TODAY()&lt;=E118+49,"Sprint 3 Review",IF(TODAY()&lt;=E118+63,"Sprint 4 Review","Final Review")))))))</f>
        <v/>
      </c>
      <c r="J118" s="7" t="str">
        <f aca="true">IF(A118="","",IF(TODAY()&lt;E118,E118,IF(TODAY()&lt;=E118+7,E118+7,IF(TODAY()&lt;=E118+21,E118+21,IF(TODAY()&lt;=E118+35,E118+35,IF(TODAY()&lt;=E118+49,E118+49,IF(TODAY()&lt;=E118+63,E118+63,E118+70)))))))</f>
        <v/>
      </c>
      <c r="K118" s="11" t="str">
        <f aca="true">IF(A118="","",J118-TODAY())</f>
        <v/>
      </c>
      <c r="L118" s="7" t="str">
        <f aca="false">IF(A118="","",IFERROR(LOOKUP(2,1/('Weekly Check-in'!$B$4:$B$1003=A118),'Weekly Check-in'!$A$4:$A$1003),""))</f>
        <v/>
      </c>
      <c r="M118" s="11" t="str">
        <f aca="true">IF(A118="","",IF(L118="","",TODAY()-L118))</f>
        <v/>
      </c>
      <c r="N118" s="11" t="str">
        <f aca="false">IF(A118="","",COUNTIFS('Weekly Check-in'!$B$4:$B$1003,A118,'Weekly Check-in'!$H$4:$H$1003,"&lt;&gt;"))</f>
        <v/>
      </c>
      <c r="O118" s="11" t="str">
        <f aca="true">IF(A118="","",IF(OR(R118="Completed",R118="Withdrawn",TODAY()&lt;E118),"GREEN",IF(L118="","YELLOW",IF(M118&gt;=Config!$B$7,"RED",IF(OR(M118&gt;=Config!$B$6,AND(K118&lt;=Config!$B$8,N118&gt;0)),"YELLOW",IF(N118&gt;0,"YELLOW","GREEN"))))))</f>
        <v/>
      </c>
      <c r="P118" s="17"/>
      <c r="Q118" s="11" t="str">
        <f aca="false">IF(A118="","",IF(P118&lt;&gt;"",P118,O118))</f>
        <v/>
      </c>
      <c r="R118" s="17"/>
      <c r="S118" s="18"/>
      <c r="T118" s="18"/>
    </row>
    <row r="119" customFormat="false" ht="15" hidden="false" customHeight="true" outlineLevel="0" collapsed="false">
      <c r="A119" s="17"/>
      <c r="B119" s="17"/>
      <c r="C119" s="17"/>
      <c r="D119" s="17"/>
      <c r="E119" s="19"/>
      <c r="F119" s="7" t="str">
        <f aca="false">IF(A119="","",E119+Config!$B$4*7)</f>
        <v/>
      </c>
      <c r="G119" s="11" t="str">
        <f aca="true">IF(A119="","",MAX(0,MIN(Config!$B$4,INT((TODAY()-E119)/7)+1)))</f>
        <v/>
      </c>
      <c r="H119" s="11" t="str">
        <f aca="true">IF(A119="","",IF(TODAY()&lt;E119,"Not Started",IF(TODAY()&gt;F119,"Completed",IF(G119=1,"Onboarding",IF(G119&lt;=3,"Sprint 1",IF(G119&lt;=5,"Sprint 2",IF(G119&lt;=7,"Sprint 3",IF(G119&lt;=9,"Sprint 4","Final"))))))))</f>
        <v/>
      </c>
      <c r="I119" s="11" t="str">
        <f aca="true">IF(A119="","",IF(TODAY()&lt;E119,"Start",IF(TODAY()&lt;=E119+7,"Charter Approved",IF(TODAY()&lt;=E119+21,"Sprint 1 Review",IF(TODAY()&lt;=E119+35,"Sprint 2 Review",IF(TODAY()&lt;=E119+49,"Sprint 3 Review",IF(TODAY()&lt;=E119+63,"Sprint 4 Review","Final Review")))))))</f>
        <v/>
      </c>
      <c r="J119" s="7" t="str">
        <f aca="true">IF(A119="","",IF(TODAY()&lt;E119,E119,IF(TODAY()&lt;=E119+7,E119+7,IF(TODAY()&lt;=E119+21,E119+21,IF(TODAY()&lt;=E119+35,E119+35,IF(TODAY()&lt;=E119+49,E119+49,IF(TODAY()&lt;=E119+63,E119+63,E119+70)))))))</f>
        <v/>
      </c>
      <c r="K119" s="11" t="str">
        <f aca="true">IF(A119="","",J119-TODAY())</f>
        <v/>
      </c>
      <c r="L119" s="7" t="str">
        <f aca="false">IF(A119="","",IFERROR(LOOKUP(2,1/('Weekly Check-in'!$B$4:$B$1003=A119),'Weekly Check-in'!$A$4:$A$1003),""))</f>
        <v/>
      </c>
      <c r="M119" s="11" t="str">
        <f aca="true">IF(A119="","",IF(L119="","",TODAY()-L119))</f>
        <v/>
      </c>
      <c r="N119" s="11" t="str">
        <f aca="false">IF(A119="","",COUNTIFS('Weekly Check-in'!$B$4:$B$1003,A119,'Weekly Check-in'!$H$4:$H$1003,"&lt;&gt;"))</f>
        <v/>
      </c>
      <c r="O119" s="11" t="str">
        <f aca="true">IF(A119="","",IF(OR(R119="Completed",R119="Withdrawn",TODAY()&lt;E119),"GREEN",IF(L119="","YELLOW",IF(M119&gt;=Config!$B$7,"RED",IF(OR(M119&gt;=Config!$B$6,AND(K119&lt;=Config!$B$8,N119&gt;0)),"YELLOW",IF(N119&gt;0,"YELLOW","GREEN"))))))</f>
        <v/>
      </c>
      <c r="P119" s="17"/>
      <c r="Q119" s="11" t="str">
        <f aca="false">IF(A119="","",IF(P119&lt;&gt;"",P119,O119))</f>
        <v/>
      </c>
      <c r="R119" s="17"/>
      <c r="S119" s="18"/>
      <c r="T119" s="18"/>
    </row>
    <row r="120" customFormat="false" ht="15" hidden="false" customHeight="true" outlineLevel="0" collapsed="false">
      <c r="A120" s="17"/>
      <c r="B120" s="17"/>
      <c r="C120" s="17"/>
      <c r="D120" s="17"/>
      <c r="E120" s="19"/>
      <c r="F120" s="7" t="str">
        <f aca="false">IF(A120="","",E120+Config!$B$4*7)</f>
        <v/>
      </c>
      <c r="G120" s="11" t="str">
        <f aca="true">IF(A120="","",MAX(0,MIN(Config!$B$4,INT((TODAY()-E120)/7)+1)))</f>
        <v/>
      </c>
      <c r="H120" s="11" t="str">
        <f aca="true">IF(A120="","",IF(TODAY()&lt;E120,"Not Started",IF(TODAY()&gt;F120,"Completed",IF(G120=1,"Onboarding",IF(G120&lt;=3,"Sprint 1",IF(G120&lt;=5,"Sprint 2",IF(G120&lt;=7,"Sprint 3",IF(G120&lt;=9,"Sprint 4","Final"))))))))</f>
        <v/>
      </c>
      <c r="I120" s="11" t="str">
        <f aca="true">IF(A120="","",IF(TODAY()&lt;E120,"Start",IF(TODAY()&lt;=E120+7,"Charter Approved",IF(TODAY()&lt;=E120+21,"Sprint 1 Review",IF(TODAY()&lt;=E120+35,"Sprint 2 Review",IF(TODAY()&lt;=E120+49,"Sprint 3 Review",IF(TODAY()&lt;=E120+63,"Sprint 4 Review","Final Review")))))))</f>
        <v/>
      </c>
      <c r="J120" s="7" t="str">
        <f aca="true">IF(A120="","",IF(TODAY()&lt;E120,E120,IF(TODAY()&lt;=E120+7,E120+7,IF(TODAY()&lt;=E120+21,E120+21,IF(TODAY()&lt;=E120+35,E120+35,IF(TODAY()&lt;=E120+49,E120+49,IF(TODAY()&lt;=E120+63,E120+63,E120+70)))))))</f>
        <v/>
      </c>
      <c r="K120" s="11" t="str">
        <f aca="true">IF(A120="","",J120-TODAY())</f>
        <v/>
      </c>
      <c r="L120" s="7" t="str">
        <f aca="false">IF(A120="","",IFERROR(LOOKUP(2,1/('Weekly Check-in'!$B$4:$B$1003=A120),'Weekly Check-in'!$A$4:$A$1003),""))</f>
        <v/>
      </c>
      <c r="M120" s="11" t="str">
        <f aca="true">IF(A120="","",IF(L120="","",TODAY()-L120))</f>
        <v/>
      </c>
      <c r="N120" s="11" t="str">
        <f aca="false">IF(A120="","",COUNTIFS('Weekly Check-in'!$B$4:$B$1003,A120,'Weekly Check-in'!$H$4:$H$1003,"&lt;&gt;"))</f>
        <v/>
      </c>
      <c r="O120" s="11" t="str">
        <f aca="true">IF(A120="","",IF(OR(R120="Completed",R120="Withdrawn",TODAY()&lt;E120),"GREEN",IF(L120="","YELLOW",IF(M120&gt;=Config!$B$7,"RED",IF(OR(M120&gt;=Config!$B$6,AND(K120&lt;=Config!$B$8,N120&gt;0)),"YELLOW",IF(N120&gt;0,"YELLOW","GREEN"))))))</f>
        <v/>
      </c>
      <c r="P120" s="17"/>
      <c r="Q120" s="11" t="str">
        <f aca="false">IF(A120="","",IF(P120&lt;&gt;"",P120,O120))</f>
        <v/>
      </c>
      <c r="R120" s="17"/>
      <c r="S120" s="18"/>
      <c r="T120" s="18"/>
    </row>
    <row r="121" customFormat="false" ht="15" hidden="false" customHeight="true" outlineLevel="0" collapsed="false">
      <c r="A121" s="17"/>
      <c r="B121" s="17"/>
      <c r="C121" s="17"/>
      <c r="D121" s="17"/>
      <c r="E121" s="19"/>
      <c r="F121" s="7" t="str">
        <f aca="false">IF(A121="","",E121+Config!$B$4*7)</f>
        <v/>
      </c>
      <c r="G121" s="11" t="str">
        <f aca="true">IF(A121="","",MAX(0,MIN(Config!$B$4,INT((TODAY()-E121)/7)+1)))</f>
        <v/>
      </c>
      <c r="H121" s="11" t="str">
        <f aca="true">IF(A121="","",IF(TODAY()&lt;E121,"Not Started",IF(TODAY()&gt;F121,"Completed",IF(G121=1,"Onboarding",IF(G121&lt;=3,"Sprint 1",IF(G121&lt;=5,"Sprint 2",IF(G121&lt;=7,"Sprint 3",IF(G121&lt;=9,"Sprint 4","Final"))))))))</f>
        <v/>
      </c>
      <c r="I121" s="11" t="str">
        <f aca="true">IF(A121="","",IF(TODAY()&lt;E121,"Start",IF(TODAY()&lt;=E121+7,"Charter Approved",IF(TODAY()&lt;=E121+21,"Sprint 1 Review",IF(TODAY()&lt;=E121+35,"Sprint 2 Review",IF(TODAY()&lt;=E121+49,"Sprint 3 Review",IF(TODAY()&lt;=E121+63,"Sprint 4 Review","Final Review")))))))</f>
        <v/>
      </c>
      <c r="J121" s="7" t="str">
        <f aca="true">IF(A121="","",IF(TODAY()&lt;E121,E121,IF(TODAY()&lt;=E121+7,E121+7,IF(TODAY()&lt;=E121+21,E121+21,IF(TODAY()&lt;=E121+35,E121+35,IF(TODAY()&lt;=E121+49,E121+49,IF(TODAY()&lt;=E121+63,E121+63,E121+70)))))))</f>
        <v/>
      </c>
      <c r="K121" s="11" t="str">
        <f aca="true">IF(A121="","",J121-TODAY())</f>
        <v/>
      </c>
      <c r="L121" s="7" t="str">
        <f aca="false">IF(A121="","",IFERROR(LOOKUP(2,1/('Weekly Check-in'!$B$4:$B$1003=A121),'Weekly Check-in'!$A$4:$A$1003),""))</f>
        <v/>
      </c>
      <c r="M121" s="11" t="str">
        <f aca="true">IF(A121="","",IF(L121="","",TODAY()-L121))</f>
        <v/>
      </c>
      <c r="N121" s="11" t="str">
        <f aca="false">IF(A121="","",COUNTIFS('Weekly Check-in'!$B$4:$B$1003,A121,'Weekly Check-in'!$H$4:$H$1003,"&lt;&gt;"))</f>
        <v/>
      </c>
      <c r="O121" s="11" t="str">
        <f aca="true">IF(A121="","",IF(OR(R121="Completed",R121="Withdrawn",TODAY()&lt;E121),"GREEN",IF(L121="","YELLOW",IF(M121&gt;=Config!$B$7,"RED",IF(OR(M121&gt;=Config!$B$6,AND(K121&lt;=Config!$B$8,N121&gt;0)),"YELLOW",IF(N121&gt;0,"YELLOW","GREEN"))))))</f>
        <v/>
      </c>
      <c r="P121" s="17"/>
      <c r="Q121" s="11" t="str">
        <f aca="false">IF(A121="","",IF(P121&lt;&gt;"",P121,O121))</f>
        <v/>
      </c>
      <c r="R121" s="17"/>
      <c r="S121" s="18"/>
      <c r="T121" s="18"/>
    </row>
    <row r="122" customFormat="false" ht="15" hidden="false" customHeight="true" outlineLevel="0" collapsed="false">
      <c r="A122" s="17"/>
      <c r="B122" s="17"/>
      <c r="C122" s="17"/>
      <c r="D122" s="17"/>
      <c r="E122" s="19"/>
      <c r="F122" s="7" t="str">
        <f aca="false">IF(A122="","",E122+Config!$B$4*7)</f>
        <v/>
      </c>
      <c r="G122" s="11" t="str">
        <f aca="true">IF(A122="","",MAX(0,MIN(Config!$B$4,INT((TODAY()-E122)/7)+1)))</f>
        <v/>
      </c>
      <c r="H122" s="11" t="str">
        <f aca="true">IF(A122="","",IF(TODAY()&lt;E122,"Not Started",IF(TODAY()&gt;F122,"Completed",IF(G122=1,"Onboarding",IF(G122&lt;=3,"Sprint 1",IF(G122&lt;=5,"Sprint 2",IF(G122&lt;=7,"Sprint 3",IF(G122&lt;=9,"Sprint 4","Final"))))))))</f>
        <v/>
      </c>
      <c r="I122" s="11" t="str">
        <f aca="true">IF(A122="","",IF(TODAY()&lt;E122,"Start",IF(TODAY()&lt;=E122+7,"Charter Approved",IF(TODAY()&lt;=E122+21,"Sprint 1 Review",IF(TODAY()&lt;=E122+35,"Sprint 2 Review",IF(TODAY()&lt;=E122+49,"Sprint 3 Review",IF(TODAY()&lt;=E122+63,"Sprint 4 Review","Final Review")))))))</f>
        <v/>
      </c>
      <c r="J122" s="7" t="str">
        <f aca="true">IF(A122="","",IF(TODAY()&lt;E122,E122,IF(TODAY()&lt;=E122+7,E122+7,IF(TODAY()&lt;=E122+21,E122+21,IF(TODAY()&lt;=E122+35,E122+35,IF(TODAY()&lt;=E122+49,E122+49,IF(TODAY()&lt;=E122+63,E122+63,E122+70)))))))</f>
        <v/>
      </c>
      <c r="K122" s="11" t="str">
        <f aca="true">IF(A122="","",J122-TODAY())</f>
        <v/>
      </c>
      <c r="L122" s="7" t="str">
        <f aca="false">IF(A122="","",IFERROR(LOOKUP(2,1/('Weekly Check-in'!$B$4:$B$1003=A122),'Weekly Check-in'!$A$4:$A$1003),""))</f>
        <v/>
      </c>
      <c r="M122" s="11" t="str">
        <f aca="true">IF(A122="","",IF(L122="","",TODAY()-L122))</f>
        <v/>
      </c>
      <c r="N122" s="11" t="str">
        <f aca="false">IF(A122="","",COUNTIFS('Weekly Check-in'!$B$4:$B$1003,A122,'Weekly Check-in'!$H$4:$H$1003,"&lt;&gt;"))</f>
        <v/>
      </c>
      <c r="O122" s="11" t="str">
        <f aca="true">IF(A122="","",IF(OR(R122="Completed",R122="Withdrawn",TODAY()&lt;E122),"GREEN",IF(L122="","YELLOW",IF(M122&gt;=Config!$B$7,"RED",IF(OR(M122&gt;=Config!$B$6,AND(K122&lt;=Config!$B$8,N122&gt;0)),"YELLOW",IF(N122&gt;0,"YELLOW","GREEN"))))))</f>
        <v/>
      </c>
      <c r="P122" s="17"/>
      <c r="Q122" s="11" t="str">
        <f aca="false">IF(A122="","",IF(P122&lt;&gt;"",P122,O122))</f>
        <v/>
      </c>
      <c r="R122" s="17"/>
      <c r="S122" s="18"/>
      <c r="T122" s="18"/>
    </row>
    <row r="123" customFormat="false" ht="15" hidden="false" customHeight="true" outlineLevel="0" collapsed="false">
      <c r="A123" s="17"/>
      <c r="B123" s="17"/>
      <c r="C123" s="17"/>
      <c r="D123" s="17"/>
      <c r="E123" s="19"/>
      <c r="F123" s="7" t="str">
        <f aca="false">IF(A123="","",E123+Config!$B$4*7)</f>
        <v/>
      </c>
      <c r="G123" s="11" t="str">
        <f aca="true">IF(A123="","",MAX(0,MIN(Config!$B$4,INT((TODAY()-E123)/7)+1)))</f>
        <v/>
      </c>
      <c r="H123" s="11" t="str">
        <f aca="true">IF(A123="","",IF(TODAY()&lt;E123,"Not Started",IF(TODAY()&gt;F123,"Completed",IF(G123=1,"Onboarding",IF(G123&lt;=3,"Sprint 1",IF(G123&lt;=5,"Sprint 2",IF(G123&lt;=7,"Sprint 3",IF(G123&lt;=9,"Sprint 4","Final"))))))))</f>
        <v/>
      </c>
      <c r="I123" s="11" t="str">
        <f aca="true">IF(A123="","",IF(TODAY()&lt;E123,"Start",IF(TODAY()&lt;=E123+7,"Charter Approved",IF(TODAY()&lt;=E123+21,"Sprint 1 Review",IF(TODAY()&lt;=E123+35,"Sprint 2 Review",IF(TODAY()&lt;=E123+49,"Sprint 3 Review",IF(TODAY()&lt;=E123+63,"Sprint 4 Review","Final Review")))))))</f>
        <v/>
      </c>
      <c r="J123" s="7" t="str">
        <f aca="true">IF(A123="","",IF(TODAY()&lt;E123,E123,IF(TODAY()&lt;=E123+7,E123+7,IF(TODAY()&lt;=E123+21,E123+21,IF(TODAY()&lt;=E123+35,E123+35,IF(TODAY()&lt;=E123+49,E123+49,IF(TODAY()&lt;=E123+63,E123+63,E123+70)))))))</f>
        <v/>
      </c>
      <c r="K123" s="11" t="str">
        <f aca="true">IF(A123="","",J123-TODAY())</f>
        <v/>
      </c>
      <c r="L123" s="7" t="str">
        <f aca="false">IF(A123="","",IFERROR(LOOKUP(2,1/('Weekly Check-in'!$B$4:$B$1003=A123),'Weekly Check-in'!$A$4:$A$1003),""))</f>
        <v/>
      </c>
      <c r="M123" s="11" t="str">
        <f aca="true">IF(A123="","",IF(L123="","",TODAY()-L123))</f>
        <v/>
      </c>
      <c r="N123" s="11" t="str">
        <f aca="false">IF(A123="","",COUNTIFS('Weekly Check-in'!$B$4:$B$1003,A123,'Weekly Check-in'!$H$4:$H$1003,"&lt;&gt;"))</f>
        <v/>
      </c>
      <c r="O123" s="11" t="str">
        <f aca="true">IF(A123="","",IF(OR(R123="Completed",R123="Withdrawn",TODAY()&lt;E123),"GREEN",IF(L123="","YELLOW",IF(M123&gt;=Config!$B$7,"RED",IF(OR(M123&gt;=Config!$B$6,AND(K123&lt;=Config!$B$8,N123&gt;0)),"YELLOW",IF(N123&gt;0,"YELLOW","GREEN"))))))</f>
        <v/>
      </c>
      <c r="P123" s="17"/>
      <c r="Q123" s="11" t="str">
        <f aca="false">IF(A123="","",IF(P123&lt;&gt;"",P123,O123))</f>
        <v/>
      </c>
      <c r="R123" s="17"/>
      <c r="S123" s="18"/>
      <c r="T123" s="18"/>
    </row>
    <row r="124" customFormat="false" ht="15" hidden="false" customHeight="true" outlineLevel="0" collapsed="false">
      <c r="A124" s="17"/>
      <c r="B124" s="17"/>
      <c r="C124" s="17"/>
      <c r="D124" s="17"/>
      <c r="E124" s="19"/>
      <c r="F124" s="7" t="str">
        <f aca="false">IF(A124="","",E124+Config!$B$4*7)</f>
        <v/>
      </c>
      <c r="G124" s="11" t="str">
        <f aca="true">IF(A124="","",MAX(0,MIN(Config!$B$4,INT((TODAY()-E124)/7)+1)))</f>
        <v/>
      </c>
      <c r="H124" s="11" t="str">
        <f aca="true">IF(A124="","",IF(TODAY()&lt;E124,"Not Started",IF(TODAY()&gt;F124,"Completed",IF(G124=1,"Onboarding",IF(G124&lt;=3,"Sprint 1",IF(G124&lt;=5,"Sprint 2",IF(G124&lt;=7,"Sprint 3",IF(G124&lt;=9,"Sprint 4","Final"))))))))</f>
        <v/>
      </c>
      <c r="I124" s="11" t="str">
        <f aca="true">IF(A124="","",IF(TODAY()&lt;E124,"Start",IF(TODAY()&lt;=E124+7,"Charter Approved",IF(TODAY()&lt;=E124+21,"Sprint 1 Review",IF(TODAY()&lt;=E124+35,"Sprint 2 Review",IF(TODAY()&lt;=E124+49,"Sprint 3 Review",IF(TODAY()&lt;=E124+63,"Sprint 4 Review","Final Review")))))))</f>
        <v/>
      </c>
      <c r="J124" s="7" t="str">
        <f aca="true">IF(A124="","",IF(TODAY()&lt;E124,E124,IF(TODAY()&lt;=E124+7,E124+7,IF(TODAY()&lt;=E124+21,E124+21,IF(TODAY()&lt;=E124+35,E124+35,IF(TODAY()&lt;=E124+49,E124+49,IF(TODAY()&lt;=E124+63,E124+63,E124+70)))))))</f>
        <v/>
      </c>
      <c r="K124" s="11" t="str">
        <f aca="true">IF(A124="","",J124-TODAY())</f>
        <v/>
      </c>
      <c r="L124" s="7" t="str">
        <f aca="false">IF(A124="","",IFERROR(LOOKUP(2,1/('Weekly Check-in'!$B$4:$B$1003=A124),'Weekly Check-in'!$A$4:$A$1003),""))</f>
        <v/>
      </c>
      <c r="M124" s="11" t="str">
        <f aca="true">IF(A124="","",IF(L124="","",TODAY()-L124))</f>
        <v/>
      </c>
      <c r="N124" s="11" t="str">
        <f aca="false">IF(A124="","",COUNTIFS('Weekly Check-in'!$B$4:$B$1003,A124,'Weekly Check-in'!$H$4:$H$1003,"&lt;&gt;"))</f>
        <v/>
      </c>
      <c r="O124" s="11" t="str">
        <f aca="true">IF(A124="","",IF(OR(R124="Completed",R124="Withdrawn",TODAY()&lt;E124),"GREEN",IF(L124="","YELLOW",IF(M124&gt;=Config!$B$7,"RED",IF(OR(M124&gt;=Config!$B$6,AND(K124&lt;=Config!$B$8,N124&gt;0)),"YELLOW",IF(N124&gt;0,"YELLOW","GREEN"))))))</f>
        <v/>
      </c>
      <c r="P124" s="17"/>
      <c r="Q124" s="11" t="str">
        <f aca="false">IF(A124="","",IF(P124&lt;&gt;"",P124,O124))</f>
        <v/>
      </c>
      <c r="R124" s="17"/>
      <c r="S124" s="18"/>
      <c r="T124" s="18"/>
    </row>
    <row r="125" customFormat="false" ht="15" hidden="false" customHeight="true" outlineLevel="0" collapsed="false">
      <c r="A125" s="17"/>
      <c r="B125" s="17"/>
      <c r="C125" s="17"/>
      <c r="D125" s="17"/>
      <c r="E125" s="19"/>
      <c r="F125" s="7" t="str">
        <f aca="false">IF(A125="","",E125+Config!$B$4*7)</f>
        <v/>
      </c>
      <c r="G125" s="11" t="str">
        <f aca="true">IF(A125="","",MAX(0,MIN(Config!$B$4,INT((TODAY()-E125)/7)+1)))</f>
        <v/>
      </c>
      <c r="H125" s="11" t="str">
        <f aca="true">IF(A125="","",IF(TODAY()&lt;E125,"Not Started",IF(TODAY()&gt;F125,"Completed",IF(G125=1,"Onboarding",IF(G125&lt;=3,"Sprint 1",IF(G125&lt;=5,"Sprint 2",IF(G125&lt;=7,"Sprint 3",IF(G125&lt;=9,"Sprint 4","Final"))))))))</f>
        <v/>
      </c>
      <c r="I125" s="11" t="str">
        <f aca="true">IF(A125="","",IF(TODAY()&lt;E125,"Start",IF(TODAY()&lt;=E125+7,"Charter Approved",IF(TODAY()&lt;=E125+21,"Sprint 1 Review",IF(TODAY()&lt;=E125+35,"Sprint 2 Review",IF(TODAY()&lt;=E125+49,"Sprint 3 Review",IF(TODAY()&lt;=E125+63,"Sprint 4 Review","Final Review")))))))</f>
        <v/>
      </c>
      <c r="J125" s="7" t="str">
        <f aca="true">IF(A125="","",IF(TODAY()&lt;E125,E125,IF(TODAY()&lt;=E125+7,E125+7,IF(TODAY()&lt;=E125+21,E125+21,IF(TODAY()&lt;=E125+35,E125+35,IF(TODAY()&lt;=E125+49,E125+49,IF(TODAY()&lt;=E125+63,E125+63,E125+70)))))))</f>
        <v/>
      </c>
      <c r="K125" s="11" t="str">
        <f aca="true">IF(A125="","",J125-TODAY())</f>
        <v/>
      </c>
      <c r="L125" s="7" t="str">
        <f aca="false">IF(A125="","",IFERROR(LOOKUP(2,1/('Weekly Check-in'!$B$4:$B$1003=A125),'Weekly Check-in'!$A$4:$A$1003),""))</f>
        <v/>
      </c>
      <c r="M125" s="11" t="str">
        <f aca="true">IF(A125="","",IF(L125="","",TODAY()-L125))</f>
        <v/>
      </c>
      <c r="N125" s="11" t="str">
        <f aca="false">IF(A125="","",COUNTIFS('Weekly Check-in'!$B$4:$B$1003,A125,'Weekly Check-in'!$H$4:$H$1003,"&lt;&gt;"))</f>
        <v/>
      </c>
      <c r="O125" s="11" t="str">
        <f aca="true">IF(A125="","",IF(OR(R125="Completed",R125="Withdrawn",TODAY()&lt;E125),"GREEN",IF(L125="","YELLOW",IF(M125&gt;=Config!$B$7,"RED",IF(OR(M125&gt;=Config!$B$6,AND(K125&lt;=Config!$B$8,N125&gt;0)),"YELLOW",IF(N125&gt;0,"YELLOW","GREEN"))))))</f>
        <v/>
      </c>
      <c r="P125" s="17"/>
      <c r="Q125" s="11" t="str">
        <f aca="false">IF(A125="","",IF(P125&lt;&gt;"",P125,O125))</f>
        <v/>
      </c>
      <c r="R125" s="17"/>
      <c r="S125" s="18"/>
      <c r="T125" s="18"/>
    </row>
    <row r="126" customFormat="false" ht="15" hidden="false" customHeight="true" outlineLevel="0" collapsed="false">
      <c r="A126" s="17"/>
      <c r="B126" s="17"/>
      <c r="C126" s="17"/>
      <c r="D126" s="17"/>
      <c r="E126" s="19"/>
      <c r="F126" s="7" t="str">
        <f aca="false">IF(A126="","",E126+Config!$B$4*7)</f>
        <v/>
      </c>
      <c r="G126" s="11" t="str">
        <f aca="true">IF(A126="","",MAX(0,MIN(Config!$B$4,INT((TODAY()-E126)/7)+1)))</f>
        <v/>
      </c>
      <c r="H126" s="11" t="str">
        <f aca="true">IF(A126="","",IF(TODAY()&lt;E126,"Not Started",IF(TODAY()&gt;F126,"Completed",IF(G126=1,"Onboarding",IF(G126&lt;=3,"Sprint 1",IF(G126&lt;=5,"Sprint 2",IF(G126&lt;=7,"Sprint 3",IF(G126&lt;=9,"Sprint 4","Final"))))))))</f>
        <v/>
      </c>
      <c r="I126" s="11" t="str">
        <f aca="true">IF(A126="","",IF(TODAY()&lt;E126,"Start",IF(TODAY()&lt;=E126+7,"Charter Approved",IF(TODAY()&lt;=E126+21,"Sprint 1 Review",IF(TODAY()&lt;=E126+35,"Sprint 2 Review",IF(TODAY()&lt;=E126+49,"Sprint 3 Review",IF(TODAY()&lt;=E126+63,"Sprint 4 Review","Final Review")))))))</f>
        <v/>
      </c>
      <c r="J126" s="7" t="str">
        <f aca="true">IF(A126="","",IF(TODAY()&lt;E126,E126,IF(TODAY()&lt;=E126+7,E126+7,IF(TODAY()&lt;=E126+21,E126+21,IF(TODAY()&lt;=E126+35,E126+35,IF(TODAY()&lt;=E126+49,E126+49,IF(TODAY()&lt;=E126+63,E126+63,E126+70)))))))</f>
        <v/>
      </c>
      <c r="K126" s="11" t="str">
        <f aca="true">IF(A126="","",J126-TODAY())</f>
        <v/>
      </c>
      <c r="L126" s="7" t="str">
        <f aca="false">IF(A126="","",IFERROR(LOOKUP(2,1/('Weekly Check-in'!$B$4:$B$1003=A126),'Weekly Check-in'!$A$4:$A$1003),""))</f>
        <v/>
      </c>
      <c r="M126" s="11" t="str">
        <f aca="true">IF(A126="","",IF(L126="","",TODAY()-L126))</f>
        <v/>
      </c>
      <c r="N126" s="11" t="str">
        <f aca="false">IF(A126="","",COUNTIFS('Weekly Check-in'!$B$4:$B$1003,A126,'Weekly Check-in'!$H$4:$H$1003,"&lt;&gt;"))</f>
        <v/>
      </c>
      <c r="O126" s="11" t="str">
        <f aca="true">IF(A126="","",IF(OR(R126="Completed",R126="Withdrawn",TODAY()&lt;E126),"GREEN",IF(L126="","YELLOW",IF(M126&gt;=Config!$B$7,"RED",IF(OR(M126&gt;=Config!$B$6,AND(K126&lt;=Config!$B$8,N126&gt;0)),"YELLOW",IF(N126&gt;0,"YELLOW","GREEN"))))))</f>
        <v/>
      </c>
      <c r="P126" s="17"/>
      <c r="Q126" s="11" t="str">
        <f aca="false">IF(A126="","",IF(P126&lt;&gt;"",P126,O126))</f>
        <v/>
      </c>
      <c r="R126" s="17"/>
      <c r="S126" s="18"/>
      <c r="T126" s="18"/>
    </row>
    <row r="127" customFormat="false" ht="15" hidden="false" customHeight="true" outlineLevel="0" collapsed="false">
      <c r="A127" s="17"/>
      <c r="B127" s="17"/>
      <c r="C127" s="17"/>
      <c r="D127" s="17"/>
      <c r="E127" s="19"/>
      <c r="F127" s="7" t="str">
        <f aca="false">IF(A127="","",E127+Config!$B$4*7)</f>
        <v/>
      </c>
      <c r="G127" s="11" t="str">
        <f aca="true">IF(A127="","",MAX(0,MIN(Config!$B$4,INT((TODAY()-E127)/7)+1)))</f>
        <v/>
      </c>
      <c r="H127" s="11" t="str">
        <f aca="true">IF(A127="","",IF(TODAY()&lt;E127,"Not Started",IF(TODAY()&gt;F127,"Completed",IF(G127=1,"Onboarding",IF(G127&lt;=3,"Sprint 1",IF(G127&lt;=5,"Sprint 2",IF(G127&lt;=7,"Sprint 3",IF(G127&lt;=9,"Sprint 4","Final"))))))))</f>
        <v/>
      </c>
      <c r="I127" s="11" t="str">
        <f aca="true">IF(A127="","",IF(TODAY()&lt;E127,"Start",IF(TODAY()&lt;=E127+7,"Charter Approved",IF(TODAY()&lt;=E127+21,"Sprint 1 Review",IF(TODAY()&lt;=E127+35,"Sprint 2 Review",IF(TODAY()&lt;=E127+49,"Sprint 3 Review",IF(TODAY()&lt;=E127+63,"Sprint 4 Review","Final Review")))))))</f>
        <v/>
      </c>
      <c r="J127" s="7" t="str">
        <f aca="true">IF(A127="","",IF(TODAY()&lt;E127,E127,IF(TODAY()&lt;=E127+7,E127+7,IF(TODAY()&lt;=E127+21,E127+21,IF(TODAY()&lt;=E127+35,E127+35,IF(TODAY()&lt;=E127+49,E127+49,IF(TODAY()&lt;=E127+63,E127+63,E127+70)))))))</f>
        <v/>
      </c>
      <c r="K127" s="11" t="str">
        <f aca="true">IF(A127="","",J127-TODAY())</f>
        <v/>
      </c>
      <c r="L127" s="7" t="str">
        <f aca="false">IF(A127="","",IFERROR(LOOKUP(2,1/('Weekly Check-in'!$B$4:$B$1003=A127),'Weekly Check-in'!$A$4:$A$1003),""))</f>
        <v/>
      </c>
      <c r="M127" s="11" t="str">
        <f aca="true">IF(A127="","",IF(L127="","",TODAY()-L127))</f>
        <v/>
      </c>
      <c r="N127" s="11" t="str">
        <f aca="false">IF(A127="","",COUNTIFS('Weekly Check-in'!$B$4:$B$1003,A127,'Weekly Check-in'!$H$4:$H$1003,"&lt;&gt;"))</f>
        <v/>
      </c>
      <c r="O127" s="11" t="str">
        <f aca="true">IF(A127="","",IF(OR(R127="Completed",R127="Withdrawn",TODAY()&lt;E127),"GREEN",IF(L127="","YELLOW",IF(M127&gt;=Config!$B$7,"RED",IF(OR(M127&gt;=Config!$B$6,AND(K127&lt;=Config!$B$8,N127&gt;0)),"YELLOW",IF(N127&gt;0,"YELLOW","GREEN"))))))</f>
        <v/>
      </c>
      <c r="P127" s="17"/>
      <c r="Q127" s="11" t="str">
        <f aca="false">IF(A127="","",IF(P127&lt;&gt;"",P127,O127))</f>
        <v/>
      </c>
      <c r="R127" s="17"/>
      <c r="S127" s="18"/>
      <c r="T127" s="18"/>
    </row>
    <row r="128" customFormat="false" ht="15" hidden="false" customHeight="true" outlineLevel="0" collapsed="false">
      <c r="A128" s="17"/>
      <c r="B128" s="17"/>
      <c r="C128" s="17"/>
      <c r="D128" s="17"/>
      <c r="E128" s="19"/>
      <c r="F128" s="7" t="str">
        <f aca="false">IF(A128="","",E128+Config!$B$4*7)</f>
        <v/>
      </c>
      <c r="G128" s="11" t="str">
        <f aca="true">IF(A128="","",MAX(0,MIN(Config!$B$4,INT((TODAY()-E128)/7)+1)))</f>
        <v/>
      </c>
      <c r="H128" s="11" t="str">
        <f aca="true">IF(A128="","",IF(TODAY()&lt;E128,"Not Started",IF(TODAY()&gt;F128,"Completed",IF(G128=1,"Onboarding",IF(G128&lt;=3,"Sprint 1",IF(G128&lt;=5,"Sprint 2",IF(G128&lt;=7,"Sprint 3",IF(G128&lt;=9,"Sprint 4","Final"))))))))</f>
        <v/>
      </c>
      <c r="I128" s="11" t="str">
        <f aca="true">IF(A128="","",IF(TODAY()&lt;E128,"Start",IF(TODAY()&lt;=E128+7,"Charter Approved",IF(TODAY()&lt;=E128+21,"Sprint 1 Review",IF(TODAY()&lt;=E128+35,"Sprint 2 Review",IF(TODAY()&lt;=E128+49,"Sprint 3 Review",IF(TODAY()&lt;=E128+63,"Sprint 4 Review","Final Review")))))))</f>
        <v/>
      </c>
      <c r="J128" s="7" t="str">
        <f aca="true">IF(A128="","",IF(TODAY()&lt;E128,E128,IF(TODAY()&lt;=E128+7,E128+7,IF(TODAY()&lt;=E128+21,E128+21,IF(TODAY()&lt;=E128+35,E128+35,IF(TODAY()&lt;=E128+49,E128+49,IF(TODAY()&lt;=E128+63,E128+63,E128+70)))))))</f>
        <v/>
      </c>
      <c r="K128" s="11" t="str">
        <f aca="true">IF(A128="","",J128-TODAY())</f>
        <v/>
      </c>
      <c r="L128" s="7" t="str">
        <f aca="false">IF(A128="","",IFERROR(LOOKUP(2,1/('Weekly Check-in'!$B$4:$B$1003=A128),'Weekly Check-in'!$A$4:$A$1003),""))</f>
        <v/>
      </c>
      <c r="M128" s="11" t="str">
        <f aca="true">IF(A128="","",IF(L128="","",TODAY()-L128))</f>
        <v/>
      </c>
      <c r="N128" s="11" t="str">
        <f aca="false">IF(A128="","",COUNTIFS('Weekly Check-in'!$B$4:$B$1003,A128,'Weekly Check-in'!$H$4:$H$1003,"&lt;&gt;"))</f>
        <v/>
      </c>
      <c r="O128" s="11" t="str">
        <f aca="true">IF(A128="","",IF(OR(R128="Completed",R128="Withdrawn",TODAY()&lt;E128),"GREEN",IF(L128="","YELLOW",IF(M128&gt;=Config!$B$7,"RED",IF(OR(M128&gt;=Config!$B$6,AND(K128&lt;=Config!$B$8,N128&gt;0)),"YELLOW",IF(N128&gt;0,"YELLOW","GREEN"))))))</f>
        <v/>
      </c>
      <c r="P128" s="17"/>
      <c r="Q128" s="11" t="str">
        <f aca="false">IF(A128="","",IF(P128&lt;&gt;"",P128,O128))</f>
        <v/>
      </c>
      <c r="R128" s="17"/>
      <c r="S128" s="18"/>
      <c r="T128" s="18"/>
    </row>
    <row r="129" customFormat="false" ht="15" hidden="false" customHeight="true" outlineLevel="0" collapsed="false">
      <c r="A129" s="17"/>
      <c r="B129" s="17"/>
      <c r="C129" s="17"/>
      <c r="D129" s="17"/>
      <c r="E129" s="19"/>
      <c r="F129" s="7" t="str">
        <f aca="false">IF(A129="","",E129+Config!$B$4*7)</f>
        <v/>
      </c>
      <c r="G129" s="11" t="str">
        <f aca="true">IF(A129="","",MAX(0,MIN(Config!$B$4,INT((TODAY()-E129)/7)+1)))</f>
        <v/>
      </c>
      <c r="H129" s="11" t="str">
        <f aca="true">IF(A129="","",IF(TODAY()&lt;E129,"Not Started",IF(TODAY()&gt;F129,"Completed",IF(G129=1,"Onboarding",IF(G129&lt;=3,"Sprint 1",IF(G129&lt;=5,"Sprint 2",IF(G129&lt;=7,"Sprint 3",IF(G129&lt;=9,"Sprint 4","Final"))))))))</f>
        <v/>
      </c>
      <c r="I129" s="11" t="str">
        <f aca="true">IF(A129="","",IF(TODAY()&lt;E129,"Start",IF(TODAY()&lt;=E129+7,"Charter Approved",IF(TODAY()&lt;=E129+21,"Sprint 1 Review",IF(TODAY()&lt;=E129+35,"Sprint 2 Review",IF(TODAY()&lt;=E129+49,"Sprint 3 Review",IF(TODAY()&lt;=E129+63,"Sprint 4 Review","Final Review")))))))</f>
        <v/>
      </c>
      <c r="J129" s="7" t="str">
        <f aca="true">IF(A129="","",IF(TODAY()&lt;E129,E129,IF(TODAY()&lt;=E129+7,E129+7,IF(TODAY()&lt;=E129+21,E129+21,IF(TODAY()&lt;=E129+35,E129+35,IF(TODAY()&lt;=E129+49,E129+49,IF(TODAY()&lt;=E129+63,E129+63,E129+70)))))))</f>
        <v/>
      </c>
      <c r="K129" s="11" t="str">
        <f aca="true">IF(A129="","",J129-TODAY())</f>
        <v/>
      </c>
      <c r="L129" s="7" t="str">
        <f aca="false">IF(A129="","",IFERROR(LOOKUP(2,1/('Weekly Check-in'!$B$4:$B$1003=A129),'Weekly Check-in'!$A$4:$A$1003),""))</f>
        <v/>
      </c>
      <c r="M129" s="11" t="str">
        <f aca="true">IF(A129="","",IF(L129="","",TODAY()-L129))</f>
        <v/>
      </c>
      <c r="N129" s="11" t="str">
        <f aca="false">IF(A129="","",COUNTIFS('Weekly Check-in'!$B$4:$B$1003,A129,'Weekly Check-in'!$H$4:$H$1003,"&lt;&gt;"))</f>
        <v/>
      </c>
      <c r="O129" s="11" t="str">
        <f aca="true">IF(A129="","",IF(OR(R129="Completed",R129="Withdrawn",TODAY()&lt;E129),"GREEN",IF(L129="","YELLOW",IF(M129&gt;=Config!$B$7,"RED",IF(OR(M129&gt;=Config!$B$6,AND(K129&lt;=Config!$B$8,N129&gt;0)),"YELLOW",IF(N129&gt;0,"YELLOW","GREEN"))))))</f>
        <v/>
      </c>
      <c r="P129" s="17"/>
      <c r="Q129" s="11" t="str">
        <f aca="false">IF(A129="","",IF(P129&lt;&gt;"",P129,O129))</f>
        <v/>
      </c>
      <c r="R129" s="17"/>
      <c r="S129" s="18"/>
      <c r="T129" s="18"/>
    </row>
    <row r="130" customFormat="false" ht="15" hidden="false" customHeight="true" outlineLevel="0" collapsed="false">
      <c r="A130" s="17"/>
      <c r="B130" s="17"/>
      <c r="C130" s="17"/>
      <c r="D130" s="17"/>
      <c r="E130" s="19"/>
      <c r="F130" s="7" t="str">
        <f aca="false">IF(A130="","",E130+Config!$B$4*7)</f>
        <v/>
      </c>
      <c r="G130" s="11" t="str">
        <f aca="true">IF(A130="","",MAX(0,MIN(Config!$B$4,INT((TODAY()-E130)/7)+1)))</f>
        <v/>
      </c>
      <c r="H130" s="11" t="str">
        <f aca="true">IF(A130="","",IF(TODAY()&lt;E130,"Not Started",IF(TODAY()&gt;F130,"Completed",IF(G130=1,"Onboarding",IF(G130&lt;=3,"Sprint 1",IF(G130&lt;=5,"Sprint 2",IF(G130&lt;=7,"Sprint 3",IF(G130&lt;=9,"Sprint 4","Final"))))))))</f>
        <v/>
      </c>
      <c r="I130" s="11" t="str">
        <f aca="true">IF(A130="","",IF(TODAY()&lt;E130,"Start",IF(TODAY()&lt;=E130+7,"Charter Approved",IF(TODAY()&lt;=E130+21,"Sprint 1 Review",IF(TODAY()&lt;=E130+35,"Sprint 2 Review",IF(TODAY()&lt;=E130+49,"Sprint 3 Review",IF(TODAY()&lt;=E130+63,"Sprint 4 Review","Final Review")))))))</f>
        <v/>
      </c>
      <c r="J130" s="7" t="str">
        <f aca="true">IF(A130="","",IF(TODAY()&lt;E130,E130,IF(TODAY()&lt;=E130+7,E130+7,IF(TODAY()&lt;=E130+21,E130+21,IF(TODAY()&lt;=E130+35,E130+35,IF(TODAY()&lt;=E130+49,E130+49,IF(TODAY()&lt;=E130+63,E130+63,E130+70)))))))</f>
        <v/>
      </c>
      <c r="K130" s="11" t="str">
        <f aca="true">IF(A130="","",J130-TODAY())</f>
        <v/>
      </c>
      <c r="L130" s="7" t="str">
        <f aca="false">IF(A130="","",IFERROR(LOOKUP(2,1/('Weekly Check-in'!$B$4:$B$1003=A130),'Weekly Check-in'!$A$4:$A$1003),""))</f>
        <v/>
      </c>
      <c r="M130" s="11" t="str">
        <f aca="true">IF(A130="","",IF(L130="","",TODAY()-L130))</f>
        <v/>
      </c>
      <c r="N130" s="11" t="str">
        <f aca="false">IF(A130="","",COUNTIFS('Weekly Check-in'!$B$4:$B$1003,A130,'Weekly Check-in'!$H$4:$H$1003,"&lt;&gt;"))</f>
        <v/>
      </c>
      <c r="O130" s="11" t="str">
        <f aca="true">IF(A130="","",IF(OR(R130="Completed",R130="Withdrawn",TODAY()&lt;E130),"GREEN",IF(L130="","YELLOW",IF(M130&gt;=Config!$B$7,"RED",IF(OR(M130&gt;=Config!$B$6,AND(K130&lt;=Config!$B$8,N130&gt;0)),"YELLOW",IF(N130&gt;0,"YELLOW","GREEN"))))))</f>
        <v/>
      </c>
      <c r="P130" s="17"/>
      <c r="Q130" s="11" t="str">
        <f aca="false">IF(A130="","",IF(P130&lt;&gt;"",P130,O130))</f>
        <v/>
      </c>
      <c r="R130" s="17"/>
      <c r="S130" s="18"/>
      <c r="T130" s="18"/>
    </row>
    <row r="131" customFormat="false" ht="15" hidden="false" customHeight="true" outlineLevel="0" collapsed="false">
      <c r="A131" s="17"/>
      <c r="B131" s="17"/>
      <c r="C131" s="17"/>
      <c r="D131" s="17"/>
      <c r="E131" s="19"/>
      <c r="F131" s="7" t="str">
        <f aca="false">IF(A131="","",E131+Config!$B$4*7)</f>
        <v/>
      </c>
      <c r="G131" s="11" t="str">
        <f aca="true">IF(A131="","",MAX(0,MIN(Config!$B$4,INT((TODAY()-E131)/7)+1)))</f>
        <v/>
      </c>
      <c r="H131" s="11" t="str">
        <f aca="true">IF(A131="","",IF(TODAY()&lt;E131,"Not Started",IF(TODAY()&gt;F131,"Completed",IF(G131=1,"Onboarding",IF(G131&lt;=3,"Sprint 1",IF(G131&lt;=5,"Sprint 2",IF(G131&lt;=7,"Sprint 3",IF(G131&lt;=9,"Sprint 4","Final"))))))))</f>
        <v/>
      </c>
      <c r="I131" s="11" t="str">
        <f aca="true">IF(A131="","",IF(TODAY()&lt;E131,"Start",IF(TODAY()&lt;=E131+7,"Charter Approved",IF(TODAY()&lt;=E131+21,"Sprint 1 Review",IF(TODAY()&lt;=E131+35,"Sprint 2 Review",IF(TODAY()&lt;=E131+49,"Sprint 3 Review",IF(TODAY()&lt;=E131+63,"Sprint 4 Review","Final Review")))))))</f>
        <v/>
      </c>
      <c r="J131" s="7" t="str">
        <f aca="true">IF(A131="","",IF(TODAY()&lt;E131,E131,IF(TODAY()&lt;=E131+7,E131+7,IF(TODAY()&lt;=E131+21,E131+21,IF(TODAY()&lt;=E131+35,E131+35,IF(TODAY()&lt;=E131+49,E131+49,IF(TODAY()&lt;=E131+63,E131+63,E131+70)))))))</f>
        <v/>
      </c>
      <c r="K131" s="11" t="str">
        <f aca="true">IF(A131="","",J131-TODAY())</f>
        <v/>
      </c>
      <c r="L131" s="7" t="str">
        <f aca="false">IF(A131="","",IFERROR(LOOKUP(2,1/('Weekly Check-in'!$B$4:$B$1003=A131),'Weekly Check-in'!$A$4:$A$1003),""))</f>
        <v/>
      </c>
      <c r="M131" s="11" t="str">
        <f aca="true">IF(A131="","",IF(L131="","",TODAY()-L131))</f>
        <v/>
      </c>
      <c r="N131" s="11" t="str">
        <f aca="false">IF(A131="","",COUNTIFS('Weekly Check-in'!$B$4:$B$1003,A131,'Weekly Check-in'!$H$4:$H$1003,"&lt;&gt;"))</f>
        <v/>
      </c>
      <c r="O131" s="11" t="str">
        <f aca="true">IF(A131="","",IF(OR(R131="Completed",R131="Withdrawn",TODAY()&lt;E131),"GREEN",IF(L131="","YELLOW",IF(M131&gt;=Config!$B$7,"RED",IF(OR(M131&gt;=Config!$B$6,AND(K131&lt;=Config!$B$8,N131&gt;0)),"YELLOW",IF(N131&gt;0,"YELLOW","GREEN"))))))</f>
        <v/>
      </c>
      <c r="P131" s="17"/>
      <c r="Q131" s="11" t="str">
        <f aca="false">IF(A131="","",IF(P131&lt;&gt;"",P131,O131))</f>
        <v/>
      </c>
      <c r="R131" s="17"/>
      <c r="S131" s="18"/>
      <c r="T131" s="18"/>
    </row>
    <row r="132" customFormat="false" ht="15" hidden="false" customHeight="true" outlineLevel="0" collapsed="false">
      <c r="A132" s="17"/>
      <c r="B132" s="17"/>
      <c r="C132" s="17"/>
      <c r="D132" s="17"/>
      <c r="E132" s="19"/>
      <c r="F132" s="7" t="str">
        <f aca="false">IF(A132="","",E132+Config!$B$4*7)</f>
        <v/>
      </c>
      <c r="G132" s="11" t="str">
        <f aca="true">IF(A132="","",MAX(0,MIN(Config!$B$4,INT((TODAY()-E132)/7)+1)))</f>
        <v/>
      </c>
      <c r="H132" s="11" t="str">
        <f aca="true">IF(A132="","",IF(TODAY()&lt;E132,"Not Started",IF(TODAY()&gt;F132,"Completed",IF(G132=1,"Onboarding",IF(G132&lt;=3,"Sprint 1",IF(G132&lt;=5,"Sprint 2",IF(G132&lt;=7,"Sprint 3",IF(G132&lt;=9,"Sprint 4","Final"))))))))</f>
        <v/>
      </c>
      <c r="I132" s="11" t="str">
        <f aca="true">IF(A132="","",IF(TODAY()&lt;E132,"Start",IF(TODAY()&lt;=E132+7,"Charter Approved",IF(TODAY()&lt;=E132+21,"Sprint 1 Review",IF(TODAY()&lt;=E132+35,"Sprint 2 Review",IF(TODAY()&lt;=E132+49,"Sprint 3 Review",IF(TODAY()&lt;=E132+63,"Sprint 4 Review","Final Review")))))))</f>
        <v/>
      </c>
      <c r="J132" s="7" t="str">
        <f aca="true">IF(A132="","",IF(TODAY()&lt;E132,E132,IF(TODAY()&lt;=E132+7,E132+7,IF(TODAY()&lt;=E132+21,E132+21,IF(TODAY()&lt;=E132+35,E132+35,IF(TODAY()&lt;=E132+49,E132+49,IF(TODAY()&lt;=E132+63,E132+63,E132+70)))))))</f>
        <v/>
      </c>
      <c r="K132" s="11" t="str">
        <f aca="true">IF(A132="","",J132-TODAY())</f>
        <v/>
      </c>
      <c r="L132" s="7" t="str">
        <f aca="false">IF(A132="","",IFERROR(LOOKUP(2,1/('Weekly Check-in'!$B$4:$B$1003=A132),'Weekly Check-in'!$A$4:$A$1003),""))</f>
        <v/>
      </c>
      <c r="M132" s="11" t="str">
        <f aca="true">IF(A132="","",IF(L132="","",TODAY()-L132))</f>
        <v/>
      </c>
      <c r="N132" s="11" t="str">
        <f aca="false">IF(A132="","",COUNTIFS('Weekly Check-in'!$B$4:$B$1003,A132,'Weekly Check-in'!$H$4:$H$1003,"&lt;&gt;"))</f>
        <v/>
      </c>
      <c r="O132" s="11" t="str">
        <f aca="true">IF(A132="","",IF(OR(R132="Completed",R132="Withdrawn",TODAY()&lt;E132),"GREEN",IF(L132="","YELLOW",IF(M132&gt;=Config!$B$7,"RED",IF(OR(M132&gt;=Config!$B$6,AND(K132&lt;=Config!$B$8,N132&gt;0)),"YELLOW",IF(N132&gt;0,"YELLOW","GREEN"))))))</f>
        <v/>
      </c>
      <c r="P132" s="17"/>
      <c r="Q132" s="11" t="str">
        <f aca="false">IF(A132="","",IF(P132&lt;&gt;"",P132,O132))</f>
        <v/>
      </c>
      <c r="R132" s="17"/>
      <c r="S132" s="18"/>
      <c r="T132" s="18"/>
    </row>
    <row r="133" customFormat="false" ht="15" hidden="false" customHeight="true" outlineLevel="0" collapsed="false">
      <c r="A133" s="17"/>
      <c r="B133" s="17"/>
      <c r="C133" s="17"/>
      <c r="D133" s="17"/>
      <c r="E133" s="19"/>
      <c r="F133" s="7" t="str">
        <f aca="false">IF(A133="","",E133+Config!$B$4*7)</f>
        <v/>
      </c>
      <c r="G133" s="11" t="str">
        <f aca="true">IF(A133="","",MAX(0,MIN(Config!$B$4,INT((TODAY()-E133)/7)+1)))</f>
        <v/>
      </c>
      <c r="H133" s="11" t="str">
        <f aca="true">IF(A133="","",IF(TODAY()&lt;E133,"Not Started",IF(TODAY()&gt;F133,"Completed",IF(G133=1,"Onboarding",IF(G133&lt;=3,"Sprint 1",IF(G133&lt;=5,"Sprint 2",IF(G133&lt;=7,"Sprint 3",IF(G133&lt;=9,"Sprint 4","Final"))))))))</f>
        <v/>
      </c>
      <c r="I133" s="11" t="str">
        <f aca="true">IF(A133="","",IF(TODAY()&lt;E133,"Start",IF(TODAY()&lt;=E133+7,"Charter Approved",IF(TODAY()&lt;=E133+21,"Sprint 1 Review",IF(TODAY()&lt;=E133+35,"Sprint 2 Review",IF(TODAY()&lt;=E133+49,"Sprint 3 Review",IF(TODAY()&lt;=E133+63,"Sprint 4 Review","Final Review")))))))</f>
        <v/>
      </c>
      <c r="J133" s="7" t="str">
        <f aca="true">IF(A133="","",IF(TODAY()&lt;E133,E133,IF(TODAY()&lt;=E133+7,E133+7,IF(TODAY()&lt;=E133+21,E133+21,IF(TODAY()&lt;=E133+35,E133+35,IF(TODAY()&lt;=E133+49,E133+49,IF(TODAY()&lt;=E133+63,E133+63,E133+70)))))))</f>
        <v/>
      </c>
      <c r="K133" s="11" t="str">
        <f aca="true">IF(A133="","",J133-TODAY())</f>
        <v/>
      </c>
      <c r="L133" s="7" t="str">
        <f aca="false">IF(A133="","",IFERROR(LOOKUP(2,1/('Weekly Check-in'!$B$4:$B$1003=A133),'Weekly Check-in'!$A$4:$A$1003),""))</f>
        <v/>
      </c>
      <c r="M133" s="11" t="str">
        <f aca="true">IF(A133="","",IF(L133="","",TODAY()-L133))</f>
        <v/>
      </c>
      <c r="N133" s="11" t="str">
        <f aca="false">IF(A133="","",COUNTIFS('Weekly Check-in'!$B$4:$B$1003,A133,'Weekly Check-in'!$H$4:$H$1003,"&lt;&gt;"))</f>
        <v/>
      </c>
      <c r="O133" s="11" t="str">
        <f aca="true">IF(A133="","",IF(OR(R133="Completed",R133="Withdrawn",TODAY()&lt;E133),"GREEN",IF(L133="","YELLOW",IF(M133&gt;=Config!$B$7,"RED",IF(OR(M133&gt;=Config!$B$6,AND(K133&lt;=Config!$B$8,N133&gt;0)),"YELLOW",IF(N133&gt;0,"YELLOW","GREEN"))))))</f>
        <v/>
      </c>
      <c r="P133" s="17"/>
      <c r="Q133" s="11" t="str">
        <f aca="false">IF(A133="","",IF(P133&lt;&gt;"",P133,O133))</f>
        <v/>
      </c>
      <c r="R133" s="17"/>
      <c r="S133" s="18"/>
      <c r="T133" s="18"/>
    </row>
    <row r="134" customFormat="false" ht="15" hidden="false" customHeight="true" outlineLevel="0" collapsed="false">
      <c r="A134" s="17"/>
      <c r="B134" s="17"/>
      <c r="C134" s="17"/>
      <c r="D134" s="17"/>
      <c r="E134" s="19"/>
      <c r="F134" s="7" t="str">
        <f aca="false">IF(A134="","",E134+Config!$B$4*7)</f>
        <v/>
      </c>
      <c r="G134" s="11" t="str">
        <f aca="true">IF(A134="","",MAX(0,MIN(Config!$B$4,INT((TODAY()-E134)/7)+1)))</f>
        <v/>
      </c>
      <c r="H134" s="11" t="str">
        <f aca="true">IF(A134="","",IF(TODAY()&lt;E134,"Not Started",IF(TODAY()&gt;F134,"Completed",IF(G134=1,"Onboarding",IF(G134&lt;=3,"Sprint 1",IF(G134&lt;=5,"Sprint 2",IF(G134&lt;=7,"Sprint 3",IF(G134&lt;=9,"Sprint 4","Final"))))))))</f>
        <v/>
      </c>
      <c r="I134" s="11" t="str">
        <f aca="true">IF(A134="","",IF(TODAY()&lt;E134,"Start",IF(TODAY()&lt;=E134+7,"Charter Approved",IF(TODAY()&lt;=E134+21,"Sprint 1 Review",IF(TODAY()&lt;=E134+35,"Sprint 2 Review",IF(TODAY()&lt;=E134+49,"Sprint 3 Review",IF(TODAY()&lt;=E134+63,"Sprint 4 Review","Final Review")))))))</f>
        <v/>
      </c>
      <c r="J134" s="7" t="str">
        <f aca="true">IF(A134="","",IF(TODAY()&lt;E134,E134,IF(TODAY()&lt;=E134+7,E134+7,IF(TODAY()&lt;=E134+21,E134+21,IF(TODAY()&lt;=E134+35,E134+35,IF(TODAY()&lt;=E134+49,E134+49,IF(TODAY()&lt;=E134+63,E134+63,E134+70)))))))</f>
        <v/>
      </c>
      <c r="K134" s="11" t="str">
        <f aca="true">IF(A134="","",J134-TODAY())</f>
        <v/>
      </c>
      <c r="L134" s="7" t="str">
        <f aca="false">IF(A134="","",IFERROR(LOOKUP(2,1/('Weekly Check-in'!$B$4:$B$1003=A134),'Weekly Check-in'!$A$4:$A$1003),""))</f>
        <v/>
      </c>
      <c r="M134" s="11" t="str">
        <f aca="true">IF(A134="","",IF(L134="","",TODAY()-L134))</f>
        <v/>
      </c>
      <c r="N134" s="11" t="str">
        <f aca="false">IF(A134="","",COUNTIFS('Weekly Check-in'!$B$4:$B$1003,A134,'Weekly Check-in'!$H$4:$H$1003,"&lt;&gt;"))</f>
        <v/>
      </c>
      <c r="O134" s="11" t="str">
        <f aca="true">IF(A134="","",IF(OR(R134="Completed",R134="Withdrawn",TODAY()&lt;E134),"GREEN",IF(L134="","YELLOW",IF(M134&gt;=Config!$B$7,"RED",IF(OR(M134&gt;=Config!$B$6,AND(K134&lt;=Config!$B$8,N134&gt;0)),"YELLOW",IF(N134&gt;0,"YELLOW","GREEN"))))))</f>
        <v/>
      </c>
      <c r="P134" s="17"/>
      <c r="Q134" s="11" t="str">
        <f aca="false">IF(A134="","",IF(P134&lt;&gt;"",P134,O134))</f>
        <v/>
      </c>
      <c r="R134" s="17"/>
      <c r="S134" s="18"/>
      <c r="T134" s="18"/>
    </row>
    <row r="135" customFormat="false" ht="15" hidden="false" customHeight="true" outlineLevel="0" collapsed="false">
      <c r="A135" s="17"/>
      <c r="B135" s="17"/>
      <c r="C135" s="17"/>
      <c r="D135" s="17"/>
      <c r="E135" s="19"/>
      <c r="F135" s="7" t="str">
        <f aca="false">IF(A135="","",E135+Config!$B$4*7)</f>
        <v/>
      </c>
      <c r="G135" s="11" t="str">
        <f aca="true">IF(A135="","",MAX(0,MIN(Config!$B$4,INT((TODAY()-E135)/7)+1)))</f>
        <v/>
      </c>
      <c r="H135" s="11" t="str">
        <f aca="true">IF(A135="","",IF(TODAY()&lt;E135,"Not Started",IF(TODAY()&gt;F135,"Completed",IF(G135=1,"Onboarding",IF(G135&lt;=3,"Sprint 1",IF(G135&lt;=5,"Sprint 2",IF(G135&lt;=7,"Sprint 3",IF(G135&lt;=9,"Sprint 4","Final"))))))))</f>
        <v/>
      </c>
      <c r="I135" s="11" t="str">
        <f aca="true">IF(A135="","",IF(TODAY()&lt;E135,"Start",IF(TODAY()&lt;=E135+7,"Charter Approved",IF(TODAY()&lt;=E135+21,"Sprint 1 Review",IF(TODAY()&lt;=E135+35,"Sprint 2 Review",IF(TODAY()&lt;=E135+49,"Sprint 3 Review",IF(TODAY()&lt;=E135+63,"Sprint 4 Review","Final Review")))))))</f>
        <v/>
      </c>
      <c r="J135" s="7" t="str">
        <f aca="true">IF(A135="","",IF(TODAY()&lt;E135,E135,IF(TODAY()&lt;=E135+7,E135+7,IF(TODAY()&lt;=E135+21,E135+21,IF(TODAY()&lt;=E135+35,E135+35,IF(TODAY()&lt;=E135+49,E135+49,IF(TODAY()&lt;=E135+63,E135+63,E135+70)))))))</f>
        <v/>
      </c>
      <c r="K135" s="11" t="str">
        <f aca="true">IF(A135="","",J135-TODAY())</f>
        <v/>
      </c>
      <c r="L135" s="7" t="str">
        <f aca="false">IF(A135="","",IFERROR(LOOKUP(2,1/('Weekly Check-in'!$B$4:$B$1003=A135),'Weekly Check-in'!$A$4:$A$1003),""))</f>
        <v/>
      </c>
      <c r="M135" s="11" t="str">
        <f aca="true">IF(A135="","",IF(L135="","",TODAY()-L135))</f>
        <v/>
      </c>
      <c r="N135" s="11" t="str">
        <f aca="false">IF(A135="","",COUNTIFS('Weekly Check-in'!$B$4:$B$1003,A135,'Weekly Check-in'!$H$4:$H$1003,"&lt;&gt;"))</f>
        <v/>
      </c>
      <c r="O135" s="11" t="str">
        <f aca="true">IF(A135="","",IF(OR(R135="Completed",R135="Withdrawn",TODAY()&lt;E135),"GREEN",IF(L135="","YELLOW",IF(M135&gt;=Config!$B$7,"RED",IF(OR(M135&gt;=Config!$B$6,AND(K135&lt;=Config!$B$8,N135&gt;0)),"YELLOW",IF(N135&gt;0,"YELLOW","GREEN"))))))</f>
        <v/>
      </c>
      <c r="P135" s="17"/>
      <c r="Q135" s="11" t="str">
        <f aca="false">IF(A135="","",IF(P135&lt;&gt;"",P135,O135))</f>
        <v/>
      </c>
      <c r="R135" s="17"/>
      <c r="S135" s="18"/>
      <c r="T135" s="18"/>
    </row>
    <row r="136" customFormat="false" ht="15" hidden="false" customHeight="true" outlineLevel="0" collapsed="false">
      <c r="A136" s="17"/>
      <c r="B136" s="17"/>
      <c r="C136" s="17"/>
      <c r="D136" s="17"/>
      <c r="E136" s="19"/>
      <c r="F136" s="7" t="str">
        <f aca="false">IF(A136="","",E136+Config!$B$4*7)</f>
        <v/>
      </c>
      <c r="G136" s="11" t="str">
        <f aca="true">IF(A136="","",MAX(0,MIN(Config!$B$4,INT((TODAY()-E136)/7)+1)))</f>
        <v/>
      </c>
      <c r="H136" s="11" t="str">
        <f aca="true">IF(A136="","",IF(TODAY()&lt;E136,"Not Started",IF(TODAY()&gt;F136,"Completed",IF(G136=1,"Onboarding",IF(G136&lt;=3,"Sprint 1",IF(G136&lt;=5,"Sprint 2",IF(G136&lt;=7,"Sprint 3",IF(G136&lt;=9,"Sprint 4","Final"))))))))</f>
        <v/>
      </c>
      <c r="I136" s="11" t="str">
        <f aca="true">IF(A136="","",IF(TODAY()&lt;E136,"Start",IF(TODAY()&lt;=E136+7,"Charter Approved",IF(TODAY()&lt;=E136+21,"Sprint 1 Review",IF(TODAY()&lt;=E136+35,"Sprint 2 Review",IF(TODAY()&lt;=E136+49,"Sprint 3 Review",IF(TODAY()&lt;=E136+63,"Sprint 4 Review","Final Review")))))))</f>
        <v/>
      </c>
      <c r="J136" s="7" t="str">
        <f aca="true">IF(A136="","",IF(TODAY()&lt;E136,E136,IF(TODAY()&lt;=E136+7,E136+7,IF(TODAY()&lt;=E136+21,E136+21,IF(TODAY()&lt;=E136+35,E136+35,IF(TODAY()&lt;=E136+49,E136+49,IF(TODAY()&lt;=E136+63,E136+63,E136+70)))))))</f>
        <v/>
      </c>
      <c r="K136" s="11" t="str">
        <f aca="true">IF(A136="","",J136-TODAY())</f>
        <v/>
      </c>
      <c r="L136" s="7" t="str">
        <f aca="false">IF(A136="","",IFERROR(LOOKUP(2,1/('Weekly Check-in'!$B$4:$B$1003=A136),'Weekly Check-in'!$A$4:$A$1003),""))</f>
        <v/>
      </c>
      <c r="M136" s="11" t="str">
        <f aca="true">IF(A136="","",IF(L136="","",TODAY()-L136))</f>
        <v/>
      </c>
      <c r="N136" s="11" t="str">
        <f aca="false">IF(A136="","",COUNTIFS('Weekly Check-in'!$B$4:$B$1003,A136,'Weekly Check-in'!$H$4:$H$1003,"&lt;&gt;"))</f>
        <v/>
      </c>
      <c r="O136" s="11" t="str">
        <f aca="true">IF(A136="","",IF(OR(R136="Completed",R136="Withdrawn",TODAY()&lt;E136),"GREEN",IF(L136="","YELLOW",IF(M136&gt;=Config!$B$7,"RED",IF(OR(M136&gt;=Config!$B$6,AND(K136&lt;=Config!$B$8,N136&gt;0)),"YELLOW",IF(N136&gt;0,"YELLOW","GREEN"))))))</f>
        <v/>
      </c>
      <c r="P136" s="17"/>
      <c r="Q136" s="11" t="str">
        <f aca="false">IF(A136="","",IF(P136&lt;&gt;"",P136,O136))</f>
        <v/>
      </c>
      <c r="R136" s="17"/>
      <c r="S136" s="18"/>
      <c r="T136" s="18"/>
    </row>
    <row r="137" customFormat="false" ht="15" hidden="false" customHeight="true" outlineLevel="0" collapsed="false">
      <c r="A137" s="17"/>
      <c r="B137" s="17"/>
      <c r="C137" s="17"/>
      <c r="D137" s="17"/>
      <c r="E137" s="19"/>
      <c r="F137" s="7" t="str">
        <f aca="false">IF(A137="","",E137+Config!$B$4*7)</f>
        <v/>
      </c>
      <c r="G137" s="11" t="str">
        <f aca="true">IF(A137="","",MAX(0,MIN(Config!$B$4,INT((TODAY()-E137)/7)+1)))</f>
        <v/>
      </c>
      <c r="H137" s="11" t="str">
        <f aca="true">IF(A137="","",IF(TODAY()&lt;E137,"Not Started",IF(TODAY()&gt;F137,"Completed",IF(G137=1,"Onboarding",IF(G137&lt;=3,"Sprint 1",IF(G137&lt;=5,"Sprint 2",IF(G137&lt;=7,"Sprint 3",IF(G137&lt;=9,"Sprint 4","Final"))))))))</f>
        <v/>
      </c>
      <c r="I137" s="11" t="str">
        <f aca="true">IF(A137="","",IF(TODAY()&lt;E137,"Start",IF(TODAY()&lt;=E137+7,"Charter Approved",IF(TODAY()&lt;=E137+21,"Sprint 1 Review",IF(TODAY()&lt;=E137+35,"Sprint 2 Review",IF(TODAY()&lt;=E137+49,"Sprint 3 Review",IF(TODAY()&lt;=E137+63,"Sprint 4 Review","Final Review")))))))</f>
        <v/>
      </c>
      <c r="J137" s="7" t="str">
        <f aca="true">IF(A137="","",IF(TODAY()&lt;E137,E137,IF(TODAY()&lt;=E137+7,E137+7,IF(TODAY()&lt;=E137+21,E137+21,IF(TODAY()&lt;=E137+35,E137+35,IF(TODAY()&lt;=E137+49,E137+49,IF(TODAY()&lt;=E137+63,E137+63,E137+70)))))))</f>
        <v/>
      </c>
      <c r="K137" s="11" t="str">
        <f aca="true">IF(A137="","",J137-TODAY())</f>
        <v/>
      </c>
      <c r="L137" s="7" t="str">
        <f aca="false">IF(A137="","",IFERROR(LOOKUP(2,1/('Weekly Check-in'!$B$4:$B$1003=A137),'Weekly Check-in'!$A$4:$A$1003),""))</f>
        <v/>
      </c>
      <c r="M137" s="11" t="str">
        <f aca="true">IF(A137="","",IF(L137="","",TODAY()-L137))</f>
        <v/>
      </c>
      <c r="N137" s="11" t="str">
        <f aca="false">IF(A137="","",COUNTIFS('Weekly Check-in'!$B$4:$B$1003,A137,'Weekly Check-in'!$H$4:$H$1003,"&lt;&gt;"))</f>
        <v/>
      </c>
      <c r="O137" s="11" t="str">
        <f aca="true">IF(A137="","",IF(OR(R137="Completed",R137="Withdrawn",TODAY()&lt;E137),"GREEN",IF(L137="","YELLOW",IF(M137&gt;=Config!$B$7,"RED",IF(OR(M137&gt;=Config!$B$6,AND(K137&lt;=Config!$B$8,N137&gt;0)),"YELLOW",IF(N137&gt;0,"YELLOW","GREEN"))))))</f>
        <v/>
      </c>
      <c r="P137" s="17"/>
      <c r="Q137" s="11" t="str">
        <f aca="false">IF(A137="","",IF(P137&lt;&gt;"",P137,O137))</f>
        <v/>
      </c>
      <c r="R137" s="17"/>
      <c r="S137" s="18"/>
      <c r="T137" s="18"/>
    </row>
    <row r="138" customFormat="false" ht="15" hidden="false" customHeight="true" outlineLevel="0" collapsed="false">
      <c r="A138" s="17"/>
      <c r="B138" s="17"/>
      <c r="C138" s="17"/>
      <c r="D138" s="17"/>
      <c r="E138" s="19"/>
      <c r="F138" s="7" t="str">
        <f aca="false">IF(A138="","",E138+Config!$B$4*7)</f>
        <v/>
      </c>
      <c r="G138" s="11" t="str">
        <f aca="true">IF(A138="","",MAX(0,MIN(Config!$B$4,INT((TODAY()-E138)/7)+1)))</f>
        <v/>
      </c>
      <c r="H138" s="11" t="str">
        <f aca="true">IF(A138="","",IF(TODAY()&lt;E138,"Not Started",IF(TODAY()&gt;F138,"Completed",IF(G138=1,"Onboarding",IF(G138&lt;=3,"Sprint 1",IF(G138&lt;=5,"Sprint 2",IF(G138&lt;=7,"Sprint 3",IF(G138&lt;=9,"Sprint 4","Final"))))))))</f>
        <v/>
      </c>
      <c r="I138" s="11" t="str">
        <f aca="true">IF(A138="","",IF(TODAY()&lt;E138,"Start",IF(TODAY()&lt;=E138+7,"Charter Approved",IF(TODAY()&lt;=E138+21,"Sprint 1 Review",IF(TODAY()&lt;=E138+35,"Sprint 2 Review",IF(TODAY()&lt;=E138+49,"Sprint 3 Review",IF(TODAY()&lt;=E138+63,"Sprint 4 Review","Final Review")))))))</f>
        <v/>
      </c>
      <c r="J138" s="7" t="str">
        <f aca="true">IF(A138="","",IF(TODAY()&lt;E138,E138,IF(TODAY()&lt;=E138+7,E138+7,IF(TODAY()&lt;=E138+21,E138+21,IF(TODAY()&lt;=E138+35,E138+35,IF(TODAY()&lt;=E138+49,E138+49,IF(TODAY()&lt;=E138+63,E138+63,E138+70)))))))</f>
        <v/>
      </c>
      <c r="K138" s="11" t="str">
        <f aca="true">IF(A138="","",J138-TODAY())</f>
        <v/>
      </c>
      <c r="L138" s="7" t="str">
        <f aca="false">IF(A138="","",IFERROR(LOOKUP(2,1/('Weekly Check-in'!$B$4:$B$1003=A138),'Weekly Check-in'!$A$4:$A$1003),""))</f>
        <v/>
      </c>
      <c r="M138" s="11" t="str">
        <f aca="true">IF(A138="","",IF(L138="","",TODAY()-L138))</f>
        <v/>
      </c>
      <c r="N138" s="11" t="str">
        <f aca="false">IF(A138="","",COUNTIFS('Weekly Check-in'!$B$4:$B$1003,A138,'Weekly Check-in'!$H$4:$H$1003,"&lt;&gt;"))</f>
        <v/>
      </c>
      <c r="O138" s="11" t="str">
        <f aca="true">IF(A138="","",IF(OR(R138="Completed",R138="Withdrawn",TODAY()&lt;E138),"GREEN",IF(L138="","YELLOW",IF(M138&gt;=Config!$B$7,"RED",IF(OR(M138&gt;=Config!$B$6,AND(K138&lt;=Config!$B$8,N138&gt;0)),"YELLOW",IF(N138&gt;0,"YELLOW","GREEN"))))))</f>
        <v/>
      </c>
      <c r="P138" s="17"/>
      <c r="Q138" s="11" t="str">
        <f aca="false">IF(A138="","",IF(P138&lt;&gt;"",P138,O138))</f>
        <v/>
      </c>
      <c r="R138" s="17"/>
      <c r="S138" s="18"/>
      <c r="T138" s="18"/>
    </row>
    <row r="139" customFormat="false" ht="15" hidden="false" customHeight="true" outlineLevel="0" collapsed="false">
      <c r="A139" s="17"/>
      <c r="B139" s="17"/>
      <c r="C139" s="17"/>
      <c r="D139" s="17"/>
      <c r="E139" s="19"/>
      <c r="F139" s="7" t="str">
        <f aca="false">IF(A139="","",E139+Config!$B$4*7)</f>
        <v/>
      </c>
      <c r="G139" s="11" t="str">
        <f aca="true">IF(A139="","",MAX(0,MIN(Config!$B$4,INT((TODAY()-E139)/7)+1)))</f>
        <v/>
      </c>
      <c r="H139" s="11" t="str">
        <f aca="true">IF(A139="","",IF(TODAY()&lt;E139,"Not Started",IF(TODAY()&gt;F139,"Completed",IF(G139=1,"Onboarding",IF(G139&lt;=3,"Sprint 1",IF(G139&lt;=5,"Sprint 2",IF(G139&lt;=7,"Sprint 3",IF(G139&lt;=9,"Sprint 4","Final"))))))))</f>
        <v/>
      </c>
      <c r="I139" s="11" t="str">
        <f aca="true">IF(A139="","",IF(TODAY()&lt;E139,"Start",IF(TODAY()&lt;=E139+7,"Charter Approved",IF(TODAY()&lt;=E139+21,"Sprint 1 Review",IF(TODAY()&lt;=E139+35,"Sprint 2 Review",IF(TODAY()&lt;=E139+49,"Sprint 3 Review",IF(TODAY()&lt;=E139+63,"Sprint 4 Review","Final Review")))))))</f>
        <v/>
      </c>
      <c r="J139" s="7" t="str">
        <f aca="true">IF(A139="","",IF(TODAY()&lt;E139,E139,IF(TODAY()&lt;=E139+7,E139+7,IF(TODAY()&lt;=E139+21,E139+21,IF(TODAY()&lt;=E139+35,E139+35,IF(TODAY()&lt;=E139+49,E139+49,IF(TODAY()&lt;=E139+63,E139+63,E139+70)))))))</f>
        <v/>
      </c>
      <c r="K139" s="11" t="str">
        <f aca="true">IF(A139="","",J139-TODAY())</f>
        <v/>
      </c>
      <c r="L139" s="7" t="str">
        <f aca="false">IF(A139="","",IFERROR(LOOKUP(2,1/('Weekly Check-in'!$B$4:$B$1003=A139),'Weekly Check-in'!$A$4:$A$1003),""))</f>
        <v/>
      </c>
      <c r="M139" s="11" t="str">
        <f aca="true">IF(A139="","",IF(L139="","",TODAY()-L139))</f>
        <v/>
      </c>
      <c r="N139" s="11" t="str">
        <f aca="false">IF(A139="","",COUNTIFS('Weekly Check-in'!$B$4:$B$1003,A139,'Weekly Check-in'!$H$4:$H$1003,"&lt;&gt;"))</f>
        <v/>
      </c>
      <c r="O139" s="11" t="str">
        <f aca="true">IF(A139="","",IF(OR(R139="Completed",R139="Withdrawn",TODAY()&lt;E139),"GREEN",IF(L139="","YELLOW",IF(M139&gt;=Config!$B$7,"RED",IF(OR(M139&gt;=Config!$B$6,AND(K139&lt;=Config!$B$8,N139&gt;0)),"YELLOW",IF(N139&gt;0,"YELLOW","GREEN"))))))</f>
        <v/>
      </c>
      <c r="P139" s="17"/>
      <c r="Q139" s="11" t="str">
        <f aca="false">IF(A139="","",IF(P139&lt;&gt;"",P139,O139))</f>
        <v/>
      </c>
      <c r="R139" s="17"/>
      <c r="S139" s="18"/>
      <c r="T139" s="18"/>
    </row>
    <row r="140" customFormat="false" ht="15" hidden="false" customHeight="true" outlineLevel="0" collapsed="false">
      <c r="A140" s="17"/>
      <c r="B140" s="17"/>
      <c r="C140" s="17"/>
      <c r="D140" s="17"/>
      <c r="E140" s="19"/>
      <c r="F140" s="7" t="str">
        <f aca="false">IF(A140="","",E140+Config!$B$4*7)</f>
        <v/>
      </c>
      <c r="G140" s="11" t="str">
        <f aca="true">IF(A140="","",MAX(0,MIN(Config!$B$4,INT((TODAY()-E140)/7)+1)))</f>
        <v/>
      </c>
      <c r="H140" s="11" t="str">
        <f aca="true">IF(A140="","",IF(TODAY()&lt;E140,"Not Started",IF(TODAY()&gt;F140,"Completed",IF(G140=1,"Onboarding",IF(G140&lt;=3,"Sprint 1",IF(G140&lt;=5,"Sprint 2",IF(G140&lt;=7,"Sprint 3",IF(G140&lt;=9,"Sprint 4","Final"))))))))</f>
        <v/>
      </c>
      <c r="I140" s="11" t="str">
        <f aca="true">IF(A140="","",IF(TODAY()&lt;E140,"Start",IF(TODAY()&lt;=E140+7,"Charter Approved",IF(TODAY()&lt;=E140+21,"Sprint 1 Review",IF(TODAY()&lt;=E140+35,"Sprint 2 Review",IF(TODAY()&lt;=E140+49,"Sprint 3 Review",IF(TODAY()&lt;=E140+63,"Sprint 4 Review","Final Review")))))))</f>
        <v/>
      </c>
      <c r="J140" s="7" t="str">
        <f aca="true">IF(A140="","",IF(TODAY()&lt;E140,E140,IF(TODAY()&lt;=E140+7,E140+7,IF(TODAY()&lt;=E140+21,E140+21,IF(TODAY()&lt;=E140+35,E140+35,IF(TODAY()&lt;=E140+49,E140+49,IF(TODAY()&lt;=E140+63,E140+63,E140+70)))))))</f>
        <v/>
      </c>
      <c r="K140" s="11" t="str">
        <f aca="true">IF(A140="","",J140-TODAY())</f>
        <v/>
      </c>
      <c r="L140" s="7" t="str">
        <f aca="false">IF(A140="","",IFERROR(LOOKUP(2,1/('Weekly Check-in'!$B$4:$B$1003=A140),'Weekly Check-in'!$A$4:$A$1003),""))</f>
        <v/>
      </c>
      <c r="M140" s="11" t="str">
        <f aca="true">IF(A140="","",IF(L140="","",TODAY()-L140))</f>
        <v/>
      </c>
      <c r="N140" s="11" t="str">
        <f aca="false">IF(A140="","",COUNTIFS('Weekly Check-in'!$B$4:$B$1003,A140,'Weekly Check-in'!$H$4:$H$1003,"&lt;&gt;"))</f>
        <v/>
      </c>
      <c r="O140" s="11" t="str">
        <f aca="true">IF(A140="","",IF(OR(R140="Completed",R140="Withdrawn",TODAY()&lt;E140),"GREEN",IF(L140="","YELLOW",IF(M140&gt;=Config!$B$7,"RED",IF(OR(M140&gt;=Config!$B$6,AND(K140&lt;=Config!$B$8,N140&gt;0)),"YELLOW",IF(N140&gt;0,"YELLOW","GREEN"))))))</f>
        <v/>
      </c>
      <c r="P140" s="17"/>
      <c r="Q140" s="11" t="str">
        <f aca="false">IF(A140="","",IF(P140&lt;&gt;"",P140,O140))</f>
        <v/>
      </c>
      <c r="R140" s="17"/>
      <c r="S140" s="18"/>
      <c r="T140" s="18"/>
    </row>
    <row r="141" customFormat="false" ht="15" hidden="false" customHeight="true" outlineLevel="0" collapsed="false">
      <c r="A141" s="17"/>
      <c r="B141" s="17"/>
      <c r="C141" s="17"/>
      <c r="D141" s="17"/>
      <c r="E141" s="19"/>
      <c r="F141" s="7" t="str">
        <f aca="false">IF(A141="","",E141+Config!$B$4*7)</f>
        <v/>
      </c>
      <c r="G141" s="11" t="str">
        <f aca="true">IF(A141="","",MAX(0,MIN(Config!$B$4,INT((TODAY()-E141)/7)+1)))</f>
        <v/>
      </c>
      <c r="H141" s="11" t="str">
        <f aca="true">IF(A141="","",IF(TODAY()&lt;E141,"Not Started",IF(TODAY()&gt;F141,"Completed",IF(G141=1,"Onboarding",IF(G141&lt;=3,"Sprint 1",IF(G141&lt;=5,"Sprint 2",IF(G141&lt;=7,"Sprint 3",IF(G141&lt;=9,"Sprint 4","Final"))))))))</f>
        <v/>
      </c>
      <c r="I141" s="11" t="str">
        <f aca="true">IF(A141="","",IF(TODAY()&lt;E141,"Start",IF(TODAY()&lt;=E141+7,"Charter Approved",IF(TODAY()&lt;=E141+21,"Sprint 1 Review",IF(TODAY()&lt;=E141+35,"Sprint 2 Review",IF(TODAY()&lt;=E141+49,"Sprint 3 Review",IF(TODAY()&lt;=E141+63,"Sprint 4 Review","Final Review")))))))</f>
        <v/>
      </c>
      <c r="J141" s="7" t="str">
        <f aca="true">IF(A141="","",IF(TODAY()&lt;E141,E141,IF(TODAY()&lt;=E141+7,E141+7,IF(TODAY()&lt;=E141+21,E141+21,IF(TODAY()&lt;=E141+35,E141+35,IF(TODAY()&lt;=E141+49,E141+49,IF(TODAY()&lt;=E141+63,E141+63,E141+70)))))))</f>
        <v/>
      </c>
      <c r="K141" s="11" t="str">
        <f aca="true">IF(A141="","",J141-TODAY())</f>
        <v/>
      </c>
      <c r="L141" s="7" t="str">
        <f aca="false">IF(A141="","",IFERROR(LOOKUP(2,1/('Weekly Check-in'!$B$4:$B$1003=A141),'Weekly Check-in'!$A$4:$A$1003),""))</f>
        <v/>
      </c>
      <c r="M141" s="11" t="str">
        <f aca="true">IF(A141="","",IF(L141="","",TODAY()-L141))</f>
        <v/>
      </c>
      <c r="N141" s="11" t="str">
        <f aca="false">IF(A141="","",COUNTIFS('Weekly Check-in'!$B$4:$B$1003,A141,'Weekly Check-in'!$H$4:$H$1003,"&lt;&gt;"))</f>
        <v/>
      </c>
      <c r="O141" s="11" t="str">
        <f aca="true">IF(A141="","",IF(OR(R141="Completed",R141="Withdrawn",TODAY()&lt;E141),"GREEN",IF(L141="","YELLOW",IF(M141&gt;=Config!$B$7,"RED",IF(OR(M141&gt;=Config!$B$6,AND(K141&lt;=Config!$B$8,N141&gt;0)),"YELLOW",IF(N141&gt;0,"YELLOW","GREEN"))))))</f>
        <v/>
      </c>
      <c r="P141" s="17"/>
      <c r="Q141" s="11" t="str">
        <f aca="false">IF(A141="","",IF(P141&lt;&gt;"",P141,O141))</f>
        <v/>
      </c>
      <c r="R141" s="17"/>
      <c r="S141" s="18"/>
      <c r="T141" s="18"/>
    </row>
    <row r="142" customFormat="false" ht="15" hidden="false" customHeight="true" outlineLevel="0" collapsed="false">
      <c r="A142" s="17"/>
      <c r="B142" s="17"/>
      <c r="C142" s="17"/>
      <c r="D142" s="17"/>
      <c r="E142" s="19"/>
      <c r="F142" s="7" t="str">
        <f aca="false">IF(A142="","",E142+Config!$B$4*7)</f>
        <v/>
      </c>
      <c r="G142" s="11" t="str">
        <f aca="true">IF(A142="","",MAX(0,MIN(Config!$B$4,INT((TODAY()-E142)/7)+1)))</f>
        <v/>
      </c>
      <c r="H142" s="11" t="str">
        <f aca="true">IF(A142="","",IF(TODAY()&lt;E142,"Not Started",IF(TODAY()&gt;F142,"Completed",IF(G142=1,"Onboarding",IF(G142&lt;=3,"Sprint 1",IF(G142&lt;=5,"Sprint 2",IF(G142&lt;=7,"Sprint 3",IF(G142&lt;=9,"Sprint 4","Final"))))))))</f>
        <v/>
      </c>
      <c r="I142" s="11" t="str">
        <f aca="true">IF(A142="","",IF(TODAY()&lt;E142,"Start",IF(TODAY()&lt;=E142+7,"Charter Approved",IF(TODAY()&lt;=E142+21,"Sprint 1 Review",IF(TODAY()&lt;=E142+35,"Sprint 2 Review",IF(TODAY()&lt;=E142+49,"Sprint 3 Review",IF(TODAY()&lt;=E142+63,"Sprint 4 Review","Final Review")))))))</f>
        <v/>
      </c>
      <c r="J142" s="7" t="str">
        <f aca="true">IF(A142="","",IF(TODAY()&lt;E142,E142,IF(TODAY()&lt;=E142+7,E142+7,IF(TODAY()&lt;=E142+21,E142+21,IF(TODAY()&lt;=E142+35,E142+35,IF(TODAY()&lt;=E142+49,E142+49,IF(TODAY()&lt;=E142+63,E142+63,E142+70)))))))</f>
        <v/>
      </c>
      <c r="K142" s="11" t="str">
        <f aca="true">IF(A142="","",J142-TODAY())</f>
        <v/>
      </c>
      <c r="L142" s="7" t="str">
        <f aca="false">IF(A142="","",IFERROR(LOOKUP(2,1/('Weekly Check-in'!$B$4:$B$1003=A142),'Weekly Check-in'!$A$4:$A$1003),""))</f>
        <v/>
      </c>
      <c r="M142" s="11" t="str">
        <f aca="true">IF(A142="","",IF(L142="","",TODAY()-L142))</f>
        <v/>
      </c>
      <c r="N142" s="11" t="str">
        <f aca="false">IF(A142="","",COUNTIFS('Weekly Check-in'!$B$4:$B$1003,A142,'Weekly Check-in'!$H$4:$H$1003,"&lt;&gt;"))</f>
        <v/>
      </c>
      <c r="O142" s="11" t="str">
        <f aca="true">IF(A142="","",IF(OR(R142="Completed",R142="Withdrawn",TODAY()&lt;E142),"GREEN",IF(L142="","YELLOW",IF(M142&gt;=Config!$B$7,"RED",IF(OR(M142&gt;=Config!$B$6,AND(K142&lt;=Config!$B$8,N142&gt;0)),"YELLOW",IF(N142&gt;0,"YELLOW","GREEN"))))))</f>
        <v/>
      </c>
      <c r="P142" s="17"/>
      <c r="Q142" s="11" t="str">
        <f aca="false">IF(A142="","",IF(P142&lt;&gt;"",P142,O142))</f>
        <v/>
      </c>
      <c r="R142" s="17"/>
      <c r="S142" s="18"/>
      <c r="T142" s="18"/>
    </row>
    <row r="143" customFormat="false" ht="15" hidden="false" customHeight="true" outlineLevel="0" collapsed="false">
      <c r="A143" s="17"/>
      <c r="B143" s="17"/>
      <c r="C143" s="17"/>
      <c r="D143" s="17"/>
      <c r="E143" s="19"/>
      <c r="F143" s="7" t="str">
        <f aca="false">IF(A143="","",E143+Config!$B$4*7)</f>
        <v/>
      </c>
      <c r="G143" s="11" t="str">
        <f aca="true">IF(A143="","",MAX(0,MIN(Config!$B$4,INT((TODAY()-E143)/7)+1)))</f>
        <v/>
      </c>
      <c r="H143" s="11" t="str">
        <f aca="true">IF(A143="","",IF(TODAY()&lt;E143,"Not Started",IF(TODAY()&gt;F143,"Completed",IF(G143=1,"Onboarding",IF(G143&lt;=3,"Sprint 1",IF(G143&lt;=5,"Sprint 2",IF(G143&lt;=7,"Sprint 3",IF(G143&lt;=9,"Sprint 4","Final"))))))))</f>
        <v/>
      </c>
      <c r="I143" s="11" t="str">
        <f aca="true">IF(A143="","",IF(TODAY()&lt;E143,"Start",IF(TODAY()&lt;=E143+7,"Charter Approved",IF(TODAY()&lt;=E143+21,"Sprint 1 Review",IF(TODAY()&lt;=E143+35,"Sprint 2 Review",IF(TODAY()&lt;=E143+49,"Sprint 3 Review",IF(TODAY()&lt;=E143+63,"Sprint 4 Review","Final Review")))))))</f>
        <v/>
      </c>
      <c r="J143" s="7" t="str">
        <f aca="true">IF(A143="","",IF(TODAY()&lt;E143,E143,IF(TODAY()&lt;=E143+7,E143+7,IF(TODAY()&lt;=E143+21,E143+21,IF(TODAY()&lt;=E143+35,E143+35,IF(TODAY()&lt;=E143+49,E143+49,IF(TODAY()&lt;=E143+63,E143+63,E143+70)))))))</f>
        <v/>
      </c>
      <c r="K143" s="11" t="str">
        <f aca="true">IF(A143="","",J143-TODAY())</f>
        <v/>
      </c>
      <c r="L143" s="7" t="str">
        <f aca="false">IF(A143="","",IFERROR(LOOKUP(2,1/('Weekly Check-in'!$B$4:$B$1003=A143),'Weekly Check-in'!$A$4:$A$1003),""))</f>
        <v/>
      </c>
      <c r="M143" s="11" t="str">
        <f aca="true">IF(A143="","",IF(L143="","",TODAY()-L143))</f>
        <v/>
      </c>
      <c r="N143" s="11" t="str">
        <f aca="false">IF(A143="","",COUNTIFS('Weekly Check-in'!$B$4:$B$1003,A143,'Weekly Check-in'!$H$4:$H$1003,"&lt;&gt;"))</f>
        <v/>
      </c>
      <c r="O143" s="11" t="str">
        <f aca="true">IF(A143="","",IF(OR(R143="Completed",R143="Withdrawn",TODAY()&lt;E143),"GREEN",IF(L143="","YELLOW",IF(M143&gt;=Config!$B$7,"RED",IF(OR(M143&gt;=Config!$B$6,AND(K143&lt;=Config!$B$8,N143&gt;0)),"YELLOW",IF(N143&gt;0,"YELLOW","GREEN"))))))</f>
        <v/>
      </c>
      <c r="P143" s="17"/>
      <c r="Q143" s="11" t="str">
        <f aca="false">IF(A143="","",IF(P143&lt;&gt;"",P143,O143))</f>
        <v/>
      </c>
      <c r="R143" s="17"/>
      <c r="S143" s="18"/>
      <c r="T143" s="18"/>
    </row>
    <row r="144" customFormat="false" ht="15" hidden="false" customHeight="true" outlineLevel="0" collapsed="false">
      <c r="A144" s="17"/>
      <c r="B144" s="17"/>
      <c r="C144" s="17"/>
      <c r="D144" s="17"/>
      <c r="E144" s="19"/>
      <c r="F144" s="7" t="str">
        <f aca="false">IF(A144="","",E144+Config!$B$4*7)</f>
        <v/>
      </c>
      <c r="G144" s="11" t="str">
        <f aca="true">IF(A144="","",MAX(0,MIN(Config!$B$4,INT((TODAY()-E144)/7)+1)))</f>
        <v/>
      </c>
      <c r="H144" s="11" t="str">
        <f aca="true">IF(A144="","",IF(TODAY()&lt;E144,"Not Started",IF(TODAY()&gt;F144,"Completed",IF(G144=1,"Onboarding",IF(G144&lt;=3,"Sprint 1",IF(G144&lt;=5,"Sprint 2",IF(G144&lt;=7,"Sprint 3",IF(G144&lt;=9,"Sprint 4","Final"))))))))</f>
        <v/>
      </c>
      <c r="I144" s="11" t="str">
        <f aca="true">IF(A144="","",IF(TODAY()&lt;E144,"Start",IF(TODAY()&lt;=E144+7,"Charter Approved",IF(TODAY()&lt;=E144+21,"Sprint 1 Review",IF(TODAY()&lt;=E144+35,"Sprint 2 Review",IF(TODAY()&lt;=E144+49,"Sprint 3 Review",IF(TODAY()&lt;=E144+63,"Sprint 4 Review","Final Review")))))))</f>
        <v/>
      </c>
      <c r="J144" s="7" t="str">
        <f aca="true">IF(A144="","",IF(TODAY()&lt;E144,E144,IF(TODAY()&lt;=E144+7,E144+7,IF(TODAY()&lt;=E144+21,E144+21,IF(TODAY()&lt;=E144+35,E144+35,IF(TODAY()&lt;=E144+49,E144+49,IF(TODAY()&lt;=E144+63,E144+63,E144+70)))))))</f>
        <v/>
      </c>
      <c r="K144" s="11" t="str">
        <f aca="true">IF(A144="","",J144-TODAY())</f>
        <v/>
      </c>
      <c r="L144" s="7" t="str">
        <f aca="false">IF(A144="","",IFERROR(LOOKUP(2,1/('Weekly Check-in'!$B$4:$B$1003=A144),'Weekly Check-in'!$A$4:$A$1003),""))</f>
        <v/>
      </c>
      <c r="M144" s="11" t="str">
        <f aca="true">IF(A144="","",IF(L144="","",TODAY()-L144))</f>
        <v/>
      </c>
      <c r="N144" s="11" t="str">
        <f aca="false">IF(A144="","",COUNTIFS('Weekly Check-in'!$B$4:$B$1003,A144,'Weekly Check-in'!$H$4:$H$1003,"&lt;&gt;"))</f>
        <v/>
      </c>
      <c r="O144" s="11" t="str">
        <f aca="true">IF(A144="","",IF(OR(R144="Completed",R144="Withdrawn",TODAY()&lt;E144),"GREEN",IF(L144="","YELLOW",IF(M144&gt;=Config!$B$7,"RED",IF(OR(M144&gt;=Config!$B$6,AND(K144&lt;=Config!$B$8,N144&gt;0)),"YELLOW",IF(N144&gt;0,"YELLOW","GREEN"))))))</f>
        <v/>
      </c>
      <c r="P144" s="17"/>
      <c r="Q144" s="11" t="str">
        <f aca="false">IF(A144="","",IF(P144&lt;&gt;"",P144,O144))</f>
        <v/>
      </c>
      <c r="R144" s="17"/>
      <c r="S144" s="18"/>
      <c r="T144" s="18"/>
    </row>
    <row r="145" customFormat="false" ht="15" hidden="false" customHeight="true" outlineLevel="0" collapsed="false">
      <c r="A145" s="17"/>
      <c r="B145" s="17"/>
      <c r="C145" s="17"/>
      <c r="D145" s="17"/>
      <c r="E145" s="19"/>
      <c r="F145" s="7" t="str">
        <f aca="false">IF(A145="","",E145+Config!$B$4*7)</f>
        <v/>
      </c>
      <c r="G145" s="11" t="str">
        <f aca="true">IF(A145="","",MAX(0,MIN(Config!$B$4,INT((TODAY()-E145)/7)+1)))</f>
        <v/>
      </c>
      <c r="H145" s="11" t="str">
        <f aca="true">IF(A145="","",IF(TODAY()&lt;E145,"Not Started",IF(TODAY()&gt;F145,"Completed",IF(G145=1,"Onboarding",IF(G145&lt;=3,"Sprint 1",IF(G145&lt;=5,"Sprint 2",IF(G145&lt;=7,"Sprint 3",IF(G145&lt;=9,"Sprint 4","Final"))))))))</f>
        <v/>
      </c>
      <c r="I145" s="11" t="str">
        <f aca="true">IF(A145="","",IF(TODAY()&lt;E145,"Start",IF(TODAY()&lt;=E145+7,"Charter Approved",IF(TODAY()&lt;=E145+21,"Sprint 1 Review",IF(TODAY()&lt;=E145+35,"Sprint 2 Review",IF(TODAY()&lt;=E145+49,"Sprint 3 Review",IF(TODAY()&lt;=E145+63,"Sprint 4 Review","Final Review")))))))</f>
        <v/>
      </c>
      <c r="J145" s="7" t="str">
        <f aca="true">IF(A145="","",IF(TODAY()&lt;E145,E145,IF(TODAY()&lt;=E145+7,E145+7,IF(TODAY()&lt;=E145+21,E145+21,IF(TODAY()&lt;=E145+35,E145+35,IF(TODAY()&lt;=E145+49,E145+49,IF(TODAY()&lt;=E145+63,E145+63,E145+70)))))))</f>
        <v/>
      </c>
      <c r="K145" s="11" t="str">
        <f aca="true">IF(A145="","",J145-TODAY())</f>
        <v/>
      </c>
      <c r="L145" s="7" t="str">
        <f aca="false">IF(A145="","",IFERROR(LOOKUP(2,1/('Weekly Check-in'!$B$4:$B$1003=A145),'Weekly Check-in'!$A$4:$A$1003),""))</f>
        <v/>
      </c>
      <c r="M145" s="11" t="str">
        <f aca="true">IF(A145="","",IF(L145="","",TODAY()-L145))</f>
        <v/>
      </c>
      <c r="N145" s="11" t="str">
        <f aca="false">IF(A145="","",COUNTIFS('Weekly Check-in'!$B$4:$B$1003,A145,'Weekly Check-in'!$H$4:$H$1003,"&lt;&gt;"))</f>
        <v/>
      </c>
      <c r="O145" s="11" t="str">
        <f aca="true">IF(A145="","",IF(OR(R145="Completed",R145="Withdrawn",TODAY()&lt;E145),"GREEN",IF(L145="","YELLOW",IF(M145&gt;=Config!$B$7,"RED",IF(OR(M145&gt;=Config!$B$6,AND(K145&lt;=Config!$B$8,N145&gt;0)),"YELLOW",IF(N145&gt;0,"YELLOW","GREEN"))))))</f>
        <v/>
      </c>
      <c r="P145" s="17"/>
      <c r="Q145" s="11" t="str">
        <f aca="false">IF(A145="","",IF(P145&lt;&gt;"",P145,O145))</f>
        <v/>
      </c>
      <c r="R145" s="17"/>
      <c r="S145" s="18"/>
      <c r="T145" s="18"/>
    </row>
    <row r="146" customFormat="false" ht="15" hidden="false" customHeight="true" outlineLevel="0" collapsed="false">
      <c r="A146" s="17"/>
      <c r="B146" s="17"/>
      <c r="C146" s="17"/>
      <c r="D146" s="17"/>
      <c r="E146" s="19"/>
      <c r="F146" s="7" t="str">
        <f aca="false">IF(A146="","",E146+Config!$B$4*7)</f>
        <v/>
      </c>
      <c r="G146" s="11" t="str">
        <f aca="true">IF(A146="","",MAX(0,MIN(Config!$B$4,INT((TODAY()-E146)/7)+1)))</f>
        <v/>
      </c>
      <c r="H146" s="11" t="str">
        <f aca="true">IF(A146="","",IF(TODAY()&lt;E146,"Not Started",IF(TODAY()&gt;F146,"Completed",IF(G146=1,"Onboarding",IF(G146&lt;=3,"Sprint 1",IF(G146&lt;=5,"Sprint 2",IF(G146&lt;=7,"Sprint 3",IF(G146&lt;=9,"Sprint 4","Final"))))))))</f>
        <v/>
      </c>
      <c r="I146" s="11" t="str">
        <f aca="true">IF(A146="","",IF(TODAY()&lt;E146,"Start",IF(TODAY()&lt;=E146+7,"Charter Approved",IF(TODAY()&lt;=E146+21,"Sprint 1 Review",IF(TODAY()&lt;=E146+35,"Sprint 2 Review",IF(TODAY()&lt;=E146+49,"Sprint 3 Review",IF(TODAY()&lt;=E146+63,"Sprint 4 Review","Final Review")))))))</f>
        <v/>
      </c>
      <c r="J146" s="7" t="str">
        <f aca="true">IF(A146="","",IF(TODAY()&lt;E146,E146,IF(TODAY()&lt;=E146+7,E146+7,IF(TODAY()&lt;=E146+21,E146+21,IF(TODAY()&lt;=E146+35,E146+35,IF(TODAY()&lt;=E146+49,E146+49,IF(TODAY()&lt;=E146+63,E146+63,E146+70)))))))</f>
        <v/>
      </c>
      <c r="K146" s="11" t="str">
        <f aca="true">IF(A146="","",J146-TODAY())</f>
        <v/>
      </c>
      <c r="L146" s="7" t="str">
        <f aca="false">IF(A146="","",IFERROR(LOOKUP(2,1/('Weekly Check-in'!$B$4:$B$1003=A146),'Weekly Check-in'!$A$4:$A$1003),""))</f>
        <v/>
      </c>
      <c r="M146" s="11" t="str">
        <f aca="true">IF(A146="","",IF(L146="","",TODAY()-L146))</f>
        <v/>
      </c>
      <c r="N146" s="11" t="str">
        <f aca="false">IF(A146="","",COUNTIFS('Weekly Check-in'!$B$4:$B$1003,A146,'Weekly Check-in'!$H$4:$H$1003,"&lt;&gt;"))</f>
        <v/>
      </c>
      <c r="O146" s="11" t="str">
        <f aca="true">IF(A146="","",IF(OR(R146="Completed",R146="Withdrawn",TODAY()&lt;E146),"GREEN",IF(L146="","YELLOW",IF(M146&gt;=Config!$B$7,"RED",IF(OR(M146&gt;=Config!$B$6,AND(K146&lt;=Config!$B$8,N146&gt;0)),"YELLOW",IF(N146&gt;0,"YELLOW","GREEN"))))))</f>
        <v/>
      </c>
      <c r="P146" s="17"/>
      <c r="Q146" s="11" t="str">
        <f aca="false">IF(A146="","",IF(P146&lt;&gt;"",P146,O146))</f>
        <v/>
      </c>
      <c r="R146" s="17"/>
      <c r="S146" s="18"/>
      <c r="T146" s="18"/>
    </row>
    <row r="147" customFormat="false" ht="15" hidden="false" customHeight="true" outlineLevel="0" collapsed="false">
      <c r="A147" s="17"/>
      <c r="B147" s="17"/>
      <c r="C147" s="17"/>
      <c r="D147" s="17"/>
      <c r="E147" s="19"/>
      <c r="F147" s="7" t="str">
        <f aca="false">IF(A147="","",E147+Config!$B$4*7)</f>
        <v/>
      </c>
      <c r="G147" s="11" t="str">
        <f aca="true">IF(A147="","",MAX(0,MIN(Config!$B$4,INT((TODAY()-E147)/7)+1)))</f>
        <v/>
      </c>
      <c r="H147" s="11" t="str">
        <f aca="true">IF(A147="","",IF(TODAY()&lt;E147,"Not Started",IF(TODAY()&gt;F147,"Completed",IF(G147=1,"Onboarding",IF(G147&lt;=3,"Sprint 1",IF(G147&lt;=5,"Sprint 2",IF(G147&lt;=7,"Sprint 3",IF(G147&lt;=9,"Sprint 4","Final"))))))))</f>
        <v/>
      </c>
      <c r="I147" s="11" t="str">
        <f aca="true">IF(A147="","",IF(TODAY()&lt;E147,"Start",IF(TODAY()&lt;=E147+7,"Charter Approved",IF(TODAY()&lt;=E147+21,"Sprint 1 Review",IF(TODAY()&lt;=E147+35,"Sprint 2 Review",IF(TODAY()&lt;=E147+49,"Sprint 3 Review",IF(TODAY()&lt;=E147+63,"Sprint 4 Review","Final Review")))))))</f>
        <v/>
      </c>
      <c r="J147" s="7" t="str">
        <f aca="true">IF(A147="","",IF(TODAY()&lt;E147,E147,IF(TODAY()&lt;=E147+7,E147+7,IF(TODAY()&lt;=E147+21,E147+21,IF(TODAY()&lt;=E147+35,E147+35,IF(TODAY()&lt;=E147+49,E147+49,IF(TODAY()&lt;=E147+63,E147+63,E147+70)))))))</f>
        <v/>
      </c>
      <c r="K147" s="11" t="str">
        <f aca="true">IF(A147="","",J147-TODAY())</f>
        <v/>
      </c>
      <c r="L147" s="7" t="str">
        <f aca="false">IF(A147="","",IFERROR(LOOKUP(2,1/('Weekly Check-in'!$B$4:$B$1003=A147),'Weekly Check-in'!$A$4:$A$1003),""))</f>
        <v/>
      </c>
      <c r="M147" s="11" t="str">
        <f aca="true">IF(A147="","",IF(L147="","",TODAY()-L147))</f>
        <v/>
      </c>
      <c r="N147" s="11" t="str">
        <f aca="false">IF(A147="","",COUNTIFS('Weekly Check-in'!$B$4:$B$1003,A147,'Weekly Check-in'!$H$4:$H$1003,"&lt;&gt;"))</f>
        <v/>
      </c>
      <c r="O147" s="11" t="str">
        <f aca="true">IF(A147="","",IF(OR(R147="Completed",R147="Withdrawn",TODAY()&lt;E147),"GREEN",IF(L147="","YELLOW",IF(M147&gt;=Config!$B$7,"RED",IF(OR(M147&gt;=Config!$B$6,AND(K147&lt;=Config!$B$8,N147&gt;0)),"YELLOW",IF(N147&gt;0,"YELLOW","GREEN"))))))</f>
        <v/>
      </c>
      <c r="P147" s="17"/>
      <c r="Q147" s="11" t="str">
        <f aca="false">IF(A147="","",IF(P147&lt;&gt;"",P147,O147))</f>
        <v/>
      </c>
      <c r="R147" s="17"/>
      <c r="S147" s="18"/>
      <c r="T147" s="18"/>
    </row>
    <row r="148" customFormat="false" ht="15" hidden="false" customHeight="true" outlineLevel="0" collapsed="false">
      <c r="A148" s="17"/>
      <c r="B148" s="17"/>
      <c r="C148" s="17"/>
      <c r="D148" s="17"/>
      <c r="E148" s="19"/>
      <c r="F148" s="7" t="str">
        <f aca="false">IF(A148="","",E148+Config!$B$4*7)</f>
        <v/>
      </c>
      <c r="G148" s="11" t="str">
        <f aca="true">IF(A148="","",MAX(0,MIN(Config!$B$4,INT((TODAY()-E148)/7)+1)))</f>
        <v/>
      </c>
      <c r="H148" s="11" t="str">
        <f aca="true">IF(A148="","",IF(TODAY()&lt;E148,"Not Started",IF(TODAY()&gt;F148,"Completed",IF(G148=1,"Onboarding",IF(G148&lt;=3,"Sprint 1",IF(G148&lt;=5,"Sprint 2",IF(G148&lt;=7,"Sprint 3",IF(G148&lt;=9,"Sprint 4","Final"))))))))</f>
        <v/>
      </c>
      <c r="I148" s="11" t="str">
        <f aca="true">IF(A148="","",IF(TODAY()&lt;E148,"Start",IF(TODAY()&lt;=E148+7,"Charter Approved",IF(TODAY()&lt;=E148+21,"Sprint 1 Review",IF(TODAY()&lt;=E148+35,"Sprint 2 Review",IF(TODAY()&lt;=E148+49,"Sprint 3 Review",IF(TODAY()&lt;=E148+63,"Sprint 4 Review","Final Review")))))))</f>
        <v/>
      </c>
      <c r="J148" s="7" t="str">
        <f aca="true">IF(A148="","",IF(TODAY()&lt;E148,E148,IF(TODAY()&lt;=E148+7,E148+7,IF(TODAY()&lt;=E148+21,E148+21,IF(TODAY()&lt;=E148+35,E148+35,IF(TODAY()&lt;=E148+49,E148+49,IF(TODAY()&lt;=E148+63,E148+63,E148+70)))))))</f>
        <v/>
      </c>
      <c r="K148" s="11" t="str">
        <f aca="true">IF(A148="","",J148-TODAY())</f>
        <v/>
      </c>
      <c r="L148" s="7" t="str">
        <f aca="false">IF(A148="","",IFERROR(LOOKUP(2,1/('Weekly Check-in'!$B$4:$B$1003=A148),'Weekly Check-in'!$A$4:$A$1003),""))</f>
        <v/>
      </c>
      <c r="M148" s="11" t="str">
        <f aca="true">IF(A148="","",IF(L148="","",TODAY()-L148))</f>
        <v/>
      </c>
      <c r="N148" s="11" t="str">
        <f aca="false">IF(A148="","",COUNTIFS('Weekly Check-in'!$B$4:$B$1003,A148,'Weekly Check-in'!$H$4:$H$1003,"&lt;&gt;"))</f>
        <v/>
      </c>
      <c r="O148" s="11" t="str">
        <f aca="true">IF(A148="","",IF(OR(R148="Completed",R148="Withdrawn",TODAY()&lt;E148),"GREEN",IF(L148="","YELLOW",IF(M148&gt;=Config!$B$7,"RED",IF(OR(M148&gt;=Config!$B$6,AND(K148&lt;=Config!$B$8,N148&gt;0)),"YELLOW",IF(N148&gt;0,"YELLOW","GREEN"))))))</f>
        <v/>
      </c>
      <c r="P148" s="17"/>
      <c r="Q148" s="11" t="str">
        <f aca="false">IF(A148="","",IF(P148&lt;&gt;"",P148,O148))</f>
        <v/>
      </c>
      <c r="R148" s="17"/>
      <c r="S148" s="18"/>
      <c r="T148" s="18"/>
    </row>
    <row r="149" customFormat="false" ht="15" hidden="false" customHeight="true" outlineLevel="0" collapsed="false">
      <c r="A149" s="17"/>
      <c r="B149" s="17"/>
      <c r="C149" s="17"/>
      <c r="D149" s="17"/>
      <c r="E149" s="19"/>
      <c r="F149" s="7" t="str">
        <f aca="false">IF(A149="","",E149+Config!$B$4*7)</f>
        <v/>
      </c>
      <c r="G149" s="11" t="str">
        <f aca="true">IF(A149="","",MAX(0,MIN(Config!$B$4,INT((TODAY()-E149)/7)+1)))</f>
        <v/>
      </c>
      <c r="H149" s="11" t="str">
        <f aca="true">IF(A149="","",IF(TODAY()&lt;E149,"Not Started",IF(TODAY()&gt;F149,"Completed",IF(G149=1,"Onboarding",IF(G149&lt;=3,"Sprint 1",IF(G149&lt;=5,"Sprint 2",IF(G149&lt;=7,"Sprint 3",IF(G149&lt;=9,"Sprint 4","Final"))))))))</f>
        <v/>
      </c>
      <c r="I149" s="11" t="str">
        <f aca="true">IF(A149="","",IF(TODAY()&lt;E149,"Start",IF(TODAY()&lt;=E149+7,"Charter Approved",IF(TODAY()&lt;=E149+21,"Sprint 1 Review",IF(TODAY()&lt;=E149+35,"Sprint 2 Review",IF(TODAY()&lt;=E149+49,"Sprint 3 Review",IF(TODAY()&lt;=E149+63,"Sprint 4 Review","Final Review")))))))</f>
        <v/>
      </c>
      <c r="J149" s="7" t="str">
        <f aca="true">IF(A149="","",IF(TODAY()&lt;E149,E149,IF(TODAY()&lt;=E149+7,E149+7,IF(TODAY()&lt;=E149+21,E149+21,IF(TODAY()&lt;=E149+35,E149+35,IF(TODAY()&lt;=E149+49,E149+49,IF(TODAY()&lt;=E149+63,E149+63,E149+70)))))))</f>
        <v/>
      </c>
      <c r="K149" s="11" t="str">
        <f aca="true">IF(A149="","",J149-TODAY())</f>
        <v/>
      </c>
      <c r="L149" s="7" t="str">
        <f aca="false">IF(A149="","",IFERROR(LOOKUP(2,1/('Weekly Check-in'!$B$4:$B$1003=A149),'Weekly Check-in'!$A$4:$A$1003),""))</f>
        <v/>
      </c>
      <c r="M149" s="11" t="str">
        <f aca="true">IF(A149="","",IF(L149="","",TODAY()-L149))</f>
        <v/>
      </c>
      <c r="N149" s="11" t="str">
        <f aca="false">IF(A149="","",COUNTIFS('Weekly Check-in'!$B$4:$B$1003,A149,'Weekly Check-in'!$H$4:$H$1003,"&lt;&gt;"))</f>
        <v/>
      </c>
      <c r="O149" s="11" t="str">
        <f aca="true">IF(A149="","",IF(OR(R149="Completed",R149="Withdrawn",TODAY()&lt;E149),"GREEN",IF(L149="","YELLOW",IF(M149&gt;=Config!$B$7,"RED",IF(OR(M149&gt;=Config!$B$6,AND(K149&lt;=Config!$B$8,N149&gt;0)),"YELLOW",IF(N149&gt;0,"YELLOW","GREEN"))))))</f>
        <v/>
      </c>
      <c r="P149" s="17"/>
      <c r="Q149" s="11" t="str">
        <f aca="false">IF(A149="","",IF(P149&lt;&gt;"",P149,O149))</f>
        <v/>
      </c>
      <c r="R149" s="17"/>
      <c r="S149" s="18"/>
      <c r="T149" s="18"/>
    </row>
    <row r="150" customFormat="false" ht="15" hidden="false" customHeight="true" outlineLevel="0" collapsed="false">
      <c r="A150" s="17"/>
      <c r="B150" s="17"/>
      <c r="C150" s="17"/>
      <c r="D150" s="17"/>
      <c r="E150" s="19"/>
      <c r="F150" s="7" t="str">
        <f aca="false">IF(A150="","",E150+Config!$B$4*7)</f>
        <v/>
      </c>
      <c r="G150" s="11" t="str">
        <f aca="true">IF(A150="","",MAX(0,MIN(Config!$B$4,INT((TODAY()-E150)/7)+1)))</f>
        <v/>
      </c>
      <c r="H150" s="11" t="str">
        <f aca="true">IF(A150="","",IF(TODAY()&lt;E150,"Not Started",IF(TODAY()&gt;F150,"Completed",IF(G150=1,"Onboarding",IF(G150&lt;=3,"Sprint 1",IF(G150&lt;=5,"Sprint 2",IF(G150&lt;=7,"Sprint 3",IF(G150&lt;=9,"Sprint 4","Final"))))))))</f>
        <v/>
      </c>
      <c r="I150" s="11" t="str">
        <f aca="true">IF(A150="","",IF(TODAY()&lt;E150,"Start",IF(TODAY()&lt;=E150+7,"Charter Approved",IF(TODAY()&lt;=E150+21,"Sprint 1 Review",IF(TODAY()&lt;=E150+35,"Sprint 2 Review",IF(TODAY()&lt;=E150+49,"Sprint 3 Review",IF(TODAY()&lt;=E150+63,"Sprint 4 Review","Final Review")))))))</f>
        <v/>
      </c>
      <c r="J150" s="7" t="str">
        <f aca="true">IF(A150="","",IF(TODAY()&lt;E150,E150,IF(TODAY()&lt;=E150+7,E150+7,IF(TODAY()&lt;=E150+21,E150+21,IF(TODAY()&lt;=E150+35,E150+35,IF(TODAY()&lt;=E150+49,E150+49,IF(TODAY()&lt;=E150+63,E150+63,E150+70)))))))</f>
        <v/>
      </c>
      <c r="K150" s="11" t="str">
        <f aca="true">IF(A150="","",J150-TODAY())</f>
        <v/>
      </c>
      <c r="L150" s="7" t="str">
        <f aca="false">IF(A150="","",IFERROR(LOOKUP(2,1/('Weekly Check-in'!$B$4:$B$1003=A150),'Weekly Check-in'!$A$4:$A$1003),""))</f>
        <v/>
      </c>
      <c r="M150" s="11" t="str">
        <f aca="true">IF(A150="","",IF(L150="","",TODAY()-L150))</f>
        <v/>
      </c>
      <c r="N150" s="11" t="str">
        <f aca="false">IF(A150="","",COUNTIFS('Weekly Check-in'!$B$4:$B$1003,A150,'Weekly Check-in'!$H$4:$H$1003,"&lt;&gt;"))</f>
        <v/>
      </c>
      <c r="O150" s="11" t="str">
        <f aca="true">IF(A150="","",IF(OR(R150="Completed",R150="Withdrawn",TODAY()&lt;E150),"GREEN",IF(L150="","YELLOW",IF(M150&gt;=Config!$B$7,"RED",IF(OR(M150&gt;=Config!$B$6,AND(K150&lt;=Config!$B$8,N150&gt;0)),"YELLOW",IF(N150&gt;0,"YELLOW","GREEN"))))))</f>
        <v/>
      </c>
      <c r="P150" s="17"/>
      <c r="Q150" s="11" t="str">
        <f aca="false">IF(A150="","",IF(P150&lt;&gt;"",P150,O150))</f>
        <v/>
      </c>
      <c r="R150" s="17"/>
      <c r="S150" s="18"/>
      <c r="T150" s="18"/>
    </row>
    <row r="151" customFormat="false" ht="15" hidden="false" customHeight="true" outlineLevel="0" collapsed="false">
      <c r="A151" s="17"/>
      <c r="B151" s="17"/>
      <c r="C151" s="17"/>
      <c r="D151" s="17"/>
      <c r="E151" s="19"/>
      <c r="F151" s="7" t="str">
        <f aca="false">IF(A151="","",E151+Config!$B$4*7)</f>
        <v/>
      </c>
      <c r="G151" s="11" t="str">
        <f aca="true">IF(A151="","",MAX(0,MIN(Config!$B$4,INT((TODAY()-E151)/7)+1)))</f>
        <v/>
      </c>
      <c r="H151" s="11" t="str">
        <f aca="true">IF(A151="","",IF(TODAY()&lt;E151,"Not Started",IF(TODAY()&gt;F151,"Completed",IF(G151=1,"Onboarding",IF(G151&lt;=3,"Sprint 1",IF(G151&lt;=5,"Sprint 2",IF(G151&lt;=7,"Sprint 3",IF(G151&lt;=9,"Sprint 4","Final"))))))))</f>
        <v/>
      </c>
      <c r="I151" s="11" t="str">
        <f aca="true">IF(A151="","",IF(TODAY()&lt;E151,"Start",IF(TODAY()&lt;=E151+7,"Charter Approved",IF(TODAY()&lt;=E151+21,"Sprint 1 Review",IF(TODAY()&lt;=E151+35,"Sprint 2 Review",IF(TODAY()&lt;=E151+49,"Sprint 3 Review",IF(TODAY()&lt;=E151+63,"Sprint 4 Review","Final Review")))))))</f>
        <v/>
      </c>
      <c r="J151" s="7" t="str">
        <f aca="true">IF(A151="","",IF(TODAY()&lt;E151,E151,IF(TODAY()&lt;=E151+7,E151+7,IF(TODAY()&lt;=E151+21,E151+21,IF(TODAY()&lt;=E151+35,E151+35,IF(TODAY()&lt;=E151+49,E151+49,IF(TODAY()&lt;=E151+63,E151+63,E151+70)))))))</f>
        <v/>
      </c>
      <c r="K151" s="11" t="str">
        <f aca="true">IF(A151="","",J151-TODAY())</f>
        <v/>
      </c>
      <c r="L151" s="7" t="str">
        <f aca="false">IF(A151="","",IFERROR(LOOKUP(2,1/('Weekly Check-in'!$B$4:$B$1003=A151),'Weekly Check-in'!$A$4:$A$1003),""))</f>
        <v/>
      </c>
      <c r="M151" s="11" t="str">
        <f aca="true">IF(A151="","",IF(L151="","",TODAY()-L151))</f>
        <v/>
      </c>
      <c r="N151" s="11" t="str">
        <f aca="false">IF(A151="","",COUNTIFS('Weekly Check-in'!$B$4:$B$1003,A151,'Weekly Check-in'!$H$4:$H$1003,"&lt;&gt;"))</f>
        <v/>
      </c>
      <c r="O151" s="11" t="str">
        <f aca="true">IF(A151="","",IF(OR(R151="Completed",R151="Withdrawn",TODAY()&lt;E151),"GREEN",IF(L151="","YELLOW",IF(M151&gt;=Config!$B$7,"RED",IF(OR(M151&gt;=Config!$B$6,AND(K151&lt;=Config!$B$8,N151&gt;0)),"YELLOW",IF(N151&gt;0,"YELLOW","GREEN"))))))</f>
        <v/>
      </c>
      <c r="P151" s="17"/>
      <c r="Q151" s="11" t="str">
        <f aca="false">IF(A151="","",IF(P151&lt;&gt;"",P151,O151))</f>
        <v/>
      </c>
      <c r="R151" s="17"/>
      <c r="S151" s="18"/>
      <c r="T151" s="18"/>
    </row>
    <row r="152" customFormat="false" ht="15" hidden="false" customHeight="true" outlineLevel="0" collapsed="false">
      <c r="A152" s="17"/>
      <c r="B152" s="17"/>
      <c r="C152" s="17"/>
      <c r="D152" s="17"/>
      <c r="E152" s="19"/>
      <c r="F152" s="7" t="str">
        <f aca="false">IF(A152="","",E152+Config!$B$4*7)</f>
        <v/>
      </c>
      <c r="G152" s="11" t="str">
        <f aca="true">IF(A152="","",MAX(0,MIN(Config!$B$4,INT((TODAY()-E152)/7)+1)))</f>
        <v/>
      </c>
      <c r="H152" s="11" t="str">
        <f aca="true">IF(A152="","",IF(TODAY()&lt;E152,"Not Started",IF(TODAY()&gt;F152,"Completed",IF(G152=1,"Onboarding",IF(G152&lt;=3,"Sprint 1",IF(G152&lt;=5,"Sprint 2",IF(G152&lt;=7,"Sprint 3",IF(G152&lt;=9,"Sprint 4","Final"))))))))</f>
        <v/>
      </c>
      <c r="I152" s="11" t="str">
        <f aca="true">IF(A152="","",IF(TODAY()&lt;E152,"Start",IF(TODAY()&lt;=E152+7,"Charter Approved",IF(TODAY()&lt;=E152+21,"Sprint 1 Review",IF(TODAY()&lt;=E152+35,"Sprint 2 Review",IF(TODAY()&lt;=E152+49,"Sprint 3 Review",IF(TODAY()&lt;=E152+63,"Sprint 4 Review","Final Review")))))))</f>
        <v/>
      </c>
      <c r="J152" s="7" t="str">
        <f aca="true">IF(A152="","",IF(TODAY()&lt;E152,E152,IF(TODAY()&lt;=E152+7,E152+7,IF(TODAY()&lt;=E152+21,E152+21,IF(TODAY()&lt;=E152+35,E152+35,IF(TODAY()&lt;=E152+49,E152+49,IF(TODAY()&lt;=E152+63,E152+63,E152+70)))))))</f>
        <v/>
      </c>
      <c r="K152" s="11" t="str">
        <f aca="true">IF(A152="","",J152-TODAY())</f>
        <v/>
      </c>
      <c r="L152" s="7" t="str">
        <f aca="false">IF(A152="","",IFERROR(LOOKUP(2,1/('Weekly Check-in'!$B$4:$B$1003=A152),'Weekly Check-in'!$A$4:$A$1003),""))</f>
        <v/>
      </c>
      <c r="M152" s="11" t="str">
        <f aca="true">IF(A152="","",IF(L152="","",TODAY()-L152))</f>
        <v/>
      </c>
      <c r="N152" s="11" t="str">
        <f aca="false">IF(A152="","",COUNTIFS('Weekly Check-in'!$B$4:$B$1003,A152,'Weekly Check-in'!$H$4:$H$1003,"&lt;&gt;"))</f>
        <v/>
      </c>
      <c r="O152" s="11" t="str">
        <f aca="true">IF(A152="","",IF(OR(R152="Completed",R152="Withdrawn",TODAY()&lt;E152),"GREEN",IF(L152="","YELLOW",IF(M152&gt;=Config!$B$7,"RED",IF(OR(M152&gt;=Config!$B$6,AND(K152&lt;=Config!$B$8,N152&gt;0)),"YELLOW",IF(N152&gt;0,"YELLOW","GREEN"))))))</f>
        <v/>
      </c>
      <c r="P152" s="17"/>
      <c r="Q152" s="11" t="str">
        <f aca="false">IF(A152="","",IF(P152&lt;&gt;"",P152,O152))</f>
        <v/>
      </c>
      <c r="R152" s="17"/>
      <c r="S152" s="18"/>
      <c r="T152" s="18"/>
    </row>
    <row r="153" customFormat="false" ht="15" hidden="false" customHeight="true" outlineLevel="0" collapsed="false">
      <c r="A153" s="17"/>
      <c r="B153" s="17"/>
      <c r="C153" s="17"/>
      <c r="D153" s="17"/>
      <c r="E153" s="19"/>
      <c r="F153" s="7" t="str">
        <f aca="false">IF(A153="","",E153+Config!$B$4*7)</f>
        <v/>
      </c>
      <c r="G153" s="11" t="str">
        <f aca="true">IF(A153="","",MAX(0,MIN(Config!$B$4,INT((TODAY()-E153)/7)+1)))</f>
        <v/>
      </c>
      <c r="H153" s="11" t="str">
        <f aca="true">IF(A153="","",IF(TODAY()&lt;E153,"Not Started",IF(TODAY()&gt;F153,"Completed",IF(G153=1,"Onboarding",IF(G153&lt;=3,"Sprint 1",IF(G153&lt;=5,"Sprint 2",IF(G153&lt;=7,"Sprint 3",IF(G153&lt;=9,"Sprint 4","Final"))))))))</f>
        <v/>
      </c>
      <c r="I153" s="11" t="str">
        <f aca="true">IF(A153="","",IF(TODAY()&lt;E153,"Start",IF(TODAY()&lt;=E153+7,"Charter Approved",IF(TODAY()&lt;=E153+21,"Sprint 1 Review",IF(TODAY()&lt;=E153+35,"Sprint 2 Review",IF(TODAY()&lt;=E153+49,"Sprint 3 Review",IF(TODAY()&lt;=E153+63,"Sprint 4 Review","Final Review")))))))</f>
        <v/>
      </c>
      <c r="J153" s="7" t="str">
        <f aca="true">IF(A153="","",IF(TODAY()&lt;E153,E153,IF(TODAY()&lt;=E153+7,E153+7,IF(TODAY()&lt;=E153+21,E153+21,IF(TODAY()&lt;=E153+35,E153+35,IF(TODAY()&lt;=E153+49,E153+49,IF(TODAY()&lt;=E153+63,E153+63,E153+70)))))))</f>
        <v/>
      </c>
      <c r="K153" s="11" t="str">
        <f aca="true">IF(A153="","",J153-TODAY())</f>
        <v/>
      </c>
      <c r="L153" s="7" t="str">
        <f aca="false">IF(A153="","",IFERROR(LOOKUP(2,1/('Weekly Check-in'!$B$4:$B$1003=A153),'Weekly Check-in'!$A$4:$A$1003),""))</f>
        <v/>
      </c>
      <c r="M153" s="11" t="str">
        <f aca="true">IF(A153="","",IF(L153="","",TODAY()-L153))</f>
        <v/>
      </c>
      <c r="N153" s="11" t="str">
        <f aca="false">IF(A153="","",COUNTIFS('Weekly Check-in'!$B$4:$B$1003,A153,'Weekly Check-in'!$H$4:$H$1003,"&lt;&gt;"))</f>
        <v/>
      </c>
      <c r="O153" s="11" t="str">
        <f aca="true">IF(A153="","",IF(OR(R153="Completed",R153="Withdrawn",TODAY()&lt;E153),"GREEN",IF(L153="","YELLOW",IF(M153&gt;=Config!$B$7,"RED",IF(OR(M153&gt;=Config!$B$6,AND(K153&lt;=Config!$B$8,N153&gt;0)),"YELLOW",IF(N153&gt;0,"YELLOW","GREEN"))))))</f>
        <v/>
      </c>
      <c r="P153" s="17"/>
      <c r="Q153" s="11" t="str">
        <f aca="false">IF(A153="","",IF(P153&lt;&gt;"",P153,O153))</f>
        <v/>
      </c>
      <c r="R153" s="17"/>
      <c r="S153" s="18"/>
      <c r="T153" s="18"/>
    </row>
    <row r="154" customFormat="false" ht="15" hidden="false" customHeight="true" outlineLevel="0" collapsed="false">
      <c r="A154" s="17"/>
      <c r="B154" s="17"/>
      <c r="C154" s="17"/>
      <c r="D154" s="17"/>
      <c r="E154" s="19"/>
      <c r="F154" s="7" t="str">
        <f aca="false">IF(A154="","",E154+Config!$B$4*7)</f>
        <v/>
      </c>
      <c r="G154" s="11" t="str">
        <f aca="true">IF(A154="","",MAX(0,MIN(Config!$B$4,INT((TODAY()-E154)/7)+1)))</f>
        <v/>
      </c>
      <c r="H154" s="11" t="str">
        <f aca="true">IF(A154="","",IF(TODAY()&lt;E154,"Not Started",IF(TODAY()&gt;F154,"Completed",IF(G154=1,"Onboarding",IF(G154&lt;=3,"Sprint 1",IF(G154&lt;=5,"Sprint 2",IF(G154&lt;=7,"Sprint 3",IF(G154&lt;=9,"Sprint 4","Final"))))))))</f>
        <v/>
      </c>
      <c r="I154" s="11" t="str">
        <f aca="true">IF(A154="","",IF(TODAY()&lt;E154,"Start",IF(TODAY()&lt;=E154+7,"Charter Approved",IF(TODAY()&lt;=E154+21,"Sprint 1 Review",IF(TODAY()&lt;=E154+35,"Sprint 2 Review",IF(TODAY()&lt;=E154+49,"Sprint 3 Review",IF(TODAY()&lt;=E154+63,"Sprint 4 Review","Final Review")))))))</f>
        <v/>
      </c>
      <c r="J154" s="7" t="str">
        <f aca="true">IF(A154="","",IF(TODAY()&lt;E154,E154,IF(TODAY()&lt;=E154+7,E154+7,IF(TODAY()&lt;=E154+21,E154+21,IF(TODAY()&lt;=E154+35,E154+35,IF(TODAY()&lt;=E154+49,E154+49,IF(TODAY()&lt;=E154+63,E154+63,E154+70)))))))</f>
        <v/>
      </c>
      <c r="K154" s="11" t="str">
        <f aca="true">IF(A154="","",J154-TODAY())</f>
        <v/>
      </c>
      <c r="L154" s="7" t="str">
        <f aca="false">IF(A154="","",IFERROR(LOOKUP(2,1/('Weekly Check-in'!$B$4:$B$1003=A154),'Weekly Check-in'!$A$4:$A$1003),""))</f>
        <v/>
      </c>
      <c r="M154" s="11" t="str">
        <f aca="true">IF(A154="","",IF(L154="","",TODAY()-L154))</f>
        <v/>
      </c>
      <c r="N154" s="11" t="str">
        <f aca="false">IF(A154="","",COUNTIFS('Weekly Check-in'!$B$4:$B$1003,A154,'Weekly Check-in'!$H$4:$H$1003,"&lt;&gt;"))</f>
        <v/>
      </c>
      <c r="O154" s="11" t="str">
        <f aca="true">IF(A154="","",IF(OR(R154="Completed",R154="Withdrawn",TODAY()&lt;E154),"GREEN",IF(L154="","YELLOW",IF(M154&gt;=Config!$B$7,"RED",IF(OR(M154&gt;=Config!$B$6,AND(K154&lt;=Config!$B$8,N154&gt;0)),"YELLOW",IF(N154&gt;0,"YELLOW","GREEN"))))))</f>
        <v/>
      </c>
      <c r="P154" s="17"/>
      <c r="Q154" s="11" t="str">
        <f aca="false">IF(A154="","",IF(P154&lt;&gt;"",P154,O154))</f>
        <v/>
      </c>
      <c r="R154" s="17"/>
      <c r="S154" s="18"/>
      <c r="T154" s="18"/>
    </row>
    <row r="155" customFormat="false" ht="15" hidden="false" customHeight="true" outlineLevel="0" collapsed="false">
      <c r="A155" s="17"/>
      <c r="B155" s="17"/>
      <c r="C155" s="17"/>
      <c r="D155" s="17"/>
      <c r="E155" s="19"/>
      <c r="F155" s="7" t="str">
        <f aca="false">IF(A155="","",E155+Config!$B$4*7)</f>
        <v/>
      </c>
      <c r="G155" s="11" t="str">
        <f aca="true">IF(A155="","",MAX(0,MIN(Config!$B$4,INT((TODAY()-E155)/7)+1)))</f>
        <v/>
      </c>
      <c r="H155" s="11" t="str">
        <f aca="true">IF(A155="","",IF(TODAY()&lt;E155,"Not Started",IF(TODAY()&gt;F155,"Completed",IF(G155=1,"Onboarding",IF(G155&lt;=3,"Sprint 1",IF(G155&lt;=5,"Sprint 2",IF(G155&lt;=7,"Sprint 3",IF(G155&lt;=9,"Sprint 4","Final"))))))))</f>
        <v/>
      </c>
      <c r="I155" s="11" t="str">
        <f aca="true">IF(A155="","",IF(TODAY()&lt;E155,"Start",IF(TODAY()&lt;=E155+7,"Charter Approved",IF(TODAY()&lt;=E155+21,"Sprint 1 Review",IF(TODAY()&lt;=E155+35,"Sprint 2 Review",IF(TODAY()&lt;=E155+49,"Sprint 3 Review",IF(TODAY()&lt;=E155+63,"Sprint 4 Review","Final Review")))))))</f>
        <v/>
      </c>
      <c r="J155" s="7" t="str">
        <f aca="true">IF(A155="","",IF(TODAY()&lt;E155,E155,IF(TODAY()&lt;=E155+7,E155+7,IF(TODAY()&lt;=E155+21,E155+21,IF(TODAY()&lt;=E155+35,E155+35,IF(TODAY()&lt;=E155+49,E155+49,IF(TODAY()&lt;=E155+63,E155+63,E155+70)))))))</f>
        <v/>
      </c>
      <c r="K155" s="11" t="str">
        <f aca="true">IF(A155="","",J155-TODAY())</f>
        <v/>
      </c>
      <c r="L155" s="7" t="str">
        <f aca="false">IF(A155="","",IFERROR(LOOKUP(2,1/('Weekly Check-in'!$B$4:$B$1003=A155),'Weekly Check-in'!$A$4:$A$1003),""))</f>
        <v/>
      </c>
      <c r="M155" s="11" t="str">
        <f aca="true">IF(A155="","",IF(L155="","",TODAY()-L155))</f>
        <v/>
      </c>
      <c r="N155" s="11" t="str">
        <f aca="false">IF(A155="","",COUNTIFS('Weekly Check-in'!$B$4:$B$1003,A155,'Weekly Check-in'!$H$4:$H$1003,"&lt;&gt;"))</f>
        <v/>
      </c>
      <c r="O155" s="11" t="str">
        <f aca="true">IF(A155="","",IF(OR(R155="Completed",R155="Withdrawn",TODAY()&lt;E155),"GREEN",IF(L155="","YELLOW",IF(M155&gt;=Config!$B$7,"RED",IF(OR(M155&gt;=Config!$B$6,AND(K155&lt;=Config!$B$8,N155&gt;0)),"YELLOW",IF(N155&gt;0,"YELLOW","GREEN"))))))</f>
        <v/>
      </c>
      <c r="P155" s="17"/>
      <c r="Q155" s="11" t="str">
        <f aca="false">IF(A155="","",IF(P155&lt;&gt;"",P155,O155))</f>
        <v/>
      </c>
      <c r="R155" s="17"/>
      <c r="S155" s="18"/>
      <c r="T155" s="18"/>
    </row>
    <row r="156" customFormat="false" ht="15" hidden="false" customHeight="true" outlineLevel="0" collapsed="false">
      <c r="A156" s="17"/>
      <c r="B156" s="17"/>
      <c r="C156" s="17"/>
      <c r="D156" s="17"/>
      <c r="E156" s="19"/>
      <c r="F156" s="7" t="str">
        <f aca="false">IF(A156="","",E156+Config!$B$4*7)</f>
        <v/>
      </c>
      <c r="G156" s="11" t="str">
        <f aca="true">IF(A156="","",MAX(0,MIN(Config!$B$4,INT((TODAY()-E156)/7)+1)))</f>
        <v/>
      </c>
      <c r="H156" s="11" t="str">
        <f aca="true">IF(A156="","",IF(TODAY()&lt;E156,"Not Started",IF(TODAY()&gt;F156,"Completed",IF(G156=1,"Onboarding",IF(G156&lt;=3,"Sprint 1",IF(G156&lt;=5,"Sprint 2",IF(G156&lt;=7,"Sprint 3",IF(G156&lt;=9,"Sprint 4","Final"))))))))</f>
        <v/>
      </c>
      <c r="I156" s="11" t="str">
        <f aca="true">IF(A156="","",IF(TODAY()&lt;E156,"Start",IF(TODAY()&lt;=E156+7,"Charter Approved",IF(TODAY()&lt;=E156+21,"Sprint 1 Review",IF(TODAY()&lt;=E156+35,"Sprint 2 Review",IF(TODAY()&lt;=E156+49,"Sprint 3 Review",IF(TODAY()&lt;=E156+63,"Sprint 4 Review","Final Review")))))))</f>
        <v/>
      </c>
      <c r="J156" s="7" t="str">
        <f aca="true">IF(A156="","",IF(TODAY()&lt;E156,E156,IF(TODAY()&lt;=E156+7,E156+7,IF(TODAY()&lt;=E156+21,E156+21,IF(TODAY()&lt;=E156+35,E156+35,IF(TODAY()&lt;=E156+49,E156+49,IF(TODAY()&lt;=E156+63,E156+63,E156+70)))))))</f>
        <v/>
      </c>
      <c r="K156" s="11" t="str">
        <f aca="true">IF(A156="","",J156-TODAY())</f>
        <v/>
      </c>
      <c r="L156" s="7" t="str">
        <f aca="false">IF(A156="","",IFERROR(LOOKUP(2,1/('Weekly Check-in'!$B$4:$B$1003=A156),'Weekly Check-in'!$A$4:$A$1003),""))</f>
        <v/>
      </c>
      <c r="M156" s="11" t="str">
        <f aca="true">IF(A156="","",IF(L156="","",TODAY()-L156))</f>
        <v/>
      </c>
      <c r="N156" s="11" t="str">
        <f aca="false">IF(A156="","",COUNTIFS('Weekly Check-in'!$B$4:$B$1003,A156,'Weekly Check-in'!$H$4:$H$1003,"&lt;&gt;"))</f>
        <v/>
      </c>
      <c r="O156" s="11" t="str">
        <f aca="true">IF(A156="","",IF(OR(R156="Completed",R156="Withdrawn",TODAY()&lt;E156),"GREEN",IF(L156="","YELLOW",IF(M156&gt;=Config!$B$7,"RED",IF(OR(M156&gt;=Config!$B$6,AND(K156&lt;=Config!$B$8,N156&gt;0)),"YELLOW",IF(N156&gt;0,"YELLOW","GREEN"))))))</f>
        <v/>
      </c>
      <c r="P156" s="17"/>
      <c r="Q156" s="11" t="str">
        <f aca="false">IF(A156="","",IF(P156&lt;&gt;"",P156,O156))</f>
        <v/>
      </c>
      <c r="R156" s="17"/>
      <c r="S156" s="18"/>
      <c r="T156" s="18"/>
    </row>
    <row r="157" customFormat="false" ht="15" hidden="false" customHeight="true" outlineLevel="0" collapsed="false">
      <c r="A157" s="17"/>
      <c r="B157" s="17"/>
      <c r="C157" s="17"/>
      <c r="D157" s="17"/>
      <c r="E157" s="19"/>
      <c r="F157" s="7" t="str">
        <f aca="false">IF(A157="","",E157+Config!$B$4*7)</f>
        <v/>
      </c>
      <c r="G157" s="11" t="str">
        <f aca="true">IF(A157="","",MAX(0,MIN(Config!$B$4,INT((TODAY()-E157)/7)+1)))</f>
        <v/>
      </c>
      <c r="H157" s="11" t="str">
        <f aca="true">IF(A157="","",IF(TODAY()&lt;E157,"Not Started",IF(TODAY()&gt;F157,"Completed",IF(G157=1,"Onboarding",IF(G157&lt;=3,"Sprint 1",IF(G157&lt;=5,"Sprint 2",IF(G157&lt;=7,"Sprint 3",IF(G157&lt;=9,"Sprint 4","Final"))))))))</f>
        <v/>
      </c>
      <c r="I157" s="11" t="str">
        <f aca="true">IF(A157="","",IF(TODAY()&lt;E157,"Start",IF(TODAY()&lt;=E157+7,"Charter Approved",IF(TODAY()&lt;=E157+21,"Sprint 1 Review",IF(TODAY()&lt;=E157+35,"Sprint 2 Review",IF(TODAY()&lt;=E157+49,"Sprint 3 Review",IF(TODAY()&lt;=E157+63,"Sprint 4 Review","Final Review")))))))</f>
        <v/>
      </c>
      <c r="J157" s="7" t="str">
        <f aca="true">IF(A157="","",IF(TODAY()&lt;E157,E157,IF(TODAY()&lt;=E157+7,E157+7,IF(TODAY()&lt;=E157+21,E157+21,IF(TODAY()&lt;=E157+35,E157+35,IF(TODAY()&lt;=E157+49,E157+49,IF(TODAY()&lt;=E157+63,E157+63,E157+70)))))))</f>
        <v/>
      </c>
      <c r="K157" s="11" t="str">
        <f aca="true">IF(A157="","",J157-TODAY())</f>
        <v/>
      </c>
      <c r="L157" s="7" t="str">
        <f aca="false">IF(A157="","",IFERROR(LOOKUP(2,1/('Weekly Check-in'!$B$4:$B$1003=A157),'Weekly Check-in'!$A$4:$A$1003),""))</f>
        <v/>
      </c>
      <c r="M157" s="11" t="str">
        <f aca="true">IF(A157="","",IF(L157="","",TODAY()-L157))</f>
        <v/>
      </c>
      <c r="N157" s="11" t="str">
        <f aca="false">IF(A157="","",COUNTIFS('Weekly Check-in'!$B$4:$B$1003,A157,'Weekly Check-in'!$H$4:$H$1003,"&lt;&gt;"))</f>
        <v/>
      </c>
      <c r="O157" s="11" t="str">
        <f aca="true">IF(A157="","",IF(OR(R157="Completed",R157="Withdrawn",TODAY()&lt;E157),"GREEN",IF(L157="","YELLOW",IF(M157&gt;=Config!$B$7,"RED",IF(OR(M157&gt;=Config!$B$6,AND(K157&lt;=Config!$B$8,N157&gt;0)),"YELLOW",IF(N157&gt;0,"YELLOW","GREEN"))))))</f>
        <v/>
      </c>
      <c r="P157" s="17"/>
      <c r="Q157" s="11" t="str">
        <f aca="false">IF(A157="","",IF(P157&lt;&gt;"",P157,O157))</f>
        <v/>
      </c>
      <c r="R157" s="17"/>
      <c r="S157" s="18"/>
      <c r="T157" s="18"/>
    </row>
    <row r="158" customFormat="false" ht="15" hidden="false" customHeight="true" outlineLevel="0" collapsed="false">
      <c r="A158" s="17"/>
      <c r="B158" s="17"/>
      <c r="C158" s="17"/>
      <c r="D158" s="17"/>
      <c r="E158" s="19"/>
      <c r="F158" s="7" t="str">
        <f aca="false">IF(A158="","",E158+Config!$B$4*7)</f>
        <v/>
      </c>
      <c r="G158" s="11" t="str">
        <f aca="true">IF(A158="","",MAX(0,MIN(Config!$B$4,INT((TODAY()-E158)/7)+1)))</f>
        <v/>
      </c>
      <c r="H158" s="11" t="str">
        <f aca="true">IF(A158="","",IF(TODAY()&lt;E158,"Not Started",IF(TODAY()&gt;F158,"Completed",IF(G158=1,"Onboarding",IF(G158&lt;=3,"Sprint 1",IF(G158&lt;=5,"Sprint 2",IF(G158&lt;=7,"Sprint 3",IF(G158&lt;=9,"Sprint 4","Final"))))))))</f>
        <v/>
      </c>
      <c r="I158" s="11" t="str">
        <f aca="true">IF(A158="","",IF(TODAY()&lt;E158,"Start",IF(TODAY()&lt;=E158+7,"Charter Approved",IF(TODAY()&lt;=E158+21,"Sprint 1 Review",IF(TODAY()&lt;=E158+35,"Sprint 2 Review",IF(TODAY()&lt;=E158+49,"Sprint 3 Review",IF(TODAY()&lt;=E158+63,"Sprint 4 Review","Final Review")))))))</f>
        <v/>
      </c>
      <c r="J158" s="7" t="str">
        <f aca="true">IF(A158="","",IF(TODAY()&lt;E158,E158,IF(TODAY()&lt;=E158+7,E158+7,IF(TODAY()&lt;=E158+21,E158+21,IF(TODAY()&lt;=E158+35,E158+35,IF(TODAY()&lt;=E158+49,E158+49,IF(TODAY()&lt;=E158+63,E158+63,E158+70)))))))</f>
        <v/>
      </c>
      <c r="K158" s="11" t="str">
        <f aca="true">IF(A158="","",J158-TODAY())</f>
        <v/>
      </c>
      <c r="L158" s="7" t="str">
        <f aca="false">IF(A158="","",IFERROR(LOOKUP(2,1/('Weekly Check-in'!$B$4:$B$1003=A158),'Weekly Check-in'!$A$4:$A$1003),""))</f>
        <v/>
      </c>
      <c r="M158" s="11" t="str">
        <f aca="true">IF(A158="","",IF(L158="","",TODAY()-L158))</f>
        <v/>
      </c>
      <c r="N158" s="11" t="str">
        <f aca="false">IF(A158="","",COUNTIFS('Weekly Check-in'!$B$4:$B$1003,A158,'Weekly Check-in'!$H$4:$H$1003,"&lt;&gt;"))</f>
        <v/>
      </c>
      <c r="O158" s="11" t="str">
        <f aca="true">IF(A158="","",IF(OR(R158="Completed",R158="Withdrawn",TODAY()&lt;E158),"GREEN",IF(L158="","YELLOW",IF(M158&gt;=Config!$B$7,"RED",IF(OR(M158&gt;=Config!$B$6,AND(K158&lt;=Config!$B$8,N158&gt;0)),"YELLOW",IF(N158&gt;0,"YELLOW","GREEN"))))))</f>
        <v/>
      </c>
      <c r="P158" s="17"/>
      <c r="Q158" s="11" t="str">
        <f aca="false">IF(A158="","",IF(P158&lt;&gt;"",P158,O158))</f>
        <v/>
      </c>
      <c r="R158" s="17"/>
      <c r="S158" s="18"/>
      <c r="T158" s="18"/>
    </row>
    <row r="159" customFormat="false" ht="15" hidden="false" customHeight="true" outlineLevel="0" collapsed="false">
      <c r="A159" s="17"/>
      <c r="B159" s="17"/>
      <c r="C159" s="17"/>
      <c r="D159" s="17"/>
      <c r="E159" s="19"/>
      <c r="F159" s="7" t="str">
        <f aca="false">IF(A159="","",E159+Config!$B$4*7)</f>
        <v/>
      </c>
      <c r="G159" s="11" t="str">
        <f aca="true">IF(A159="","",MAX(0,MIN(Config!$B$4,INT((TODAY()-E159)/7)+1)))</f>
        <v/>
      </c>
      <c r="H159" s="11" t="str">
        <f aca="true">IF(A159="","",IF(TODAY()&lt;E159,"Not Started",IF(TODAY()&gt;F159,"Completed",IF(G159=1,"Onboarding",IF(G159&lt;=3,"Sprint 1",IF(G159&lt;=5,"Sprint 2",IF(G159&lt;=7,"Sprint 3",IF(G159&lt;=9,"Sprint 4","Final"))))))))</f>
        <v/>
      </c>
      <c r="I159" s="11" t="str">
        <f aca="true">IF(A159="","",IF(TODAY()&lt;E159,"Start",IF(TODAY()&lt;=E159+7,"Charter Approved",IF(TODAY()&lt;=E159+21,"Sprint 1 Review",IF(TODAY()&lt;=E159+35,"Sprint 2 Review",IF(TODAY()&lt;=E159+49,"Sprint 3 Review",IF(TODAY()&lt;=E159+63,"Sprint 4 Review","Final Review")))))))</f>
        <v/>
      </c>
      <c r="J159" s="7" t="str">
        <f aca="true">IF(A159="","",IF(TODAY()&lt;E159,E159,IF(TODAY()&lt;=E159+7,E159+7,IF(TODAY()&lt;=E159+21,E159+21,IF(TODAY()&lt;=E159+35,E159+35,IF(TODAY()&lt;=E159+49,E159+49,IF(TODAY()&lt;=E159+63,E159+63,E159+70)))))))</f>
        <v/>
      </c>
      <c r="K159" s="11" t="str">
        <f aca="true">IF(A159="","",J159-TODAY())</f>
        <v/>
      </c>
      <c r="L159" s="7" t="str">
        <f aca="false">IF(A159="","",IFERROR(LOOKUP(2,1/('Weekly Check-in'!$B$4:$B$1003=A159),'Weekly Check-in'!$A$4:$A$1003),""))</f>
        <v/>
      </c>
      <c r="M159" s="11" t="str">
        <f aca="true">IF(A159="","",IF(L159="","",TODAY()-L159))</f>
        <v/>
      </c>
      <c r="N159" s="11" t="str">
        <f aca="false">IF(A159="","",COUNTIFS('Weekly Check-in'!$B$4:$B$1003,A159,'Weekly Check-in'!$H$4:$H$1003,"&lt;&gt;"))</f>
        <v/>
      </c>
      <c r="O159" s="11" t="str">
        <f aca="true">IF(A159="","",IF(OR(R159="Completed",R159="Withdrawn",TODAY()&lt;E159),"GREEN",IF(L159="","YELLOW",IF(M159&gt;=Config!$B$7,"RED",IF(OR(M159&gt;=Config!$B$6,AND(K159&lt;=Config!$B$8,N159&gt;0)),"YELLOW",IF(N159&gt;0,"YELLOW","GREEN"))))))</f>
        <v/>
      </c>
      <c r="P159" s="17"/>
      <c r="Q159" s="11" t="str">
        <f aca="false">IF(A159="","",IF(P159&lt;&gt;"",P159,O159))</f>
        <v/>
      </c>
      <c r="R159" s="17"/>
      <c r="S159" s="18"/>
      <c r="T159" s="18"/>
    </row>
    <row r="160" customFormat="false" ht="15" hidden="false" customHeight="true" outlineLevel="0" collapsed="false">
      <c r="A160" s="17"/>
      <c r="B160" s="17"/>
      <c r="C160" s="17"/>
      <c r="D160" s="17"/>
      <c r="E160" s="19"/>
      <c r="F160" s="7" t="str">
        <f aca="false">IF(A160="","",E160+Config!$B$4*7)</f>
        <v/>
      </c>
      <c r="G160" s="11" t="str">
        <f aca="true">IF(A160="","",MAX(0,MIN(Config!$B$4,INT((TODAY()-E160)/7)+1)))</f>
        <v/>
      </c>
      <c r="H160" s="11" t="str">
        <f aca="true">IF(A160="","",IF(TODAY()&lt;E160,"Not Started",IF(TODAY()&gt;F160,"Completed",IF(G160=1,"Onboarding",IF(G160&lt;=3,"Sprint 1",IF(G160&lt;=5,"Sprint 2",IF(G160&lt;=7,"Sprint 3",IF(G160&lt;=9,"Sprint 4","Final"))))))))</f>
        <v/>
      </c>
      <c r="I160" s="11" t="str">
        <f aca="true">IF(A160="","",IF(TODAY()&lt;E160,"Start",IF(TODAY()&lt;=E160+7,"Charter Approved",IF(TODAY()&lt;=E160+21,"Sprint 1 Review",IF(TODAY()&lt;=E160+35,"Sprint 2 Review",IF(TODAY()&lt;=E160+49,"Sprint 3 Review",IF(TODAY()&lt;=E160+63,"Sprint 4 Review","Final Review")))))))</f>
        <v/>
      </c>
      <c r="J160" s="7" t="str">
        <f aca="true">IF(A160="","",IF(TODAY()&lt;E160,E160,IF(TODAY()&lt;=E160+7,E160+7,IF(TODAY()&lt;=E160+21,E160+21,IF(TODAY()&lt;=E160+35,E160+35,IF(TODAY()&lt;=E160+49,E160+49,IF(TODAY()&lt;=E160+63,E160+63,E160+70)))))))</f>
        <v/>
      </c>
      <c r="K160" s="11" t="str">
        <f aca="true">IF(A160="","",J160-TODAY())</f>
        <v/>
      </c>
      <c r="L160" s="7" t="str">
        <f aca="false">IF(A160="","",IFERROR(LOOKUP(2,1/('Weekly Check-in'!$B$4:$B$1003=A160),'Weekly Check-in'!$A$4:$A$1003),""))</f>
        <v/>
      </c>
      <c r="M160" s="11" t="str">
        <f aca="true">IF(A160="","",IF(L160="","",TODAY()-L160))</f>
        <v/>
      </c>
      <c r="N160" s="11" t="str">
        <f aca="false">IF(A160="","",COUNTIFS('Weekly Check-in'!$B$4:$B$1003,A160,'Weekly Check-in'!$H$4:$H$1003,"&lt;&gt;"))</f>
        <v/>
      </c>
      <c r="O160" s="11" t="str">
        <f aca="true">IF(A160="","",IF(OR(R160="Completed",R160="Withdrawn",TODAY()&lt;E160),"GREEN",IF(L160="","YELLOW",IF(M160&gt;=Config!$B$7,"RED",IF(OR(M160&gt;=Config!$B$6,AND(K160&lt;=Config!$B$8,N160&gt;0)),"YELLOW",IF(N160&gt;0,"YELLOW","GREEN"))))))</f>
        <v/>
      </c>
      <c r="P160" s="17"/>
      <c r="Q160" s="11" t="str">
        <f aca="false">IF(A160="","",IF(P160&lt;&gt;"",P160,O160))</f>
        <v/>
      </c>
      <c r="R160" s="17"/>
      <c r="S160" s="18"/>
      <c r="T160" s="18"/>
    </row>
    <row r="161" customFormat="false" ht="15" hidden="false" customHeight="true" outlineLevel="0" collapsed="false">
      <c r="A161" s="17"/>
      <c r="B161" s="17"/>
      <c r="C161" s="17"/>
      <c r="D161" s="17"/>
      <c r="E161" s="19"/>
      <c r="F161" s="7" t="str">
        <f aca="false">IF(A161="","",E161+Config!$B$4*7)</f>
        <v/>
      </c>
      <c r="G161" s="11" t="str">
        <f aca="true">IF(A161="","",MAX(0,MIN(Config!$B$4,INT((TODAY()-E161)/7)+1)))</f>
        <v/>
      </c>
      <c r="H161" s="11" t="str">
        <f aca="true">IF(A161="","",IF(TODAY()&lt;E161,"Not Started",IF(TODAY()&gt;F161,"Completed",IF(G161=1,"Onboarding",IF(G161&lt;=3,"Sprint 1",IF(G161&lt;=5,"Sprint 2",IF(G161&lt;=7,"Sprint 3",IF(G161&lt;=9,"Sprint 4","Final"))))))))</f>
        <v/>
      </c>
      <c r="I161" s="11" t="str">
        <f aca="true">IF(A161="","",IF(TODAY()&lt;E161,"Start",IF(TODAY()&lt;=E161+7,"Charter Approved",IF(TODAY()&lt;=E161+21,"Sprint 1 Review",IF(TODAY()&lt;=E161+35,"Sprint 2 Review",IF(TODAY()&lt;=E161+49,"Sprint 3 Review",IF(TODAY()&lt;=E161+63,"Sprint 4 Review","Final Review")))))))</f>
        <v/>
      </c>
      <c r="J161" s="7" t="str">
        <f aca="true">IF(A161="","",IF(TODAY()&lt;E161,E161,IF(TODAY()&lt;=E161+7,E161+7,IF(TODAY()&lt;=E161+21,E161+21,IF(TODAY()&lt;=E161+35,E161+35,IF(TODAY()&lt;=E161+49,E161+49,IF(TODAY()&lt;=E161+63,E161+63,E161+70)))))))</f>
        <v/>
      </c>
      <c r="K161" s="11" t="str">
        <f aca="true">IF(A161="","",J161-TODAY())</f>
        <v/>
      </c>
      <c r="L161" s="7" t="str">
        <f aca="false">IF(A161="","",IFERROR(LOOKUP(2,1/('Weekly Check-in'!$B$4:$B$1003=A161),'Weekly Check-in'!$A$4:$A$1003),""))</f>
        <v/>
      </c>
      <c r="M161" s="11" t="str">
        <f aca="true">IF(A161="","",IF(L161="","",TODAY()-L161))</f>
        <v/>
      </c>
      <c r="N161" s="11" t="str">
        <f aca="false">IF(A161="","",COUNTIFS('Weekly Check-in'!$B$4:$B$1003,A161,'Weekly Check-in'!$H$4:$H$1003,"&lt;&gt;"))</f>
        <v/>
      </c>
      <c r="O161" s="11" t="str">
        <f aca="true">IF(A161="","",IF(OR(R161="Completed",R161="Withdrawn",TODAY()&lt;E161),"GREEN",IF(L161="","YELLOW",IF(M161&gt;=Config!$B$7,"RED",IF(OR(M161&gt;=Config!$B$6,AND(K161&lt;=Config!$B$8,N161&gt;0)),"YELLOW",IF(N161&gt;0,"YELLOW","GREEN"))))))</f>
        <v/>
      </c>
      <c r="P161" s="17"/>
      <c r="Q161" s="11" t="str">
        <f aca="false">IF(A161="","",IF(P161&lt;&gt;"",P161,O161))</f>
        <v/>
      </c>
      <c r="R161" s="17"/>
      <c r="S161" s="18"/>
      <c r="T161" s="18"/>
    </row>
    <row r="162" customFormat="false" ht="15" hidden="false" customHeight="true" outlineLevel="0" collapsed="false">
      <c r="A162" s="17"/>
      <c r="B162" s="17"/>
      <c r="C162" s="17"/>
      <c r="D162" s="17"/>
      <c r="E162" s="19"/>
      <c r="F162" s="7" t="str">
        <f aca="false">IF(A162="","",E162+Config!$B$4*7)</f>
        <v/>
      </c>
      <c r="G162" s="11" t="str">
        <f aca="true">IF(A162="","",MAX(0,MIN(Config!$B$4,INT((TODAY()-E162)/7)+1)))</f>
        <v/>
      </c>
      <c r="H162" s="11" t="str">
        <f aca="true">IF(A162="","",IF(TODAY()&lt;E162,"Not Started",IF(TODAY()&gt;F162,"Completed",IF(G162=1,"Onboarding",IF(G162&lt;=3,"Sprint 1",IF(G162&lt;=5,"Sprint 2",IF(G162&lt;=7,"Sprint 3",IF(G162&lt;=9,"Sprint 4","Final"))))))))</f>
        <v/>
      </c>
      <c r="I162" s="11" t="str">
        <f aca="true">IF(A162="","",IF(TODAY()&lt;E162,"Start",IF(TODAY()&lt;=E162+7,"Charter Approved",IF(TODAY()&lt;=E162+21,"Sprint 1 Review",IF(TODAY()&lt;=E162+35,"Sprint 2 Review",IF(TODAY()&lt;=E162+49,"Sprint 3 Review",IF(TODAY()&lt;=E162+63,"Sprint 4 Review","Final Review")))))))</f>
        <v/>
      </c>
      <c r="J162" s="7" t="str">
        <f aca="true">IF(A162="","",IF(TODAY()&lt;E162,E162,IF(TODAY()&lt;=E162+7,E162+7,IF(TODAY()&lt;=E162+21,E162+21,IF(TODAY()&lt;=E162+35,E162+35,IF(TODAY()&lt;=E162+49,E162+49,IF(TODAY()&lt;=E162+63,E162+63,E162+70)))))))</f>
        <v/>
      </c>
      <c r="K162" s="11" t="str">
        <f aca="true">IF(A162="","",J162-TODAY())</f>
        <v/>
      </c>
      <c r="L162" s="7" t="str">
        <f aca="false">IF(A162="","",IFERROR(LOOKUP(2,1/('Weekly Check-in'!$B$4:$B$1003=A162),'Weekly Check-in'!$A$4:$A$1003),""))</f>
        <v/>
      </c>
      <c r="M162" s="11" t="str">
        <f aca="true">IF(A162="","",IF(L162="","",TODAY()-L162))</f>
        <v/>
      </c>
      <c r="N162" s="11" t="str">
        <f aca="false">IF(A162="","",COUNTIFS('Weekly Check-in'!$B$4:$B$1003,A162,'Weekly Check-in'!$H$4:$H$1003,"&lt;&gt;"))</f>
        <v/>
      </c>
      <c r="O162" s="11" t="str">
        <f aca="true">IF(A162="","",IF(OR(R162="Completed",R162="Withdrawn",TODAY()&lt;E162),"GREEN",IF(L162="","YELLOW",IF(M162&gt;=Config!$B$7,"RED",IF(OR(M162&gt;=Config!$B$6,AND(K162&lt;=Config!$B$8,N162&gt;0)),"YELLOW",IF(N162&gt;0,"YELLOW","GREEN"))))))</f>
        <v/>
      </c>
      <c r="P162" s="17"/>
      <c r="Q162" s="11" t="str">
        <f aca="false">IF(A162="","",IF(P162&lt;&gt;"",P162,O162))</f>
        <v/>
      </c>
      <c r="R162" s="17"/>
      <c r="S162" s="18"/>
      <c r="T162" s="18"/>
    </row>
    <row r="163" customFormat="false" ht="15" hidden="false" customHeight="true" outlineLevel="0" collapsed="false">
      <c r="A163" s="17"/>
      <c r="B163" s="17"/>
      <c r="C163" s="17"/>
      <c r="D163" s="17"/>
      <c r="E163" s="19"/>
      <c r="F163" s="7" t="str">
        <f aca="false">IF(A163="","",E163+Config!$B$4*7)</f>
        <v/>
      </c>
      <c r="G163" s="11" t="str">
        <f aca="true">IF(A163="","",MAX(0,MIN(Config!$B$4,INT((TODAY()-E163)/7)+1)))</f>
        <v/>
      </c>
      <c r="H163" s="11" t="str">
        <f aca="true">IF(A163="","",IF(TODAY()&lt;E163,"Not Started",IF(TODAY()&gt;F163,"Completed",IF(G163=1,"Onboarding",IF(G163&lt;=3,"Sprint 1",IF(G163&lt;=5,"Sprint 2",IF(G163&lt;=7,"Sprint 3",IF(G163&lt;=9,"Sprint 4","Final"))))))))</f>
        <v/>
      </c>
      <c r="I163" s="11" t="str">
        <f aca="true">IF(A163="","",IF(TODAY()&lt;E163,"Start",IF(TODAY()&lt;=E163+7,"Charter Approved",IF(TODAY()&lt;=E163+21,"Sprint 1 Review",IF(TODAY()&lt;=E163+35,"Sprint 2 Review",IF(TODAY()&lt;=E163+49,"Sprint 3 Review",IF(TODAY()&lt;=E163+63,"Sprint 4 Review","Final Review")))))))</f>
        <v/>
      </c>
      <c r="J163" s="7" t="str">
        <f aca="true">IF(A163="","",IF(TODAY()&lt;E163,E163,IF(TODAY()&lt;=E163+7,E163+7,IF(TODAY()&lt;=E163+21,E163+21,IF(TODAY()&lt;=E163+35,E163+35,IF(TODAY()&lt;=E163+49,E163+49,IF(TODAY()&lt;=E163+63,E163+63,E163+70)))))))</f>
        <v/>
      </c>
      <c r="K163" s="11" t="str">
        <f aca="true">IF(A163="","",J163-TODAY())</f>
        <v/>
      </c>
      <c r="L163" s="7" t="str">
        <f aca="false">IF(A163="","",IFERROR(LOOKUP(2,1/('Weekly Check-in'!$B$4:$B$1003=A163),'Weekly Check-in'!$A$4:$A$1003),""))</f>
        <v/>
      </c>
      <c r="M163" s="11" t="str">
        <f aca="true">IF(A163="","",IF(L163="","",TODAY()-L163))</f>
        <v/>
      </c>
      <c r="N163" s="11" t="str">
        <f aca="false">IF(A163="","",COUNTIFS('Weekly Check-in'!$B$4:$B$1003,A163,'Weekly Check-in'!$H$4:$H$1003,"&lt;&gt;"))</f>
        <v/>
      </c>
      <c r="O163" s="11" t="str">
        <f aca="true">IF(A163="","",IF(OR(R163="Completed",R163="Withdrawn",TODAY()&lt;E163),"GREEN",IF(L163="","YELLOW",IF(M163&gt;=Config!$B$7,"RED",IF(OR(M163&gt;=Config!$B$6,AND(K163&lt;=Config!$B$8,N163&gt;0)),"YELLOW",IF(N163&gt;0,"YELLOW","GREEN"))))))</f>
        <v/>
      </c>
      <c r="P163" s="17"/>
      <c r="Q163" s="11" t="str">
        <f aca="false">IF(A163="","",IF(P163&lt;&gt;"",P163,O163))</f>
        <v/>
      </c>
      <c r="R163" s="17"/>
      <c r="S163" s="18"/>
      <c r="T163" s="18"/>
    </row>
    <row r="164" customFormat="false" ht="15" hidden="false" customHeight="true" outlineLevel="0" collapsed="false">
      <c r="A164" s="17"/>
      <c r="B164" s="17"/>
      <c r="C164" s="17"/>
      <c r="D164" s="17"/>
      <c r="E164" s="19"/>
      <c r="F164" s="7" t="str">
        <f aca="false">IF(A164="","",E164+Config!$B$4*7)</f>
        <v/>
      </c>
      <c r="G164" s="11" t="str">
        <f aca="true">IF(A164="","",MAX(0,MIN(Config!$B$4,INT((TODAY()-E164)/7)+1)))</f>
        <v/>
      </c>
      <c r="H164" s="11" t="str">
        <f aca="true">IF(A164="","",IF(TODAY()&lt;E164,"Not Started",IF(TODAY()&gt;F164,"Completed",IF(G164=1,"Onboarding",IF(G164&lt;=3,"Sprint 1",IF(G164&lt;=5,"Sprint 2",IF(G164&lt;=7,"Sprint 3",IF(G164&lt;=9,"Sprint 4","Final"))))))))</f>
        <v/>
      </c>
      <c r="I164" s="11" t="str">
        <f aca="true">IF(A164="","",IF(TODAY()&lt;E164,"Start",IF(TODAY()&lt;=E164+7,"Charter Approved",IF(TODAY()&lt;=E164+21,"Sprint 1 Review",IF(TODAY()&lt;=E164+35,"Sprint 2 Review",IF(TODAY()&lt;=E164+49,"Sprint 3 Review",IF(TODAY()&lt;=E164+63,"Sprint 4 Review","Final Review")))))))</f>
        <v/>
      </c>
      <c r="J164" s="7" t="str">
        <f aca="true">IF(A164="","",IF(TODAY()&lt;E164,E164,IF(TODAY()&lt;=E164+7,E164+7,IF(TODAY()&lt;=E164+21,E164+21,IF(TODAY()&lt;=E164+35,E164+35,IF(TODAY()&lt;=E164+49,E164+49,IF(TODAY()&lt;=E164+63,E164+63,E164+70)))))))</f>
        <v/>
      </c>
      <c r="K164" s="11" t="str">
        <f aca="true">IF(A164="","",J164-TODAY())</f>
        <v/>
      </c>
      <c r="L164" s="7" t="str">
        <f aca="false">IF(A164="","",IFERROR(LOOKUP(2,1/('Weekly Check-in'!$B$4:$B$1003=A164),'Weekly Check-in'!$A$4:$A$1003),""))</f>
        <v/>
      </c>
      <c r="M164" s="11" t="str">
        <f aca="true">IF(A164="","",IF(L164="","",TODAY()-L164))</f>
        <v/>
      </c>
      <c r="N164" s="11" t="str">
        <f aca="false">IF(A164="","",COUNTIFS('Weekly Check-in'!$B$4:$B$1003,A164,'Weekly Check-in'!$H$4:$H$1003,"&lt;&gt;"))</f>
        <v/>
      </c>
      <c r="O164" s="11" t="str">
        <f aca="true">IF(A164="","",IF(OR(R164="Completed",R164="Withdrawn",TODAY()&lt;E164),"GREEN",IF(L164="","YELLOW",IF(M164&gt;=Config!$B$7,"RED",IF(OR(M164&gt;=Config!$B$6,AND(K164&lt;=Config!$B$8,N164&gt;0)),"YELLOW",IF(N164&gt;0,"YELLOW","GREEN"))))))</f>
        <v/>
      </c>
      <c r="P164" s="17"/>
      <c r="Q164" s="11" t="str">
        <f aca="false">IF(A164="","",IF(P164&lt;&gt;"",P164,O164))</f>
        <v/>
      </c>
      <c r="R164" s="17"/>
      <c r="S164" s="18"/>
      <c r="T164" s="18"/>
    </row>
    <row r="165" customFormat="false" ht="15" hidden="false" customHeight="true" outlineLevel="0" collapsed="false">
      <c r="A165" s="17"/>
      <c r="B165" s="17"/>
      <c r="C165" s="17"/>
      <c r="D165" s="17"/>
      <c r="E165" s="19"/>
      <c r="F165" s="7" t="str">
        <f aca="false">IF(A165="","",E165+Config!$B$4*7)</f>
        <v/>
      </c>
      <c r="G165" s="11" t="str">
        <f aca="true">IF(A165="","",MAX(0,MIN(Config!$B$4,INT((TODAY()-E165)/7)+1)))</f>
        <v/>
      </c>
      <c r="H165" s="11" t="str">
        <f aca="true">IF(A165="","",IF(TODAY()&lt;E165,"Not Started",IF(TODAY()&gt;F165,"Completed",IF(G165=1,"Onboarding",IF(G165&lt;=3,"Sprint 1",IF(G165&lt;=5,"Sprint 2",IF(G165&lt;=7,"Sprint 3",IF(G165&lt;=9,"Sprint 4","Final"))))))))</f>
        <v/>
      </c>
      <c r="I165" s="11" t="str">
        <f aca="true">IF(A165="","",IF(TODAY()&lt;E165,"Start",IF(TODAY()&lt;=E165+7,"Charter Approved",IF(TODAY()&lt;=E165+21,"Sprint 1 Review",IF(TODAY()&lt;=E165+35,"Sprint 2 Review",IF(TODAY()&lt;=E165+49,"Sprint 3 Review",IF(TODAY()&lt;=E165+63,"Sprint 4 Review","Final Review")))))))</f>
        <v/>
      </c>
      <c r="J165" s="7" t="str">
        <f aca="true">IF(A165="","",IF(TODAY()&lt;E165,E165,IF(TODAY()&lt;=E165+7,E165+7,IF(TODAY()&lt;=E165+21,E165+21,IF(TODAY()&lt;=E165+35,E165+35,IF(TODAY()&lt;=E165+49,E165+49,IF(TODAY()&lt;=E165+63,E165+63,E165+70)))))))</f>
        <v/>
      </c>
      <c r="K165" s="11" t="str">
        <f aca="true">IF(A165="","",J165-TODAY())</f>
        <v/>
      </c>
      <c r="L165" s="7" t="str">
        <f aca="false">IF(A165="","",IFERROR(LOOKUP(2,1/('Weekly Check-in'!$B$4:$B$1003=A165),'Weekly Check-in'!$A$4:$A$1003),""))</f>
        <v/>
      </c>
      <c r="M165" s="11" t="str">
        <f aca="true">IF(A165="","",IF(L165="","",TODAY()-L165))</f>
        <v/>
      </c>
      <c r="N165" s="11" t="str">
        <f aca="false">IF(A165="","",COUNTIFS('Weekly Check-in'!$B$4:$B$1003,A165,'Weekly Check-in'!$H$4:$H$1003,"&lt;&gt;"))</f>
        <v/>
      </c>
      <c r="O165" s="11" t="str">
        <f aca="true">IF(A165="","",IF(OR(R165="Completed",R165="Withdrawn",TODAY()&lt;E165),"GREEN",IF(L165="","YELLOW",IF(M165&gt;=Config!$B$7,"RED",IF(OR(M165&gt;=Config!$B$6,AND(K165&lt;=Config!$B$8,N165&gt;0)),"YELLOW",IF(N165&gt;0,"YELLOW","GREEN"))))))</f>
        <v/>
      </c>
      <c r="P165" s="17"/>
      <c r="Q165" s="11" t="str">
        <f aca="false">IF(A165="","",IF(P165&lt;&gt;"",P165,O165))</f>
        <v/>
      </c>
      <c r="R165" s="17"/>
      <c r="S165" s="18"/>
      <c r="T165" s="18"/>
    </row>
    <row r="166" customFormat="false" ht="15" hidden="false" customHeight="true" outlineLevel="0" collapsed="false">
      <c r="A166" s="17"/>
      <c r="B166" s="17"/>
      <c r="C166" s="17"/>
      <c r="D166" s="17"/>
      <c r="E166" s="19"/>
      <c r="F166" s="7" t="str">
        <f aca="false">IF(A166="","",E166+Config!$B$4*7)</f>
        <v/>
      </c>
      <c r="G166" s="11" t="str">
        <f aca="true">IF(A166="","",MAX(0,MIN(Config!$B$4,INT((TODAY()-E166)/7)+1)))</f>
        <v/>
      </c>
      <c r="H166" s="11" t="str">
        <f aca="true">IF(A166="","",IF(TODAY()&lt;E166,"Not Started",IF(TODAY()&gt;F166,"Completed",IF(G166=1,"Onboarding",IF(G166&lt;=3,"Sprint 1",IF(G166&lt;=5,"Sprint 2",IF(G166&lt;=7,"Sprint 3",IF(G166&lt;=9,"Sprint 4","Final"))))))))</f>
        <v/>
      </c>
      <c r="I166" s="11" t="str">
        <f aca="true">IF(A166="","",IF(TODAY()&lt;E166,"Start",IF(TODAY()&lt;=E166+7,"Charter Approved",IF(TODAY()&lt;=E166+21,"Sprint 1 Review",IF(TODAY()&lt;=E166+35,"Sprint 2 Review",IF(TODAY()&lt;=E166+49,"Sprint 3 Review",IF(TODAY()&lt;=E166+63,"Sprint 4 Review","Final Review")))))))</f>
        <v/>
      </c>
      <c r="J166" s="7" t="str">
        <f aca="true">IF(A166="","",IF(TODAY()&lt;E166,E166,IF(TODAY()&lt;=E166+7,E166+7,IF(TODAY()&lt;=E166+21,E166+21,IF(TODAY()&lt;=E166+35,E166+35,IF(TODAY()&lt;=E166+49,E166+49,IF(TODAY()&lt;=E166+63,E166+63,E166+70)))))))</f>
        <v/>
      </c>
      <c r="K166" s="11" t="str">
        <f aca="true">IF(A166="","",J166-TODAY())</f>
        <v/>
      </c>
      <c r="L166" s="7" t="str">
        <f aca="false">IF(A166="","",IFERROR(LOOKUP(2,1/('Weekly Check-in'!$B$4:$B$1003=A166),'Weekly Check-in'!$A$4:$A$1003),""))</f>
        <v/>
      </c>
      <c r="M166" s="11" t="str">
        <f aca="true">IF(A166="","",IF(L166="","",TODAY()-L166))</f>
        <v/>
      </c>
      <c r="N166" s="11" t="str">
        <f aca="false">IF(A166="","",COUNTIFS('Weekly Check-in'!$B$4:$B$1003,A166,'Weekly Check-in'!$H$4:$H$1003,"&lt;&gt;"))</f>
        <v/>
      </c>
      <c r="O166" s="11" t="str">
        <f aca="true">IF(A166="","",IF(OR(R166="Completed",R166="Withdrawn",TODAY()&lt;E166),"GREEN",IF(L166="","YELLOW",IF(M166&gt;=Config!$B$7,"RED",IF(OR(M166&gt;=Config!$B$6,AND(K166&lt;=Config!$B$8,N166&gt;0)),"YELLOW",IF(N166&gt;0,"YELLOW","GREEN"))))))</f>
        <v/>
      </c>
      <c r="P166" s="17"/>
      <c r="Q166" s="11" t="str">
        <f aca="false">IF(A166="","",IF(P166&lt;&gt;"",P166,O166))</f>
        <v/>
      </c>
      <c r="R166" s="17"/>
      <c r="S166" s="18"/>
      <c r="T166" s="18"/>
    </row>
    <row r="167" customFormat="false" ht="15" hidden="false" customHeight="true" outlineLevel="0" collapsed="false">
      <c r="A167" s="17"/>
      <c r="B167" s="17"/>
      <c r="C167" s="17"/>
      <c r="D167" s="17"/>
      <c r="E167" s="19"/>
      <c r="F167" s="7" t="str">
        <f aca="false">IF(A167="","",E167+Config!$B$4*7)</f>
        <v/>
      </c>
      <c r="G167" s="11" t="str">
        <f aca="true">IF(A167="","",MAX(0,MIN(Config!$B$4,INT((TODAY()-E167)/7)+1)))</f>
        <v/>
      </c>
      <c r="H167" s="11" t="str">
        <f aca="true">IF(A167="","",IF(TODAY()&lt;E167,"Not Started",IF(TODAY()&gt;F167,"Completed",IF(G167=1,"Onboarding",IF(G167&lt;=3,"Sprint 1",IF(G167&lt;=5,"Sprint 2",IF(G167&lt;=7,"Sprint 3",IF(G167&lt;=9,"Sprint 4","Final"))))))))</f>
        <v/>
      </c>
      <c r="I167" s="11" t="str">
        <f aca="true">IF(A167="","",IF(TODAY()&lt;E167,"Start",IF(TODAY()&lt;=E167+7,"Charter Approved",IF(TODAY()&lt;=E167+21,"Sprint 1 Review",IF(TODAY()&lt;=E167+35,"Sprint 2 Review",IF(TODAY()&lt;=E167+49,"Sprint 3 Review",IF(TODAY()&lt;=E167+63,"Sprint 4 Review","Final Review")))))))</f>
        <v/>
      </c>
      <c r="J167" s="7" t="str">
        <f aca="true">IF(A167="","",IF(TODAY()&lt;E167,E167,IF(TODAY()&lt;=E167+7,E167+7,IF(TODAY()&lt;=E167+21,E167+21,IF(TODAY()&lt;=E167+35,E167+35,IF(TODAY()&lt;=E167+49,E167+49,IF(TODAY()&lt;=E167+63,E167+63,E167+70)))))))</f>
        <v/>
      </c>
      <c r="K167" s="11" t="str">
        <f aca="true">IF(A167="","",J167-TODAY())</f>
        <v/>
      </c>
      <c r="L167" s="7" t="str">
        <f aca="false">IF(A167="","",IFERROR(LOOKUP(2,1/('Weekly Check-in'!$B$4:$B$1003=A167),'Weekly Check-in'!$A$4:$A$1003),""))</f>
        <v/>
      </c>
      <c r="M167" s="11" t="str">
        <f aca="true">IF(A167="","",IF(L167="","",TODAY()-L167))</f>
        <v/>
      </c>
      <c r="N167" s="11" t="str">
        <f aca="false">IF(A167="","",COUNTIFS('Weekly Check-in'!$B$4:$B$1003,A167,'Weekly Check-in'!$H$4:$H$1003,"&lt;&gt;"))</f>
        <v/>
      </c>
      <c r="O167" s="11" t="str">
        <f aca="true">IF(A167="","",IF(OR(R167="Completed",R167="Withdrawn",TODAY()&lt;E167),"GREEN",IF(L167="","YELLOW",IF(M167&gt;=Config!$B$7,"RED",IF(OR(M167&gt;=Config!$B$6,AND(K167&lt;=Config!$B$8,N167&gt;0)),"YELLOW",IF(N167&gt;0,"YELLOW","GREEN"))))))</f>
        <v/>
      </c>
      <c r="P167" s="17"/>
      <c r="Q167" s="11" t="str">
        <f aca="false">IF(A167="","",IF(P167&lt;&gt;"",P167,O167))</f>
        <v/>
      </c>
      <c r="R167" s="17"/>
      <c r="S167" s="18"/>
      <c r="T167" s="18"/>
    </row>
    <row r="168" customFormat="false" ht="15" hidden="false" customHeight="true" outlineLevel="0" collapsed="false">
      <c r="A168" s="17"/>
      <c r="B168" s="17"/>
      <c r="C168" s="17"/>
      <c r="D168" s="17"/>
      <c r="E168" s="19"/>
      <c r="F168" s="7" t="str">
        <f aca="false">IF(A168="","",E168+Config!$B$4*7)</f>
        <v/>
      </c>
      <c r="G168" s="11" t="str">
        <f aca="true">IF(A168="","",MAX(0,MIN(Config!$B$4,INT((TODAY()-E168)/7)+1)))</f>
        <v/>
      </c>
      <c r="H168" s="11" t="str">
        <f aca="true">IF(A168="","",IF(TODAY()&lt;E168,"Not Started",IF(TODAY()&gt;F168,"Completed",IF(G168=1,"Onboarding",IF(G168&lt;=3,"Sprint 1",IF(G168&lt;=5,"Sprint 2",IF(G168&lt;=7,"Sprint 3",IF(G168&lt;=9,"Sprint 4","Final"))))))))</f>
        <v/>
      </c>
      <c r="I168" s="11" t="str">
        <f aca="true">IF(A168="","",IF(TODAY()&lt;E168,"Start",IF(TODAY()&lt;=E168+7,"Charter Approved",IF(TODAY()&lt;=E168+21,"Sprint 1 Review",IF(TODAY()&lt;=E168+35,"Sprint 2 Review",IF(TODAY()&lt;=E168+49,"Sprint 3 Review",IF(TODAY()&lt;=E168+63,"Sprint 4 Review","Final Review")))))))</f>
        <v/>
      </c>
      <c r="J168" s="7" t="str">
        <f aca="true">IF(A168="","",IF(TODAY()&lt;E168,E168,IF(TODAY()&lt;=E168+7,E168+7,IF(TODAY()&lt;=E168+21,E168+21,IF(TODAY()&lt;=E168+35,E168+35,IF(TODAY()&lt;=E168+49,E168+49,IF(TODAY()&lt;=E168+63,E168+63,E168+70)))))))</f>
        <v/>
      </c>
      <c r="K168" s="11" t="str">
        <f aca="true">IF(A168="","",J168-TODAY())</f>
        <v/>
      </c>
      <c r="L168" s="7" t="str">
        <f aca="false">IF(A168="","",IFERROR(LOOKUP(2,1/('Weekly Check-in'!$B$4:$B$1003=A168),'Weekly Check-in'!$A$4:$A$1003),""))</f>
        <v/>
      </c>
      <c r="M168" s="11" t="str">
        <f aca="true">IF(A168="","",IF(L168="","",TODAY()-L168))</f>
        <v/>
      </c>
      <c r="N168" s="11" t="str">
        <f aca="false">IF(A168="","",COUNTIFS('Weekly Check-in'!$B$4:$B$1003,A168,'Weekly Check-in'!$H$4:$H$1003,"&lt;&gt;"))</f>
        <v/>
      </c>
      <c r="O168" s="11" t="str">
        <f aca="true">IF(A168="","",IF(OR(R168="Completed",R168="Withdrawn",TODAY()&lt;E168),"GREEN",IF(L168="","YELLOW",IF(M168&gt;=Config!$B$7,"RED",IF(OR(M168&gt;=Config!$B$6,AND(K168&lt;=Config!$B$8,N168&gt;0)),"YELLOW",IF(N168&gt;0,"YELLOW","GREEN"))))))</f>
        <v/>
      </c>
      <c r="P168" s="17"/>
      <c r="Q168" s="11" t="str">
        <f aca="false">IF(A168="","",IF(P168&lt;&gt;"",P168,O168))</f>
        <v/>
      </c>
      <c r="R168" s="17"/>
      <c r="S168" s="18"/>
      <c r="T168" s="18"/>
    </row>
    <row r="169" customFormat="false" ht="15" hidden="false" customHeight="true" outlineLevel="0" collapsed="false">
      <c r="A169" s="17"/>
      <c r="B169" s="17"/>
      <c r="C169" s="17"/>
      <c r="D169" s="17"/>
      <c r="E169" s="19"/>
      <c r="F169" s="7" t="str">
        <f aca="false">IF(A169="","",E169+Config!$B$4*7)</f>
        <v/>
      </c>
      <c r="G169" s="11" t="str">
        <f aca="true">IF(A169="","",MAX(0,MIN(Config!$B$4,INT((TODAY()-E169)/7)+1)))</f>
        <v/>
      </c>
      <c r="H169" s="11" t="str">
        <f aca="true">IF(A169="","",IF(TODAY()&lt;E169,"Not Started",IF(TODAY()&gt;F169,"Completed",IF(G169=1,"Onboarding",IF(G169&lt;=3,"Sprint 1",IF(G169&lt;=5,"Sprint 2",IF(G169&lt;=7,"Sprint 3",IF(G169&lt;=9,"Sprint 4","Final"))))))))</f>
        <v/>
      </c>
      <c r="I169" s="11" t="str">
        <f aca="true">IF(A169="","",IF(TODAY()&lt;E169,"Start",IF(TODAY()&lt;=E169+7,"Charter Approved",IF(TODAY()&lt;=E169+21,"Sprint 1 Review",IF(TODAY()&lt;=E169+35,"Sprint 2 Review",IF(TODAY()&lt;=E169+49,"Sprint 3 Review",IF(TODAY()&lt;=E169+63,"Sprint 4 Review","Final Review")))))))</f>
        <v/>
      </c>
      <c r="J169" s="7" t="str">
        <f aca="true">IF(A169="","",IF(TODAY()&lt;E169,E169,IF(TODAY()&lt;=E169+7,E169+7,IF(TODAY()&lt;=E169+21,E169+21,IF(TODAY()&lt;=E169+35,E169+35,IF(TODAY()&lt;=E169+49,E169+49,IF(TODAY()&lt;=E169+63,E169+63,E169+70)))))))</f>
        <v/>
      </c>
      <c r="K169" s="11" t="str">
        <f aca="true">IF(A169="","",J169-TODAY())</f>
        <v/>
      </c>
      <c r="L169" s="7" t="str">
        <f aca="false">IF(A169="","",IFERROR(LOOKUP(2,1/('Weekly Check-in'!$B$4:$B$1003=A169),'Weekly Check-in'!$A$4:$A$1003),""))</f>
        <v/>
      </c>
      <c r="M169" s="11" t="str">
        <f aca="true">IF(A169="","",IF(L169="","",TODAY()-L169))</f>
        <v/>
      </c>
      <c r="N169" s="11" t="str">
        <f aca="false">IF(A169="","",COUNTIFS('Weekly Check-in'!$B$4:$B$1003,A169,'Weekly Check-in'!$H$4:$H$1003,"&lt;&gt;"))</f>
        <v/>
      </c>
      <c r="O169" s="11" t="str">
        <f aca="true">IF(A169="","",IF(OR(R169="Completed",R169="Withdrawn",TODAY()&lt;E169),"GREEN",IF(L169="","YELLOW",IF(M169&gt;=Config!$B$7,"RED",IF(OR(M169&gt;=Config!$B$6,AND(K169&lt;=Config!$B$8,N169&gt;0)),"YELLOW",IF(N169&gt;0,"YELLOW","GREEN"))))))</f>
        <v/>
      </c>
      <c r="P169" s="17"/>
      <c r="Q169" s="11" t="str">
        <f aca="false">IF(A169="","",IF(P169&lt;&gt;"",P169,O169))</f>
        <v/>
      </c>
      <c r="R169" s="17"/>
      <c r="S169" s="18"/>
      <c r="T169" s="18"/>
    </row>
    <row r="170" customFormat="false" ht="15" hidden="false" customHeight="true" outlineLevel="0" collapsed="false">
      <c r="A170" s="17"/>
      <c r="B170" s="17"/>
      <c r="C170" s="17"/>
      <c r="D170" s="17"/>
      <c r="E170" s="19"/>
      <c r="F170" s="7" t="str">
        <f aca="false">IF(A170="","",E170+Config!$B$4*7)</f>
        <v/>
      </c>
      <c r="G170" s="11" t="str">
        <f aca="true">IF(A170="","",MAX(0,MIN(Config!$B$4,INT((TODAY()-E170)/7)+1)))</f>
        <v/>
      </c>
      <c r="H170" s="11" t="str">
        <f aca="true">IF(A170="","",IF(TODAY()&lt;E170,"Not Started",IF(TODAY()&gt;F170,"Completed",IF(G170=1,"Onboarding",IF(G170&lt;=3,"Sprint 1",IF(G170&lt;=5,"Sprint 2",IF(G170&lt;=7,"Sprint 3",IF(G170&lt;=9,"Sprint 4","Final"))))))))</f>
        <v/>
      </c>
      <c r="I170" s="11" t="str">
        <f aca="true">IF(A170="","",IF(TODAY()&lt;E170,"Start",IF(TODAY()&lt;=E170+7,"Charter Approved",IF(TODAY()&lt;=E170+21,"Sprint 1 Review",IF(TODAY()&lt;=E170+35,"Sprint 2 Review",IF(TODAY()&lt;=E170+49,"Sprint 3 Review",IF(TODAY()&lt;=E170+63,"Sprint 4 Review","Final Review")))))))</f>
        <v/>
      </c>
      <c r="J170" s="7" t="str">
        <f aca="true">IF(A170="","",IF(TODAY()&lt;E170,E170,IF(TODAY()&lt;=E170+7,E170+7,IF(TODAY()&lt;=E170+21,E170+21,IF(TODAY()&lt;=E170+35,E170+35,IF(TODAY()&lt;=E170+49,E170+49,IF(TODAY()&lt;=E170+63,E170+63,E170+70)))))))</f>
        <v/>
      </c>
      <c r="K170" s="11" t="str">
        <f aca="true">IF(A170="","",J170-TODAY())</f>
        <v/>
      </c>
      <c r="L170" s="7" t="str">
        <f aca="false">IF(A170="","",IFERROR(LOOKUP(2,1/('Weekly Check-in'!$B$4:$B$1003=A170),'Weekly Check-in'!$A$4:$A$1003),""))</f>
        <v/>
      </c>
      <c r="M170" s="11" t="str">
        <f aca="true">IF(A170="","",IF(L170="","",TODAY()-L170))</f>
        <v/>
      </c>
      <c r="N170" s="11" t="str">
        <f aca="false">IF(A170="","",COUNTIFS('Weekly Check-in'!$B$4:$B$1003,A170,'Weekly Check-in'!$H$4:$H$1003,"&lt;&gt;"))</f>
        <v/>
      </c>
      <c r="O170" s="11" t="str">
        <f aca="true">IF(A170="","",IF(OR(R170="Completed",R170="Withdrawn",TODAY()&lt;E170),"GREEN",IF(L170="","YELLOW",IF(M170&gt;=Config!$B$7,"RED",IF(OR(M170&gt;=Config!$B$6,AND(K170&lt;=Config!$B$8,N170&gt;0)),"YELLOW",IF(N170&gt;0,"YELLOW","GREEN"))))))</f>
        <v/>
      </c>
      <c r="P170" s="17"/>
      <c r="Q170" s="11" t="str">
        <f aca="false">IF(A170="","",IF(P170&lt;&gt;"",P170,O170))</f>
        <v/>
      </c>
      <c r="R170" s="17"/>
      <c r="S170" s="18"/>
      <c r="T170" s="18"/>
    </row>
    <row r="171" customFormat="false" ht="15" hidden="false" customHeight="true" outlineLevel="0" collapsed="false">
      <c r="A171" s="17"/>
      <c r="B171" s="17"/>
      <c r="C171" s="17"/>
      <c r="D171" s="17"/>
      <c r="E171" s="19"/>
      <c r="F171" s="7" t="str">
        <f aca="false">IF(A171="","",E171+Config!$B$4*7)</f>
        <v/>
      </c>
      <c r="G171" s="11" t="str">
        <f aca="true">IF(A171="","",MAX(0,MIN(Config!$B$4,INT((TODAY()-E171)/7)+1)))</f>
        <v/>
      </c>
      <c r="H171" s="11" t="str">
        <f aca="true">IF(A171="","",IF(TODAY()&lt;E171,"Not Started",IF(TODAY()&gt;F171,"Completed",IF(G171=1,"Onboarding",IF(G171&lt;=3,"Sprint 1",IF(G171&lt;=5,"Sprint 2",IF(G171&lt;=7,"Sprint 3",IF(G171&lt;=9,"Sprint 4","Final"))))))))</f>
        <v/>
      </c>
      <c r="I171" s="11" t="str">
        <f aca="true">IF(A171="","",IF(TODAY()&lt;E171,"Start",IF(TODAY()&lt;=E171+7,"Charter Approved",IF(TODAY()&lt;=E171+21,"Sprint 1 Review",IF(TODAY()&lt;=E171+35,"Sprint 2 Review",IF(TODAY()&lt;=E171+49,"Sprint 3 Review",IF(TODAY()&lt;=E171+63,"Sprint 4 Review","Final Review")))))))</f>
        <v/>
      </c>
      <c r="J171" s="7" t="str">
        <f aca="true">IF(A171="","",IF(TODAY()&lt;E171,E171,IF(TODAY()&lt;=E171+7,E171+7,IF(TODAY()&lt;=E171+21,E171+21,IF(TODAY()&lt;=E171+35,E171+35,IF(TODAY()&lt;=E171+49,E171+49,IF(TODAY()&lt;=E171+63,E171+63,E171+70)))))))</f>
        <v/>
      </c>
      <c r="K171" s="11" t="str">
        <f aca="true">IF(A171="","",J171-TODAY())</f>
        <v/>
      </c>
      <c r="L171" s="7" t="str">
        <f aca="false">IF(A171="","",IFERROR(LOOKUP(2,1/('Weekly Check-in'!$B$4:$B$1003=A171),'Weekly Check-in'!$A$4:$A$1003),""))</f>
        <v/>
      </c>
      <c r="M171" s="11" t="str">
        <f aca="true">IF(A171="","",IF(L171="","",TODAY()-L171))</f>
        <v/>
      </c>
      <c r="N171" s="11" t="str">
        <f aca="false">IF(A171="","",COUNTIFS('Weekly Check-in'!$B$4:$B$1003,A171,'Weekly Check-in'!$H$4:$H$1003,"&lt;&gt;"))</f>
        <v/>
      </c>
      <c r="O171" s="11" t="str">
        <f aca="true">IF(A171="","",IF(OR(R171="Completed",R171="Withdrawn",TODAY()&lt;E171),"GREEN",IF(L171="","YELLOW",IF(M171&gt;=Config!$B$7,"RED",IF(OR(M171&gt;=Config!$B$6,AND(K171&lt;=Config!$B$8,N171&gt;0)),"YELLOW",IF(N171&gt;0,"YELLOW","GREEN"))))))</f>
        <v/>
      </c>
      <c r="P171" s="17"/>
      <c r="Q171" s="11" t="str">
        <f aca="false">IF(A171="","",IF(P171&lt;&gt;"",P171,O171))</f>
        <v/>
      </c>
      <c r="R171" s="17"/>
      <c r="S171" s="18"/>
      <c r="T171" s="18"/>
    </row>
    <row r="172" customFormat="false" ht="15" hidden="false" customHeight="true" outlineLevel="0" collapsed="false">
      <c r="A172" s="17"/>
      <c r="B172" s="17"/>
      <c r="C172" s="17"/>
      <c r="D172" s="17"/>
      <c r="E172" s="19"/>
      <c r="F172" s="7" t="str">
        <f aca="false">IF(A172="","",E172+Config!$B$4*7)</f>
        <v/>
      </c>
      <c r="G172" s="11" t="str">
        <f aca="true">IF(A172="","",MAX(0,MIN(Config!$B$4,INT((TODAY()-E172)/7)+1)))</f>
        <v/>
      </c>
      <c r="H172" s="11" t="str">
        <f aca="true">IF(A172="","",IF(TODAY()&lt;E172,"Not Started",IF(TODAY()&gt;F172,"Completed",IF(G172=1,"Onboarding",IF(G172&lt;=3,"Sprint 1",IF(G172&lt;=5,"Sprint 2",IF(G172&lt;=7,"Sprint 3",IF(G172&lt;=9,"Sprint 4","Final"))))))))</f>
        <v/>
      </c>
      <c r="I172" s="11" t="str">
        <f aca="true">IF(A172="","",IF(TODAY()&lt;E172,"Start",IF(TODAY()&lt;=E172+7,"Charter Approved",IF(TODAY()&lt;=E172+21,"Sprint 1 Review",IF(TODAY()&lt;=E172+35,"Sprint 2 Review",IF(TODAY()&lt;=E172+49,"Sprint 3 Review",IF(TODAY()&lt;=E172+63,"Sprint 4 Review","Final Review")))))))</f>
        <v/>
      </c>
      <c r="J172" s="7" t="str">
        <f aca="true">IF(A172="","",IF(TODAY()&lt;E172,E172,IF(TODAY()&lt;=E172+7,E172+7,IF(TODAY()&lt;=E172+21,E172+21,IF(TODAY()&lt;=E172+35,E172+35,IF(TODAY()&lt;=E172+49,E172+49,IF(TODAY()&lt;=E172+63,E172+63,E172+70)))))))</f>
        <v/>
      </c>
      <c r="K172" s="11" t="str">
        <f aca="true">IF(A172="","",J172-TODAY())</f>
        <v/>
      </c>
      <c r="L172" s="7" t="str">
        <f aca="false">IF(A172="","",IFERROR(LOOKUP(2,1/('Weekly Check-in'!$B$4:$B$1003=A172),'Weekly Check-in'!$A$4:$A$1003),""))</f>
        <v/>
      </c>
      <c r="M172" s="11" t="str">
        <f aca="true">IF(A172="","",IF(L172="","",TODAY()-L172))</f>
        <v/>
      </c>
      <c r="N172" s="11" t="str">
        <f aca="false">IF(A172="","",COUNTIFS('Weekly Check-in'!$B$4:$B$1003,A172,'Weekly Check-in'!$H$4:$H$1003,"&lt;&gt;"))</f>
        <v/>
      </c>
      <c r="O172" s="11" t="str">
        <f aca="true">IF(A172="","",IF(OR(R172="Completed",R172="Withdrawn",TODAY()&lt;E172),"GREEN",IF(L172="","YELLOW",IF(M172&gt;=Config!$B$7,"RED",IF(OR(M172&gt;=Config!$B$6,AND(K172&lt;=Config!$B$8,N172&gt;0)),"YELLOW",IF(N172&gt;0,"YELLOW","GREEN"))))))</f>
        <v/>
      </c>
      <c r="P172" s="17"/>
      <c r="Q172" s="11" t="str">
        <f aca="false">IF(A172="","",IF(P172&lt;&gt;"",P172,O172))</f>
        <v/>
      </c>
      <c r="R172" s="17"/>
      <c r="S172" s="18"/>
      <c r="T172" s="18"/>
    </row>
    <row r="173" customFormat="false" ht="15" hidden="false" customHeight="true" outlineLevel="0" collapsed="false">
      <c r="A173" s="17"/>
      <c r="B173" s="17"/>
      <c r="C173" s="17"/>
      <c r="D173" s="17"/>
      <c r="E173" s="19"/>
      <c r="F173" s="7" t="str">
        <f aca="false">IF(A173="","",E173+Config!$B$4*7)</f>
        <v/>
      </c>
      <c r="G173" s="11" t="str">
        <f aca="true">IF(A173="","",MAX(0,MIN(Config!$B$4,INT((TODAY()-E173)/7)+1)))</f>
        <v/>
      </c>
      <c r="H173" s="11" t="str">
        <f aca="true">IF(A173="","",IF(TODAY()&lt;E173,"Not Started",IF(TODAY()&gt;F173,"Completed",IF(G173=1,"Onboarding",IF(G173&lt;=3,"Sprint 1",IF(G173&lt;=5,"Sprint 2",IF(G173&lt;=7,"Sprint 3",IF(G173&lt;=9,"Sprint 4","Final"))))))))</f>
        <v/>
      </c>
      <c r="I173" s="11" t="str">
        <f aca="true">IF(A173="","",IF(TODAY()&lt;E173,"Start",IF(TODAY()&lt;=E173+7,"Charter Approved",IF(TODAY()&lt;=E173+21,"Sprint 1 Review",IF(TODAY()&lt;=E173+35,"Sprint 2 Review",IF(TODAY()&lt;=E173+49,"Sprint 3 Review",IF(TODAY()&lt;=E173+63,"Sprint 4 Review","Final Review")))))))</f>
        <v/>
      </c>
      <c r="J173" s="7" t="str">
        <f aca="true">IF(A173="","",IF(TODAY()&lt;E173,E173,IF(TODAY()&lt;=E173+7,E173+7,IF(TODAY()&lt;=E173+21,E173+21,IF(TODAY()&lt;=E173+35,E173+35,IF(TODAY()&lt;=E173+49,E173+49,IF(TODAY()&lt;=E173+63,E173+63,E173+70)))))))</f>
        <v/>
      </c>
      <c r="K173" s="11" t="str">
        <f aca="true">IF(A173="","",J173-TODAY())</f>
        <v/>
      </c>
      <c r="L173" s="7" t="str">
        <f aca="false">IF(A173="","",IFERROR(LOOKUP(2,1/('Weekly Check-in'!$B$4:$B$1003=A173),'Weekly Check-in'!$A$4:$A$1003),""))</f>
        <v/>
      </c>
      <c r="M173" s="11" t="str">
        <f aca="true">IF(A173="","",IF(L173="","",TODAY()-L173))</f>
        <v/>
      </c>
      <c r="N173" s="11" t="str">
        <f aca="false">IF(A173="","",COUNTIFS('Weekly Check-in'!$B$4:$B$1003,A173,'Weekly Check-in'!$H$4:$H$1003,"&lt;&gt;"))</f>
        <v/>
      </c>
      <c r="O173" s="11" t="str">
        <f aca="true">IF(A173="","",IF(OR(R173="Completed",R173="Withdrawn",TODAY()&lt;E173),"GREEN",IF(L173="","YELLOW",IF(M173&gt;=Config!$B$7,"RED",IF(OR(M173&gt;=Config!$B$6,AND(K173&lt;=Config!$B$8,N173&gt;0)),"YELLOW",IF(N173&gt;0,"YELLOW","GREEN"))))))</f>
        <v/>
      </c>
      <c r="P173" s="17"/>
      <c r="Q173" s="11" t="str">
        <f aca="false">IF(A173="","",IF(P173&lt;&gt;"",P173,O173))</f>
        <v/>
      </c>
      <c r="R173" s="17"/>
      <c r="S173" s="18"/>
      <c r="T173" s="18"/>
    </row>
    <row r="174" customFormat="false" ht="15" hidden="false" customHeight="true" outlineLevel="0" collapsed="false">
      <c r="A174" s="17"/>
      <c r="B174" s="17"/>
      <c r="C174" s="17"/>
      <c r="D174" s="17"/>
      <c r="E174" s="19"/>
      <c r="F174" s="7" t="str">
        <f aca="false">IF(A174="","",E174+Config!$B$4*7)</f>
        <v/>
      </c>
      <c r="G174" s="11" t="str">
        <f aca="true">IF(A174="","",MAX(0,MIN(Config!$B$4,INT((TODAY()-E174)/7)+1)))</f>
        <v/>
      </c>
      <c r="H174" s="11" t="str">
        <f aca="true">IF(A174="","",IF(TODAY()&lt;E174,"Not Started",IF(TODAY()&gt;F174,"Completed",IF(G174=1,"Onboarding",IF(G174&lt;=3,"Sprint 1",IF(G174&lt;=5,"Sprint 2",IF(G174&lt;=7,"Sprint 3",IF(G174&lt;=9,"Sprint 4","Final"))))))))</f>
        <v/>
      </c>
      <c r="I174" s="11" t="str">
        <f aca="true">IF(A174="","",IF(TODAY()&lt;E174,"Start",IF(TODAY()&lt;=E174+7,"Charter Approved",IF(TODAY()&lt;=E174+21,"Sprint 1 Review",IF(TODAY()&lt;=E174+35,"Sprint 2 Review",IF(TODAY()&lt;=E174+49,"Sprint 3 Review",IF(TODAY()&lt;=E174+63,"Sprint 4 Review","Final Review")))))))</f>
        <v/>
      </c>
      <c r="J174" s="7" t="str">
        <f aca="true">IF(A174="","",IF(TODAY()&lt;E174,E174,IF(TODAY()&lt;=E174+7,E174+7,IF(TODAY()&lt;=E174+21,E174+21,IF(TODAY()&lt;=E174+35,E174+35,IF(TODAY()&lt;=E174+49,E174+49,IF(TODAY()&lt;=E174+63,E174+63,E174+70)))))))</f>
        <v/>
      </c>
      <c r="K174" s="11" t="str">
        <f aca="true">IF(A174="","",J174-TODAY())</f>
        <v/>
      </c>
      <c r="L174" s="7" t="str">
        <f aca="false">IF(A174="","",IFERROR(LOOKUP(2,1/('Weekly Check-in'!$B$4:$B$1003=A174),'Weekly Check-in'!$A$4:$A$1003),""))</f>
        <v/>
      </c>
      <c r="M174" s="11" t="str">
        <f aca="true">IF(A174="","",IF(L174="","",TODAY()-L174))</f>
        <v/>
      </c>
      <c r="N174" s="11" t="str">
        <f aca="false">IF(A174="","",COUNTIFS('Weekly Check-in'!$B$4:$B$1003,A174,'Weekly Check-in'!$H$4:$H$1003,"&lt;&gt;"))</f>
        <v/>
      </c>
      <c r="O174" s="11" t="str">
        <f aca="true">IF(A174="","",IF(OR(R174="Completed",R174="Withdrawn",TODAY()&lt;E174),"GREEN",IF(L174="","YELLOW",IF(M174&gt;=Config!$B$7,"RED",IF(OR(M174&gt;=Config!$B$6,AND(K174&lt;=Config!$B$8,N174&gt;0)),"YELLOW",IF(N174&gt;0,"YELLOW","GREEN"))))))</f>
        <v/>
      </c>
      <c r="P174" s="17"/>
      <c r="Q174" s="11" t="str">
        <f aca="false">IF(A174="","",IF(P174&lt;&gt;"",P174,O174))</f>
        <v/>
      </c>
      <c r="R174" s="17"/>
      <c r="S174" s="18"/>
      <c r="T174" s="18"/>
    </row>
    <row r="175" customFormat="false" ht="15" hidden="false" customHeight="true" outlineLevel="0" collapsed="false">
      <c r="A175" s="17"/>
      <c r="B175" s="17"/>
      <c r="C175" s="17"/>
      <c r="D175" s="17"/>
      <c r="E175" s="19"/>
      <c r="F175" s="7" t="str">
        <f aca="false">IF(A175="","",E175+Config!$B$4*7)</f>
        <v/>
      </c>
      <c r="G175" s="11" t="str">
        <f aca="true">IF(A175="","",MAX(0,MIN(Config!$B$4,INT((TODAY()-E175)/7)+1)))</f>
        <v/>
      </c>
      <c r="H175" s="11" t="str">
        <f aca="true">IF(A175="","",IF(TODAY()&lt;E175,"Not Started",IF(TODAY()&gt;F175,"Completed",IF(G175=1,"Onboarding",IF(G175&lt;=3,"Sprint 1",IF(G175&lt;=5,"Sprint 2",IF(G175&lt;=7,"Sprint 3",IF(G175&lt;=9,"Sprint 4","Final"))))))))</f>
        <v/>
      </c>
      <c r="I175" s="11" t="str">
        <f aca="true">IF(A175="","",IF(TODAY()&lt;E175,"Start",IF(TODAY()&lt;=E175+7,"Charter Approved",IF(TODAY()&lt;=E175+21,"Sprint 1 Review",IF(TODAY()&lt;=E175+35,"Sprint 2 Review",IF(TODAY()&lt;=E175+49,"Sprint 3 Review",IF(TODAY()&lt;=E175+63,"Sprint 4 Review","Final Review")))))))</f>
        <v/>
      </c>
      <c r="J175" s="7" t="str">
        <f aca="true">IF(A175="","",IF(TODAY()&lt;E175,E175,IF(TODAY()&lt;=E175+7,E175+7,IF(TODAY()&lt;=E175+21,E175+21,IF(TODAY()&lt;=E175+35,E175+35,IF(TODAY()&lt;=E175+49,E175+49,IF(TODAY()&lt;=E175+63,E175+63,E175+70)))))))</f>
        <v/>
      </c>
      <c r="K175" s="11" t="str">
        <f aca="true">IF(A175="","",J175-TODAY())</f>
        <v/>
      </c>
      <c r="L175" s="7" t="str">
        <f aca="false">IF(A175="","",IFERROR(LOOKUP(2,1/('Weekly Check-in'!$B$4:$B$1003=A175),'Weekly Check-in'!$A$4:$A$1003),""))</f>
        <v/>
      </c>
      <c r="M175" s="11" t="str">
        <f aca="true">IF(A175="","",IF(L175="","",TODAY()-L175))</f>
        <v/>
      </c>
      <c r="N175" s="11" t="str">
        <f aca="false">IF(A175="","",COUNTIFS('Weekly Check-in'!$B$4:$B$1003,A175,'Weekly Check-in'!$H$4:$H$1003,"&lt;&gt;"))</f>
        <v/>
      </c>
      <c r="O175" s="11" t="str">
        <f aca="true">IF(A175="","",IF(OR(R175="Completed",R175="Withdrawn",TODAY()&lt;E175),"GREEN",IF(L175="","YELLOW",IF(M175&gt;=Config!$B$7,"RED",IF(OR(M175&gt;=Config!$B$6,AND(K175&lt;=Config!$B$8,N175&gt;0)),"YELLOW",IF(N175&gt;0,"YELLOW","GREEN"))))))</f>
        <v/>
      </c>
      <c r="P175" s="17"/>
      <c r="Q175" s="11" t="str">
        <f aca="false">IF(A175="","",IF(P175&lt;&gt;"",P175,O175))</f>
        <v/>
      </c>
      <c r="R175" s="17"/>
      <c r="S175" s="18"/>
      <c r="T175" s="18"/>
    </row>
    <row r="176" customFormat="false" ht="15" hidden="false" customHeight="true" outlineLevel="0" collapsed="false">
      <c r="A176" s="17"/>
      <c r="B176" s="17"/>
      <c r="C176" s="17"/>
      <c r="D176" s="17"/>
      <c r="E176" s="19"/>
      <c r="F176" s="7" t="str">
        <f aca="false">IF(A176="","",E176+Config!$B$4*7)</f>
        <v/>
      </c>
      <c r="G176" s="11" t="str">
        <f aca="true">IF(A176="","",MAX(0,MIN(Config!$B$4,INT((TODAY()-E176)/7)+1)))</f>
        <v/>
      </c>
      <c r="H176" s="11" t="str">
        <f aca="true">IF(A176="","",IF(TODAY()&lt;E176,"Not Started",IF(TODAY()&gt;F176,"Completed",IF(G176=1,"Onboarding",IF(G176&lt;=3,"Sprint 1",IF(G176&lt;=5,"Sprint 2",IF(G176&lt;=7,"Sprint 3",IF(G176&lt;=9,"Sprint 4","Final"))))))))</f>
        <v/>
      </c>
      <c r="I176" s="11" t="str">
        <f aca="true">IF(A176="","",IF(TODAY()&lt;E176,"Start",IF(TODAY()&lt;=E176+7,"Charter Approved",IF(TODAY()&lt;=E176+21,"Sprint 1 Review",IF(TODAY()&lt;=E176+35,"Sprint 2 Review",IF(TODAY()&lt;=E176+49,"Sprint 3 Review",IF(TODAY()&lt;=E176+63,"Sprint 4 Review","Final Review")))))))</f>
        <v/>
      </c>
      <c r="J176" s="7" t="str">
        <f aca="true">IF(A176="","",IF(TODAY()&lt;E176,E176,IF(TODAY()&lt;=E176+7,E176+7,IF(TODAY()&lt;=E176+21,E176+21,IF(TODAY()&lt;=E176+35,E176+35,IF(TODAY()&lt;=E176+49,E176+49,IF(TODAY()&lt;=E176+63,E176+63,E176+70)))))))</f>
        <v/>
      </c>
      <c r="K176" s="11" t="str">
        <f aca="true">IF(A176="","",J176-TODAY())</f>
        <v/>
      </c>
      <c r="L176" s="7" t="str">
        <f aca="false">IF(A176="","",IFERROR(LOOKUP(2,1/('Weekly Check-in'!$B$4:$B$1003=A176),'Weekly Check-in'!$A$4:$A$1003),""))</f>
        <v/>
      </c>
      <c r="M176" s="11" t="str">
        <f aca="true">IF(A176="","",IF(L176="","",TODAY()-L176))</f>
        <v/>
      </c>
      <c r="N176" s="11" t="str">
        <f aca="false">IF(A176="","",COUNTIFS('Weekly Check-in'!$B$4:$B$1003,A176,'Weekly Check-in'!$H$4:$H$1003,"&lt;&gt;"))</f>
        <v/>
      </c>
      <c r="O176" s="11" t="str">
        <f aca="true">IF(A176="","",IF(OR(R176="Completed",R176="Withdrawn",TODAY()&lt;E176),"GREEN",IF(L176="","YELLOW",IF(M176&gt;=Config!$B$7,"RED",IF(OR(M176&gt;=Config!$B$6,AND(K176&lt;=Config!$B$8,N176&gt;0)),"YELLOW",IF(N176&gt;0,"YELLOW","GREEN"))))))</f>
        <v/>
      </c>
      <c r="P176" s="17"/>
      <c r="Q176" s="11" t="str">
        <f aca="false">IF(A176="","",IF(P176&lt;&gt;"",P176,O176))</f>
        <v/>
      </c>
      <c r="R176" s="17"/>
      <c r="S176" s="18"/>
      <c r="T176" s="18"/>
    </row>
    <row r="177" customFormat="false" ht="15" hidden="false" customHeight="true" outlineLevel="0" collapsed="false">
      <c r="A177" s="17"/>
      <c r="B177" s="17"/>
      <c r="C177" s="17"/>
      <c r="D177" s="17"/>
      <c r="E177" s="19"/>
      <c r="F177" s="7" t="str">
        <f aca="false">IF(A177="","",E177+Config!$B$4*7)</f>
        <v/>
      </c>
      <c r="G177" s="11" t="str">
        <f aca="true">IF(A177="","",MAX(0,MIN(Config!$B$4,INT((TODAY()-E177)/7)+1)))</f>
        <v/>
      </c>
      <c r="H177" s="11" t="str">
        <f aca="true">IF(A177="","",IF(TODAY()&lt;E177,"Not Started",IF(TODAY()&gt;F177,"Completed",IF(G177=1,"Onboarding",IF(G177&lt;=3,"Sprint 1",IF(G177&lt;=5,"Sprint 2",IF(G177&lt;=7,"Sprint 3",IF(G177&lt;=9,"Sprint 4","Final"))))))))</f>
        <v/>
      </c>
      <c r="I177" s="11" t="str">
        <f aca="true">IF(A177="","",IF(TODAY()&lt;E177,"Start",IF(TODAY()&lt;=E177+7,"Charter Approved",IF(TODAY()&lt;=E177+21,"Sprint 1 Review",IF(TODAY()&lt;=E177+35,"Sprint 2 Review",IF(TODAY()&lt;=E177+49,"Sprint 3 Review",IF(TODAY()&lt;=E177+63,"Sprint 4 Review","Final Review")))))))</f>
        <v/>
      </c>
      <c r="J177" s="7" t="str">
        <f aca="true">IF(A177="","",IF(TODAY()&lt;E177,E177,IF(TODAY()&lt;=E177+7,E177+7,IF(TODAY()&lt;=E177+21,E177+21,IF(TODAY()&lt;=E177+35,E177+35,IF(TODAY()&lt;=E177+49,E177+49,IF(TODAY()&lt;=E177+63,E177+63,E177+70)))))))</f>
        <v/>
      </c>
      <c r="K177" s="11" t="str">
        <f aca="true">IF(A177="","",J177-TODAY())</f>
        <v/>
      </c>
      <c r="L177" s="7" t="str">
        <f aca="false">IF(A177="","",IFERROR(LOOKUP(2,1/('Weekly Check-in'!$B$4:$B$1003=A177),'Weekly Check-in'!$A$4:$A$1003),""))</f>
        <v/>
      </c>
      <c r="M177" s="11" t="str">
        <f aca="true">IF(A177="","",IF(L177="","",TODAY()-L177))</f>
        <v/>
      </c>
      <c r="N177" s="11" t="str">
        <f aca="false">IF(A177="","",COUNTIFS('Weekly Check-in'!$B$4:$B$1003,A177,'Weekly Check-in'!$H$4:$H$1003,"&lt;&gt;"))</f>
        <v/>
      </c>
      <c r="O177" s="11" t="str">
        <f aca="true">IF(A177="","",IF(OR(R177="Completed",R177="Withdrawn",TODAY()&lt;E177),"GREEN",IF(L177="","YELLOW",IF(M177&gt;=Config!$B$7,"RED",IF(OR(M177&gt;=Config!$B$6,AND(K177&lt;=Config!$B$8,N177&gt;0)),"YELLOW",IF(N177&gt;0,"YELLOW","GREEN"))))))</f>
        <v/>
      </c>
      <c r="P177" s="17"/>
      <c r="Q177" s="11" t="str">
        <f aca="false">IF(A177="","",IF(P177&lt;&gt;"",P177,O177))</f>
        <v/>
      </c>
      <c r="R177" s="17"/>
      <c r="S177" s="18"/>
      <c r="T177" s="18"/>
    </row>
    <row r="178" customFormat="false" ht="15" hidden="false" customHeight="true" outlineLevel="0" collapsed="false">
      <c r="A178" s="17"/>
      <c r="B178" s="17"/>
      <c r="C178" s="17"/>
      <c r="D178" s="17"/>
      <c r="E178" s="19"/>
      <c r="F178" s="7" t="str">
        <f aca="false">IF(A178="","",E178+Config!$B$4*7)</f>
        <v/>
      </c>
      <c r="G178" s="11" t="str">
        <f aca="true">IF(A178="","",MAX(0,MIN(Config!$B$4,INT((TODAY()-E178)/7)+1)))</f>
        <v/>
      </c>
      <c r="H178" s="11" t="str">
        <f aca="true">IF(A178="","",IF(TODAY()&lt;E178,"Not Started",IF(TODAY()&gt;F178,"Completed",IF(G178=1,"Onboarding",IF(G178&lt;=3,"Sprint 1",IF(G178&lt;=5,"Sprint 2",IF(G178&lt;=7,"Sprint 3",IF(G178&lt;=9,"Sprint 4","Final"))))))))</f>
        <v/>
      </c>
      <c r="I178" s="11" t="str">
        <f aca="true">IF(A178="","",IF(TODAY()&lt;E178,"Start",IF(TODAY()&lt;=E178+7,"Charter Approved",IF(TODAY()&lt;=E178+21,"Sprint 1 Review",IF(TODAY()&lt;=E178+35,"Sprint 2 Review",IF(TODAY()&lt;=E178+49,"Sprint 3 Review",IF(TODAY()&lt;=E178+63,"Sprint 4 Review","Final Review")))))))</f>
        <v/>
      </c>
      <c r="J178" s="7" t="str">
        <f aca="true">IF(A178="","",IF(TODAY()&lt;E178,E178,IF(TODAY()&lt;=E178+7,E178+7,IF(TODAY()&lt;=E178+21,E178+21,IF(TODAY()&lt;=E178+35,E178+35,IF(TODAY()&lt;=E178+49,E178+49,IF(TODAY()&lt;=E178+63,E178+63,E178+70)))))))</f>
        <v/>
      </c>
      <c r="K178" s="11" t="str">
        <f aca="true">IF(A178="","",J178-TODAY())</f>
        <v/>
      </c>
      <c r="L178" s="7" t="str">
        <f aca="false">IF(A178="","",IFERROR(LOOKUP(2,1/('Weekly Check-in'!$B$4:$B$1003=A178),'Weekly Check-in'!$A$4:$A$1003),""))</f>
        <v/>
      </c>
      <c r="M178" s="11" t="str">
        <f aca="true">IF(A178="","",IF(L178="","",TODAY()-L178))</f>
        <v/>
      </c>
      <c r="N178" s="11" t="str">
        <f aca="false">IF(A178="","",COUNTIFS('Weekly Check-in'!$B$4:$B$1003,A178,'Weekly Check-in'!$H$4:$H$1003,"&lt;&gt;"))</f>
        <v/>
      </c>
      <c r="O178" s="11" t="str">
        <f aca="true">IF(A178="","",IF(OR(R178="Completed",R178="Withdrawn",TODAY()&lt;E178),"GREEN",IF(L178="","YELLOW",IF(M178&gt;=Config!$B$7,"RED",IF(OR(M178&gt;=Config!$B$6,AND(K178&lt;=Config!$B$8,N178&gt;0)),"YELLOW",IF(N178&gt;0,"YELLOW","GREEN"))))))</f>
        <v/>
      </c>
      <c r="P178" s="17"/>
      <c r="Q178" s="11" t="str">
        <f aca="false">IF(A178="","",IF(P178&lt;&gt;"",P178,O178))</f>
        <v/>
      </c>
      <c r="R178" s="17"/>
      <c r="S178" s="18"/>
      <c r="T178" s="18"/>
    </row>
    <row r="179" customFormat="false" ht="15" hidden="false" customHeight="true" outlineLevel="0" collapsed="false">
      <c r="A179" s="17"/>
      <c r="B179" s="17"/>
      <c r="C179" s="17"/>
      <c r="D179" s="17"/>
      <c r="E179" s="19"/>
      <c r="F179" s="7" t="str">
        <f aca="false">IF(A179="","",E179+Config!$B$4*7)</f>
        <v/>
      </c>
      <c r="G179" s="11" t="str">
        <f aca="true">IF(A179="","",MAX(0,MIN(Config!$B$4,INT((TODAY()-E179)/7)+1)))</f>
        <v/>
      </c>
      <c r="H179" s="11" t="str">
        <f aca="true">IF(A179="","",IF(TODAY()&lt;E179,"Not Started",IF(TODAY()&gt;F179,"Completed",IF(G179=1,"Onboarding",IF(G179&lt;=3,"Sprint 1",IF(G179&lt;=5,"Sprint 2",IF(G179&lt;=7,"Sprint 3",IF(G179&lt;=9,"Sprint 4","Final"))))))))</f>
        <v/>
      </c>
      <c r="I179" s="11" t="str">
        <f aca="true">IF(A179="","",IF(TODAY()&lt;E179,"Start",IF(TODAY()&lt;=E179+7,"Charter Approved",IF(TODAY()&lt;=E179+21,"Sprint 1 Review",IF(TODAY()&lt;=E179+35,"Sprint 2 Review",IF(TODAY()&lt;=E179+49,"Sprint 3 Review",IF(TODAY()&lt;=E179+63,"Sprint 4 Review","Final Review")))))))</f>
        <v/>
      </c>
      <c r="J179" s="7" t="str">
        <f aca="true">IF(A179="","",IF(TODAY()&lt;E179,E179,IF(TODAY()&lt;=E179+7,E179+7,IF(TODAY()&lt;=E179+21,E179+21,IF(TODAY()&lt;=E179+35,E179+35,IF(TODAY()&lt;=E179+49,E179+49,IF(TODAY()&lt;=E179+63,E179+63,E179+70)))))))</f>
        <v/>
      </c>
      <c r="K179" s="11" t="str">
        <f aca="true">IF(A179="","",J179-TODAY())</f>
        <v/>
      </c>
      <c r="L179" s="7" t="str">
        <f aca="false">IF(A179="","",IFERROR(LOOKUP(2,1/('Weekly Check-in'!$B$4:$B$1003=A179),'Weekly Check-in'!$A$4:$A$1003),""))</f>
        <v/>
      </c>
      <c r="M179" s="11" t="str">
        <f aca="true">IF(A179="","",IF(L179="","",TODAY()-L179))</f>
        <v/>
      </c>
      <c r="N179" s="11" t="str">
        <f aca="false">IF(A179="","",COUNTIFS('Weekly Check-in'!$B$4:$B$1003,A179,'Weekly Check-in'!$H$4:$H$1003,"&lt;&gt;"))</f>
        <v/>
      </c>
      <c r="O179" s="11" t="str">
        <f aca="true">IF(A179="","",IF(OR(R179="Completed",R179="Withdrawn",TODAY()&lt;E179),"GREEN",IF(L179="","YELLOW",IF(M179&gt;=Config!$B$7,"RED",IF(OR(M179&gt;=Config!$B$6,AND(K179&lt;=Config!$B$8,N179&gt;0)),"YELLOW",IF(N179&gt;0,"YELLOW","GREEN"))))))</f>
        <v/>
      </c>
      <c r="P179" s="17"/>
      <c r="Q179" s="11" t="str">
        <f aca="false">IF(A179="","",IF(P179&lt;&gt;"",P179,O179))</f>
        <v/>
      </c>
      <c r="R179" s="17"/>
      <c r="S179" s="18"/>
      <c r="T179" s="18"/>
    </row>
    <row r="180" customFormat="false" ht="15" hidden="false" customHeight="true" outlineLevel="0" collapsed="false">
      <c r="A180" s="17"/>
      <c r="B180" s="17"/>
      <c r="C180" s="17"/>
      <c r="D180" s="17"/>
      <c r="E180" s="19"/>
      <c r="F180" s="7" t="str">
        <f aca="false">IF(A180="","",E180+Config!$B$4*7)</f>
        <v/>
      </c>
      <c r="G180" s="11" t="str">
        <f aca="true">IF(A180="","",MAX(0,MIN(Config!$B$4,INT((TODAY()-E180)/7)+1)))</f>
        <v/>
      </c>
      <c r="H180" s="11" t="str">
        <f aca="true">IF(A180="","",IF(TODAY()&lt;E180,"Not Started",IF(TODAY()&gt;F180,"Completed",IF(G180=1,"Onboarding",IF(G180&lt;=3,"Sprint 1",IF(G180&lt;=5,"Sprint 2",IF(G180&lt;=7,"Sprint 3",IF(G180&lt;=9,"Sprint 4","Final"))))))))</f>
        <v/>
      </c>
      <c r="I180" s="11" t="str">
        <f aca="true">IF(A180="","",IF(TODAY()&lt;E180,"Start",IF(TODAY()&lt;=E180+7,"Charter Approved",IF(TODAY()&lt;=E180+21,"Sprint 1 Review",IF(TODAY()&lt;=E180+35,"Sprint 2 Review",IF(TODAY()&lt;=E180+49,"Sprint 3 Review",IF(TODAY()&lt;=E180+63,"Sprint 4 Review","Final Review")))))))</f>
        <v/>
      </c>
      <c r="J180" s="7" t="str">
        <f aca="true">IF(A180="","",IF(TODAY()&lt;E180,E180,IF(TODAY()&lt;=E180+7,E180+7,IF(TODAY()&lt;=E180+21,E180+21,IF(TODAY()&lt;=E180+35,E180+35,IF(TODAY()&lt;=E180+49,E180+49,IF(TODAY()&lt;=E180+63,E180+63,E180+70)))))))</f>
        <v/>
      </c>
      <c r="K180" s="11" t="str">
        <f aca="true">IF(A180="","",J180-TODAY())</f>
        <v/>
      </c>
      <c r="L180" s="7" t="str">
        <f aca="false">IF(A180="","",IFERROR(LOOKUP(2,1/('Weekly Check-in'!$B$4:$B$1003=A180),'Weekly Check-in'!$A$4:$A$1003),""))</f>
        <v/>
      </c>
      <c r="M180" s="11" t="str">
        <f aca="true">IF(A180="","",IF(L180="","",TODAY()-L180))</f>
        <v/>
      </c>
      <c r="N180" s="11" t="str">
        <f aca="false">IF(A180="","",COUNTIFS('Weekly Check-in'!$B$4:$B$1003,A180,'Weekly Check-in'!$H$4:$H$1003,"&lt;&gt;"))</f>
        <v/>
      </c>
      <c r="O180" s="11" t="str">
        <f aca="true">IF(A180="","",IF(OR(R180="Completed",R180="Withdrawn",TODAY()&lt;E180),"GREEN",IF(L180="","YELLOW",IF(M180&gt;=Config!$B$7,"RED",IF(OR(M180&gt;=Config!$B$6,AND(K180&lt;=Config!$B$8,N180&gt;0)),"YELLOW",IF(N180&gt;0,"YELLOW","GREEN"))))))</f>
        <v/>
      </c>
      <c r="P180" s="17"/>
      <c r="Q180" s="11" t="str">
        <f aca="false">IF(A180="","",IF(P180&lt;&gt;"",P180,O180))</f>
        <v/>
      </c>
      <c r="R180" s="17"/>
      <c r="S180" s="18"/>
      <c r="T180" s="18"/>
    </row>
    <row r="181" customFormat="false" ht="15" hidden="false" customHeight="true" outlineLevel="0" collapsed="false">
      <c r="A181" s="17"/>
      <c r="B181" s="17"/>
      <c r="C181" s="17"/>
      <c r="D181" s="17"/>
      <c r="E181" s="19"/>
      <c r="F181" s="7" t="str">
        <f aca="false">IF(A181="","",E181+Config!$B$4*7)</f>
        <v/>
      </c>
      <c r="G181" s="11" t="str">
        <f aca="true">IF(A181="","",MAX(0,MIN(Config!$B$4,INT((TODAY()-E181)/7)+1)))</f>
        <v/>
      </c>
      <c r="H181" s="11" t="str">
        <f aca="true">IF(A181="","",IF(TODAY()&lt;E181,"Not Started",IF(TODAY()&gt;F181,"Completed",IF(G181=1,"Onboarding",IF(G181&lt;=3,"Sprint 1",IF(G181&lt;=5,"Sprint 2",IF(G181&lt;=7,"Sprint 3",IF(G181&lt;=9,"Sprint 4","Final"))))))))</f>
        <v/>
      </c>
      <c r="I181" s="11" t="str">
        <f aca="true">IF(A181="","",IF(TODAY()&lt;E181,"Start",IF(TODAY()&lt;=E181+7,"Charter Approved",IF(TODAY()&lt;=E181+21,"Sprint 1 Review",IF(TODAY()&lt;=E181+35,"Sprint 2 Review",IF(TODAY()&lt;=E181+49,"Sprint 3 Review",IF(TODAY()&lt;=E181+63,"Sprint 4 Review","Final Review")))))))</f>
        <v/>
      </c>
      <c r="J181" s="7" t="str">
        <f aca="true">IF(A181="","",IF(TODAY()&lt;E181,E181,IF(TODAY()&lt;=E181+7,E181+7,IF(TODAY()&lt;=E181+21,E181+21,IF(TODAY()&lt;=E181+35,E181+35,IF(TODAY()&lt;=E181+49,E181+49,IF(TODAY()&lt;=E181+63,E181+63,E181+70)))))))</f>
        <v/>
      </c>
      <c r="K181" s="11" t="str">
        <f aca="true">IF(A181="","",J181-TODAY())</f>
        <v/>
      </c>
      <c r="L181" s="7" t="str">
        <f aca="false">IF(A181="","",IFERROR(LOOKUP(2,1/('Weekly Check-in'!$B$4:$B$1003=A181),'Weekly Check-in'!$A$4:$A$1003),""))</f>
        <v/>
      </c>
      <c r="M181" s="11" t="str">
        <f aca="true">IF(A181="","",IF(L181="","",TODAY()-L181))</f>
        <v/>
      </c>
      <c r="N181" s="11" t="str">
        <f aca="false">IF(A181="","",COUNTIFS('Weekly Check-in'!$B$4:$B$1003,A181,'Weekly Check-in'!$H$4:$H$1003,"&lt;&gt;"))</f>
        <v/>
      </c>
      <c r="O181" s="11" t="str">
        <f aca="true">IF(A181="","",IF(OR(R181="Completed",R181="Withdrawn",TODAY()&lt;E181),"GREEN",IF(L181="","YELLOW",IF(M181&gt;=Config!$B$7,"RED",IF(OR(M181&gt;=Config!$B$6,AND(K181&lt;=Config!$B$8,N181&gt;0)),"YELLOW",IF(N181&gt;0,"YELLOW","GREEN"))))))</f>
        <v/>
      </c>
      <c r="P181" s="17"/>
      <c r="Q181" s="11" t="str">
        <f aca="false">IF(A181="","",IF(P181&lt;&gt;"",P181,O181))</f>
        <v/>
      </c>
      <c r="R181" s="17"/>
      <c r="S181" s="18"/>
      <c r="T181" s="18"/>
    </row>
    <row r="182" customFormat="false" ht="15" hidden="false" customHeight="true" outlineLevel="0" collapsed="false">
      <c r="A182" s="17"/>
      <c r="B182" s="17"/>
      <c r="C182" s="17"/>
      <c r="D182" s="17"/>
      <c r="E182" s="19"/>
      <c r="F182" s="7" t="str">
        <f aca="false">IF(A182="","",E182+Config!$B$4*7)</f>
        <v/>
      </c>
      <c r="G182" s="11" t="str">
        <f aca="true">IF(A182="","",MAX(0,MIN(Config!$B$4,INT((TODAY()-E182)/7)+1)))</f>
        <v/>
      </c>
      <c r="H182" s="11" t="str">
        <f aca="true">IF(A182="","",IF(TODAY()&lt;E182,"Not Started",IF(TODAY()&gt;F182,"Completed",IF(G182=1,"Onboarding",IF(G182&lt;=3,"Sprint 1",IF(G182&lt;=5,"Sprint 2",IF(G182&lt;=7,"Sprint 3",IF(G182&lt;=9,"Sprint 4","Final"))))))))</f>
        <v/>
      </c>
      <c r="I182" s="11" t="str">
        <f aca="true">IF(A182="","",IF(TODAY()&lt;E182,"Start",IF(TODAY()&lt;=E182+7,"Charter Approved",IF(TODAY()&lt;=E182+21,"Sprint 1 Review",IF(TODAY()&lt;=E182+35,"Sprint 2 Review",IF(TODAY()&lt;=E182+49,"Sprint 3 Review",IF(TODAY()&lt;=E182+63,"Sprint 4 Review","Final Review")))))))</f>
        <v/>
      </c>
      <c r="J182" s="7" t="str">
        <f aca="true">IF(A182="","",IF(TODAY()&lt;E182,E182,IF(TODAY()&lt;=E182+7,E182+7,IF(TODAY()&lt;=E182+21,E182+21,IF(TODAY()&lt;=E182+35,E182+35,IF(TODAY()&lt;=E182+49,E182+49,IF(TODAY()&lt;=E182+63,E182+63,E182+70)))))))</f>
        <v/>
      </c>
      <c r="K182" s="11" t="str">
        <f aca="true">IF(A182="","",J182-TODAY())</f>
        <v/>
      </c>
      <c r="L182" s="7" t="str">
        <f aca="false">IF(A182="","",IFERROR(LOOKUP(2,1/('Weekly Check-in'!$B$4:$B$1003=A182),'Weekly Check-in'!$A$4:$A$1003),""))</f>
        <v/>
      </c>
      <c r="M182" s="11" t="str">
        <f aca="true">IF(A182="","",IF(L182="","",TODAY()-L182))</f>
        <v/>
      </c>
      <c r="N182" s="11" t="str">
        <f aca="false">IF(A182="","",COUNTIFS('Weekly Check-in'!$B$4:$B$1003,A182,'Weekly Check-in'!$H$4:$H$1003,"&lt;&gt;"))</f>
        <v/>
      </c>
      <c r="O182" s="11" t="str">
        <f aca="true">IF(A182="","",IF(OR(R182="Completed",R182="Withdrawn",TODAY()&lt;E182),"GREEN",IF(L182="","YELLOW",IF(M182&gt;=Config!$B$7,"RED",IF(OR(M182&gt;=Config!$B$6,AND(K182&lt;=Config!$B$8,N182&gt;0)),"YELLOW",IF(N182&gt;0,"YELLOW","GREEN"))))))</f>
        <v/>
      </c>
      <c r="P182" s="17"/>
      <c r="Q182" s="11" t="str">
        <f aca="false">IF(A182="","",IF(P182&lt;&gt;"",P182,O182))</f>
        <v/>
      </c>
      <c r="R182" s="17"/>
      <c r="S182" s="18"/>
      <c r="T182" s="18"/>
    </row>
    <row r="183" customFormat="false" ht="15" hidden="false" customHeight="true" outlineLevel="0" collapsed="false">
      <c r="A183" s="17"/>
      <c r="B183" s="17"/>
      <c r="C183" s="17"/>
      <c r="D183" s="17"/>
      <c r="E183" s="19"/>
      <c r="F183" s="7" t="str">
        <f aca="false">IF(A183="","",E183+Config!$B$4*7)</f>
        <v/>
      </c>
      <c r="G183" s="11" t="str">
        <f aca="true">IF(A183="","",MAX(0,MIN(Config!$B$4,INT((TODAY()-E183)/7)+1)))</f>
        <v/>
      </c>
      <c r="H183" s="11" t="str">
        <f aca="true">IF(A183="","",IF(TODAY()&lt;E183,"Not Started",IF(TODAY()&gt;F183,"Completed",IF(G183=1,"Onboarding",IF(G183&lt;=3,"Sprint 1",IF(G183&lt;=5,"Sprint 2",IF(G183&lt;=7,"Sprint 3",IF(G183&lt;=9,"Sprint 4","Final"))))))))</f>
        <v/>
      </c>
      <c r="I183" s="11" t="str">
        <f aca="true">IF(A183="","",IF(TODAY()&lt;E183,"Start",IF(TODAY()&lt;=E183+7,"Charter Approved",IF(TODAY()&lt;=E183+21,"Sprint 1 Review",IF(TODAY()&lt;=E183+35,"Sprint 2 Review",IF(TODAY()&lt;=E183+49,"Sprint 3 Review",IF(TODAY()&lt;=E183+63,"Sprint 4 Review","Final Review")))))))</f>
        <v/>
      </c>
      <c r="J183" s="7" t="str">
        <f aca="true">IF(A183="","",IF(TODAY()&lt;E183,E183,IF(TODAY()&lt;=E183+7,E183+7,IF(TODAY()&lt;=E183+21,E183+21,IF(TODAY()&lt;=E183+35,E183+35,IF(TODAY()&lt;=E183+49,E183+49,IF(TODAY()&lt;=E183+63,E183+63,E183+70)))))))</f>
        <v/>
      </c>
      <c r="K183" s="11" t="str">
        <f aca="true">IF(A183="","",J183-TODAY())</f>
        <v/>
      </c>
      <c r="L183" s="7" t="str">
        <f aca="false">IF(A183="","",IFERROR(LOOKUP(2,1/('Weekly Check-in'!$B$4:$B$1003=A183),'Weekly Check-in'!$A$4:$A$1003),""))</f>
        <v/>
      </c>
      <c r="M183" s="11" t="str">
        <f aca="true">IF(A183="","",IF(L183="","",TODAY()-L183))</f>
        <v/>
      </c>
      <c r="N183" s="11" t="str">
        <f aca="false">IF(A183="","",COUNTIFS('Weekly Check-in'!$B$4:$B$1003,A183,'Weekly Check-in'!$H$4:$H$1003,"&lt;&gt;"))</f>
        <v/>
      </c>
      <c r="O183" s="11" t="str">
        <f aca="true">IF(A183="","",IF(OR(R183="Completed",R183="Withdrawn",TODAY()&lt;E183),"GREEN",IF(L183="","YELLOW",IF(M183&gt;=Config!$B$7,"RED",IF(OR(M183&gt;=Config!$B$6,AND(K183&lt;=Config!$B$8,N183&gt;0)),"YELLOW",IF(N183&gt;0,"YELLOW","GREEN"))))))</f>
        <v/>
      </c>
      <c r="P183" s="17"/>
      <c r="Q183" s="11" t="str">
        <f aca="false">IF(A183="","",IF(P183&lt;&gt;"",P183,O183))</f>
        <v/>
      </c>
      <c r="R183" s="17"/>
      <c r="S183" s="18"/>
      <c r="T183" s="18"/>
    </row>
    <row r="184" customFormat="false" ht="15" hidden="false" customHeight="true" outlineLevel="0" collapsed="false">
      <c r="A184" s="17"/>
      <c r="B184" s="17"/>
      <c r="C184" s="17"/>
      <c r="D184" s="17"/>
      <c r="E184" s="19"/>
      <c r="F184" s="7" t="str">
        <f aca="false">IF(A184="","",E184+Config!$B$4*7)</f>
        <v/>
      </c>
      <c r="G184" s="11" t="str">
        <f aca="true">IF(A184="","",MAX(0,MIN(Config!$B$4,INT((TODAY()-E184)/7)+1)))</f>
        <v/>
      </c>
      <c r="H184" s="11" t="str">
        <f aca="true">IF(A184="","",IF(TODAY()&lt;E184,"Not Started",IF(TODAY()&gt;F184,"Completed",IF(G184=1,"Onboarding",IF(G184&lt;=3,"Sprint 1",IF(G184&lt;=5,"Sprint 2",IF(G184&lt;=7,"Sprint 3",IF(G184&lt;=9,"Sprint 4","Final"))))))))</f>
        <v/>
      </c>
      <c r="I184" s="11" t="str">
        <f aca="true">IF(A184="","",IF(TODAY()&lt;E184,"Start",IF(TODAY()&lt;=E184+7,"Charter Approved",IF(TODAY()&lt;=E184+21,"Sprint 1 Review",IF(TODAY()&lt;=E184+35,"Sprint 2 Review",IF(TODAY()&lt;=E184+49,"Sprint 3 Review",IF(TODAY()&lt;=E184+63,"Sprint 4 Review","Final Review")))))))</f>
        <v/>
      </c>
      <c r="J184" s="7" t="str">
        <f aca="true">IF(A184="","",IF(TODAY()&lt;E184,E184,IF(TODAY()&lt;=E184+7,E184+7,IF(TODAY()&lt;=E184+21,E184+21,IF(TODAY()&lt;=E184+35,E184+35,IF(TODAY()&lt;=E184+49,E184+49,IF(TODAY()&lt;=E184+63,E184+63,E184+70)))))))</f>
        <v/>
      </c>
      <c r="K184" s="11" t="str">
        <f aca="true">IF(A184="","",J184-TODAY())</f>
        <v/>
      </c>
      <c r="L184" s="7" t="str">
        <f aca="false">IF(A184="","",IFERROR(LOOKUP(2,1/('Weekly Check-in'!$B$4:$B$1003=A184),'Weekly Check-in'!$A$4:$A$1003),""))</f>
        <v/>
      </c>
      <c r="M184" s="11" t="str">
        <f aca="true">IF(A184="","",IF(L184="","",TODAY()-L184))</f>
        <v/>
      </c>
      <c r="N184" s="11" t="str">
        <f aca="false">IF(A184="","",COUNTIFS('Weekly Check-in'!$B$4:$B$1003,A184,'Weekly Check-in'!$H$4:$H$1003,"&lt;&gt;"))</f>
        <v/>
      </c>
      <c r="O184" s="11" t="str">
        <f aca="true">IF(A184="","",IF(OR(R184="Completed",R184="Withdrawn",TODAY()&lt;E184),"GREEN",IF(L184="","YELLOW",IF(M184&gt;=Config!$B$7,"RED",IF(OR(M184&gt;=Config!$B$6,AND(K184&lt;=Config!$B$8,N184&gt;0)),"YELLOW",IF(N184&gt;0,"YELLOW","GREEN"))))))</f>
        <v/>
      </c>
      <c r="P184" s="17"/>
      <c r="Q184" s="11" t="str">
        <f aca="false">IF(A184="","",IF(P184&lt;&gt;"",P184,O184))</f>
        <v/>
      </c>
      <c r="R184" s="17"/>
      <c r="S184" s="18"/>
      <c r="T184" s="18"/>
    </row>
    <row r="185" customFormat="false" ht="15" hidden="false" customHeight="true" outlineLevel="0" collapsed="false">
      <c r="A185" s="17"/>
      <c r="B185" s="17"/>
      <c r="C185" s="17"/>
      <c r="D185" s="17"/>
      <c r="E185" s="19"/>
      <c r="F185" s="7" t="str">
        <f aca="false">IF(A185="","",E185+Config!$B$4*7)</f>
        <v/>
      </c>
      <c r="G185" s="11" t="str">
        <f aca="true">IF(A185="","",MAX(0,MIN(Config!$B$4,INT((TODAY()-E185)/7)+1)))</f>
        <v/>
      </c>
      <c r="H185" s="11" t="str">
        <f aca="true">IF(A185="","",IF(TODAY()&lt;E185,"Not Started",IF(TODAY()&gt;F185,"Completed",IF(G185=1,"Onboarding",IF(G185&lt;=3,"Sprint 1",IF(G185&lt;=5,"Sprint 2",IF(G185&lt;=7,"Sprint 3",IF(G185&lt;=9,"Sprint 4","Final"))))))))</f>
        <v/>
      </c>
      <c r="I185" s="11" t="str">
        <f aca="true">IF(A185="","",IF(TODAY()&lt;E185,"Start",IF(TODAY()&lt;=E185+7,"Charter Approved",IF(TODAY()&lt;=E185+21,"Sprint 1 Review",IF(TODAY()&lt;=E185+35,"Sprint 2 Review",IF(TODAY()&lt;=E185+49,"Sprint 3 Review",IF(TODAY()&lt;=E185+63,"Sprint 4 Review","Final Review")))))))</f>
        <v/>
      </c>
      <c r="J185" s="7" t="str">
        <f aca="true">IF(A185="","",IF(TODAY()&lt;E185,E185,IF(TODAY()&lt;=E185+7,E185+7,IF(TODAY()&lt;=E185+21,E185+21,IF(TODAY()&lt;=E185+35,E185+35,IF(TODAY()&lt;=E185+49,E185+49,IF(TODAY()&lt;=E185+63,E185+63,E185+70)))))))</f>
        <v/>
      </c>
      <c r="K185" s="11" t="str">
        <f aca="true">IF(A185="","",J185-TODAY())</f>
        <v/>
      </c>
      <c r="L185" s="7" t="str">
        <f aca="false">IF(A185="","",IFERROR(LOOKUP(2,1/('Weekly Check-in'!$B$4:$B$1003=A185),'Weekly Check-in'!$A$4:$A$1003),""))</f>
        <v/>
      </c>
      <c r="M185" s="11" t="str">
        <f aca="true">IF(A185="","",IF(L185="","",TODAY()-L185))</f>
        <v/>
      </c>
      <c r="N185" s="11" t="str">
        <f aca="false">IF(A185="","",COUNTIFS('Weekly Check-in'!$B$4:$B$1003,A185,'Weekly Check-in'!$H$4:$H$1003,"&lt;&gt;"))</f>
        <v/>
      </c>
      <c r="O185" s="11" t="str">
        <f aca="true">IF(A185="","",IF(OR(R185="Completed",R185="Withdrawn",TODAY()&lt;E185),"GREEN",IF(L185="","YELLOW",IF(M185&gt;=Config!$B$7,"RED",IF(OR(M185&gt;=Config!$B$6,AND(K185&lt;=Config!$B$8,N185&gt;0)),"YELLOW",IF(N185&gt;0,"YELLOW","GREEN"))))))</f>
        <v/>
      </c>
      <c r="P185" s="17"/>
      <c r="Q185" s="11" t="str">
        <f aca="false">IF(A185="","",IF(P185&lt;&gt;"",P185,O185))</f>
        <v/>
      </c>
      <c r="R185" s="17"/>
      <c r="S185" s="18"/>
      <c r="T185" s="18"/>
    </row>
    <row r="186" customFormat="false" ht="15" hidden="false" customHeight="true" outlineLevel="0" collapsed="false">
      <c r="A186" s="17"/>
      <c r="B186" s="17"/>
      <c r="C186" s="17"/>
      <c r="D186" s="17"/>
      <c r="E186" s="19"/>
      <c r="F186" s="7" t="str">
        <f aca="false">IF(A186="","",E186+Config!$B$4*7)</f>
        <v/>
      </c>
      <c r="G186" s="11" t="str">
        <f aca="true">IF(A186="","",MAX(0,MIN(Config!$B$4,INT((TODAY()-E186)/7)+1)))</f>
        <v/>
      </c>
      <c r="H186" s="11" t="str">
        <f aca="true">IF(A186="","",IF(TODAY()&lt;E186,"Not Started",IF(TODAY()&gt;F186,"Completed",IF(G186=1,"Onboarding",IF(G186&lt;=3,"Sprint 1",IF(G186&lt;=5,"Sprint 2",IF(G186&lt;=7,"Sprint 3",IF(G186&lt;=9,"Sprint 4","Final"))))))))</f>
        <v/>
      </c>
      <c r="I186" s="11" t="str">
        <f aca="true">IF(A186="","",IF(TODAY()&lt;E186,"Start",IF(TODAY()&lt;=E186+7,"Charter Approved",IF(TODAY()&lt;=E186+21,"Sprint 1 Review",IF(TODAY()&lt;=E186+35,"Sprint 2 Review",IF(TODAY()&lt;=E186+49,"Sprint 3 Review",IF(TODAY()&lt;=E186+63,"Sprint 4 Review","Final Review")))))))</f>
        <v/>
      </c>
      <c r="J186" s="7" t="str">
        <f aca="true">IF(A186="","",IF(TODAY()&lt;E186,E186,IF(TODAY()&lt;=E186+7,E186+7,IF(TODAY()&lt;=E186+21,E186+21,IF(TODAY()&lt;=E186+35,E186+35,IF(TODAY()&lt;=E186+49,E186+49,IF(TODAY()&lt;=E186+63,E186+63,E186+70)))))))</f>
        <v/>
      </c>
      <c r="K186" s="11" t="str">
        <f aca="true">IF(A186="","",J186-TODAY())</f>
        <v/>
      </c>
      <c r="L186" s="7" t="str">
        <f aca="false">IF(A186="","",IFERROR(LOOKUP(2,1/('Weekly Check-in'!$B$4:$B$1003=A186),'Weekly Check-in'!$A$4:$A$1003),""))</f>
        <v/>
      </c>
      <c r="M186" s="11" t="str">
        <f aca="true">IF(A186="","",IF(L186="","",TODAY()-L186))</f>
        <v/>
      </c>
      <c r="N186" s="11" t="str">
        <f aca="false">IF(A186="","",COUNTIFS('Weekly Check-in'!$B$4:$B$1003,A186,'Weekly Check-in'!$H$4:$H$1003,"&lt;&gt;"))</f>
        <v/>
      </c>
      <c r="O186" s="11" t="str">
        <f aca="true">IF(A186="","",IF(OR(R186="Completed",R186="Withdrawn",TODAY()&lt;E186),"GREEN",IF(L186="","YELLOW",IF(M186&gt;=Config!$B$7,"RED",IF(OR(M186&gt;=Config!$B$6,AND(K186&lt;=Config!$B$8,N186&gt;0)),"YELLOW",IF(N186&gt;0,"YELLOW","GREEN"))))))</f>
        <v/>
      </c>
      <c r="P186" s="17"/>
      <c r="Q186" s="11" t="str">
        <f aca="false">IF(A186="","",IF(P186&lt;&gt;"",P186,O186))</f>
        <v/>
      </c>
      <c r="R186" s="17"/>
      <c r="S186" s="18"/>
      <c r="T186" s="18"/>
    </row>
    <row r="187" customFormat="false" ht="15" hidden="false" customHeight="true" outlineLevel="0" collapsed="false">
      <c r="A187" s="17"/>
      <c r="B187" s="17"/>
      <c r="C187" s="17"/>
      <c r="D187" s="17"/>
      <c r="E187" s="19"/>
      <c r="F187" s="7" t="str">
        <f aca="false">IF(A187="","",E187+Config!$B$4*7)</f>
        <v/>
      </c>
      <c r="G187" s="11" t="str">
        <f aca="true">IF(A187="","",MAX(0,MIN(Config!$B$4,INT((TODAY()-E187)/7)+1)))</f>
        <v/>
      </c>
      <c r="H187" s="11" t="str">
        <f aca="true">IF(A187="","",IF(TODAY()&lt;E187,"Not Started",IF(TODAY()&gt;F187,"Completed",IF(G187=1,"Onboarding",IF(G187&lt;=3,"Sprint 1",IF(G187&lt;=5,"Sprint 2",IF(G187&lt;=7,"Sprint 3",IF(G187&lt;=9,"Sprint 4","Final"))))))))</f>
        <v/>
      </c>
      <c r="I187" s="11" t="str">
        <f aca="true">IF(A187="","",IF(TODAY()&lt;E187,"Start",IF(TODAY()&lt;=E187+7,"Charter Approved",IF(TODAY()&lt;=E187+21,"Sprint 1 Review",IF(TODAY()&lt;=E187+35,"Sprint 2 Review",IF(TODAY()&lt;=E187+49,"Sprint 3 Review",IF(TODAY()&lt;=E187+63,"Sprint 4 Review","Final Review")))))))</f>
        <v/>
      </c>
      <c r="J187" s="7" t="str">
        <f aca="true">IF(A187="","",IF(TODAY()&lt;E187,E187,IF(TODAY()&lt;=E187+7,E187+7,IF(TODAY()&lt;=E187+21,E187+21,IF(TODAY()&lt;=E187+35,E187+35,IF(TODAY()&lt;=E187+49,E187+49,IF(TODAY()&lt;=E187+63,E187+63,E187+70)))))))</f>
        <v/>
      </c>
      <c r="K187" s="11" t="str">
        <f aca="true">IF(A187="","",J187-TODAY())</f>
        <v/>
      </c>
      <c r="L187" s="7" t="str">
        <f aca="false">IF(A187="","",IFERROR(LOOKUP(2,1/('Weekly Check-in'!$B$4:$B$1003=A187),'Weekly Check-in'!$A$4:$A$1003),""))</f>
        <v/>
      </c>
      <c r="M187" s="11" t="str">
        <f aca="true">IF(A187="","",IF(L187="","",TODAY()-L187))</f>
        <v/>
      </c>
      <c r="N187" s="11" t="str">
        <f aca="false">IF(A187="","",COUNTIFS('Weekly Check-in'!$B$4:$B$1003,A187,'Weekly Check-in'!$H$4:$H$1003,"&lt;&gt;"))</f>
        <v/>
      </c>
      <c r="O187" s="11" t="str">
        <f aca="true">IF(A187="","",IF(OR(R187="Completed",R187="Withdrawn",TODAY()&lt;E187),"GREEN",IF(L187="","YELLOW",IF(M187&gt;=Config!$B$7,"RED",IF(OR(M187&gt;=Config!$B$6,AND(K187&lt;=Config!$B$8,N187&gt;0)),"YELLOW",IF(N187&gt;0,"YELLOW","GREEN"))))))</f>
        <v/>
      </c>
      <c r="P187" s="17"/>
      <c r="Q187" s="11" t="str">
        <f aca="false">IF(A187="","",IF(P187&lt;&gt;"",P187,O187))</f>
        <v/>
      </c>
      <c r="R187" s="17"/>
      <c r="S187" s="18"/>
      <c r="T187" s="18"/>
    </row>
    <row r="188" customFormat="false" ht="15" hidden="false" customHeight="true" outlineLevel="0" collapsed="false">
      <c r="A188" s="17"/>
      <c r="B188" s="17"/>
      <c r="C188" s="17"/>
      <c r="D188" s="17"/>
      <c r="E188" s="19"/>
      <c r="F188" s="7" t="str">
        <f aca="false">IF(A188="","",E188+Config!$B$4*7)</f>
        <v/>
      </c>
      <c r="G188" s="11" t="str">
        <f aca="true">IF(A188="","",MAX(0,MIN(Config!$B$4,INT((TODAY()-E188)/7)+1)))</f>
        <v/>
      </c>
      <c r="H188" s="11" t="str">
        <f aca="true">IF(A188="","",IF(TODAY()&lt;E188,"Not Started",IF(TODAY()&gt;F188,"Completed",IF(G188=1,"Onboarding",IF(G188&lt;=3,"Sprint 1",IF(G188&lt;=5,"Sprint 2",IF(G188&lt;=7,"Sprint 3",IF(G188&lt;=9,"Sprint 4","Final"))))))))</f>
        <v/>
      </c>
      <c r="I188" s="11" t="str">
        <f aca="true">IF(A188="","",IF(TODAY()&lt;E188,"Start",IF(TODAY()&lt;=E188+7,"Charter Approved",IF(TODAY()&lt;=E188+21,"Sprint 1 Review",IF(TODAY()&lt;=E188+35,"Sprint 2 Review",IF(TODAY()&lt;=E188+49,"Sprint 3 Review",IF(TODAY()&lt;=E188+63,"Sprint 4 Review","Final Review")))))))</f>
        <v/>
      </c>
      <c r="J188" s="7" t="str">
        <f aca="true">IF(A188="","",IF(TODAY()&lt;E188,E188,IF(TODAY()&lt;=E188+7,E188+7,IF(TODAY()&lt;=E188+21,E188+21,IF(TODAY()&lt;=E188+35,E188+35,IF(TODAY()&lt;=E188+49,E188+49,IF(TODAY()&lt;=E188+63,E188+63,E188+70)))))))</f>
        <v/>
      </c>
      <c r="K188" s="11" t="str">
        <f aca="true">IF(A188="","",J188-TODAY())</f>
        <v/>
      </c>
      <c r="L188" s="7" t="str">
        <f aca="false">IF(A188="","",IFERROR(LOOKUP(2,1/('Weekly Check-in'!$B$4:$B$1003=A188),'Weekly Check-in'!$A$4:$A$1003),""))</f>
        <v/>
      </c>
      <c r="M188" s="11" t="str">
        <f aca="true">IF(A188="","",IF(L188="","",TODAY()-L188))</f>
        <v/>
      </c>
      <c r="N188" s="11" t="str">
        <f aca="false">IF(A188="","",COUNTIFS('Weekly Check-in'!$B$4:$B$1003,A188,'Weekly Check-in'!$H$4:$H$1003,"&lt;&gt;"))</f>
        <v/>
      </c>
      <c r="O188" s="11" t="str">
        <f aca="true">IF(A188="","",IF(OR(R188="Completed",R188="Withdrawn",TODAY()&lt;E188),"GREEN",IF(L188="","YELLOW",IF(M188&gt;=Config!$B$7,"RED",IF(OR(M188&gt;=Config!$B$6,AND(K188&lt;=Config!$B$8,N188&gt;0)),"YELLOW",IF(N188&gt;0,"YELLOW","GREEN"))))))</f>
        <v/>
      </c>
      <c r="P188" s="17"/>
      <c r="Q188" s="11" t="str">
        <f aca="false">IF(A188="","",IF(P188&lt;&gt;"",P188,O188))</f>
        <v/>
      </c>
      <c r="R188" s="17"/>
      <c r="S188" s="18"/>
      <c r="T188" s="18"/>
    </row>
    <row r="189" customFormat="false" ht="15" hidden="false" customHeight="true" outlineLevel="0" collapsed="false">
      <c r="A189" s="17"/>
      <c r="B189" s="17"/>
      <c r="C189" s="17"/>
      <c r="D189" s="17"/>
      <c r="E189" s="19"/>
      <c r="F189" s="7" t="str">
        <f aca="false">IF(A189="","",E189+Config!$B$4*7)</f>
        <v/>
      </c>
      <c r="G189" s="11" t="str">
        <f aca="true">IF(A189="","",MAX(0,MIN(Config!$B$4,INT((TODAY()-E189)/7)+1)))</f>
        <v/>
      </c>
      <c r="H189" s="11" t="str">
        <f aca="true">IF(A189="","",IF(TODAY()&lt;E189,"Not Started",IF(TODAY()&gt;F189,"Completed",IF(G189=1,"Onboarding",IF(G189&lt;=3,"Sprint 1",IF(G189&lt;=5,"Sprint 2",IF(G189&lt;=7,"Sprint 3",IF(G189&lt;=9,"Sprint 4","Final"))))))))</f>
        <v/>
      </c>
      <c r="I189" s="11" t="str">
        <f aca="true">IF(A189="","",IF(TODAY()&lt;E189,"Start",IF(TODAY()&lt;=E189+7,"Charter Approved",IF(TODAY()&lt;=E189+21,"Sprint 1 Review",IF(TODAY()&lt;=E189+35,"Sprint 2 Review",IF(TODAY()&lt;=E189+49,"Sprint 3 Review",IF(TODAY()&lt;=E189+63,"Sprint 4 Review","Final Review")))))))</f>
        <v/>
      </c>
      <c r="J189" s="7" t="str">
        <f aca="true">IF(A189="","",IF(TODAY()&lt;E189,E189,IF(TODAY()&lt;=E189+7,E189+7,IF(TODAY()&lt;=E189+21,E189+21,IF(TODAY()&lt;=E189+35,E189+35,IF(TODAY()&lt;=E189+49,E189+49,IF(TODAY()&lt;=E189+63,E189+63,E189+70)))))))</f>
        <v/>
      </c>
      <c r="K189" s="11" t="str">
        <f aca="true">IF(A189="","",J189-TODAY())</f>
        <v/>
      </c>
      <c r="L189" s="7" t="str">
        <f aca="false">IF(A189="","",IFERROR(LOOKUP(2,1/('Weekly Check-in'!$B$4:$B$1003=A189),'Weekly Check-in'!$A$4:$A$1003),""))</f>
        <v/>
      </c>
      <c r="M189" s="11" t="str">
        <f aca="true">IF(A189="","",IF(L189="","",TODAY()-L189))</f>
        <v/>
      </c>
      <c r="N189" s="11" t="str">
        <f aca="false">IF(A189="","",COUNTIFS('Weekly Check-in'!$B$4:$B$1003,A189,'Weekly Check-in'!$H$4:$H$1003,"&lt;&gt;"))</f>
        <v/>
      </c>
      <c r="O189" s="11" t="str">
        <f aca="true">IF(A189="","",IF(OR(R189="Completed",R189="Withdrawn",TODAY()&lt;E189),"GREEN",IF(L189="","YELLOW",IF(M189&gt;=Config!$B$7,"RED",IF(OR(M189&gt;=Config!$B$6,AND(K189&lt;=Config!$B$8,N189&gt;0)),"YELLOW",IF(N189&gt;0,"YELLOW","GREEN"))))))</f>
        <v/>
      </c>
      <c r="P189" s="17"/>
      <c r="Q189" s="11" t="str">
        <f aca="false">IF(A189="","",IF(P189&lt;&gt;"",P189,O189))</f>
        <v/>
      </c>
      <c r="R189" s="17"/>
      <c r="S189" s="18"/>
      <c r="T189" s="18"/>
    </row>
    <row r="190" customFormat="false" ht="15" hidden="false" customHeight="true" outlineLevel="0" collapsed="false">
      <c r="A190" s="17"/>
      <c r="B190" s="17"/>
      <c r="C190" s="17"/>
      <c r="D190" s="17"/>
      <c r="E190" s="19"/>
      <c r="F190" s="7" t="str">
        <f aca="false">IF(A190="","",E190+Config!$B$4*7)</f>
        <v/>
      </c>
      <c r="G190" s="11" t="str">
        <f aca="true">IF(A190="","",MAX(0,MIN(Config!$B$4,INT((TODAY()-E190)/7)+1)))</f>
        <v/>
      </c>
      <c r="H190" s="11" t="str">
        <f aca="true">IF(A190="","",IF(TODAY()&lt;E190,"Not Started",IF(TODAY()&gt;F190,"Completed",IF(G190=1,"Onboarding",IF(G190&lt;=3,"Sprint 1",IF(G190&lt;=5,"Sprint 2",IF(G190&lt;=7,"Sprint 3",IF(G190&lt;=9,"Sprint 4","Final"))))))))</f>
        <v/>
      </c>
      <c r="I190" s="11" t="str">
        <f aca="true">IF(A190="","",IF(TODAY()&lt;E190,"Start",IF(TODAY()&lt;=E190+7,"Charter Approved",IF(TODAY()&lt;=E190+21,"Sprint 1 Review",IF(TODAY()&lt;=E190+35,"Sprint 2 Review",IF(TODAY()&lt;=E190+49,"Sprint 3 Review",IF(TODAY()&lt;=E190+63,"Sprint 4 Review","Final Review")))))))</f>
        <v/>
      </c>
      <c r="J190" s="7" t="str">
        <f aca="true">IF(A190="","",IF(TODAY()&lt;E190,E190,IF(TODAY()&lt;=E190+7,E190+7,IF(TODAY()&lt;=E190+21,E190+21,IF(TODAY()&lt;=E190+35,E190+35,IF(TODAY()&lt;=E190+49,E190+49,IF(TODAY()&lt;=E190+63,E190+63,E190+70)))))))</f>
        <v/>
      </c>
      <c r="K190" s="11" t="str">
        <f aca="true">IF(A190="","",J190-TODAY())</f>
        <v/>
      </c>
      <c r="L190" s="7" t="str">
        <f aca="false">IF(A190="","",IFERROR(LOOKUP(2,1/('Weekly Check-in'!$B$4:$B$1003=A190),'Weekly Check-in'!$A$4:$A$1003),""))</f>
        <v/>
      </c>
      <c r="M190" s="11" t="str">
        <f aca="true">IF(A190="","",IF(L190="","",TODAY()-L190))</f>
        <v/>
      </c>
      <c r="N190" s="11" t="str">
        <f aca="false">IF(A190="","",COUNTIFS('Weekly Check-in'!$B$4:$B$1003,A190,'Weekly Check-in'!$H$4:$H$1003,"&lt;&gt;"))</f>
        <v/>
      </c>
      <c r="O190" s="11" t="str">
        <f aca="true">IF(A190="","",IF(OR(R190="Completed",R190="Withdrawn",TODAY()&lt;E190),"GREEN",IF(L190="","YELLOW",IF(M190&gt;=Config!$B$7,"RED",IF(OR(M190&gt;=Config!$B$6,AND(K190&lt;=Config!$B$8,N190&gt;0)),"YELLOW",IF(N190&gt;0,"YELLOW","GREEN"))))))</f>
        <v/>
      </c>
      <c r="P190" s="17"/>
      <c r="Q190" s="11" t="str">
        <f aca="false">IF(A190="","",IF(P190&lt;&gt;"",P190,O190))</f>
        <v/>
      </c>
      <c r="R190" s="17"/>
      <c r="S190" s="18"/>
      <c r="T190" s="18"/>
    </row>
    <row r="191" customFormat="false" ht="15" hidden="false" customHeight="true" outlineLevel="0" collapsed="false">
      <c r="A191" s="17"/>
      <c r="B191" s="17"/>
      <c r="C191" s="17"/>
      <c r="D191" s="17"/>
      <c r="E191" s="19"/>
      <c r="F191" s="7" t="str">
        <f aca="false">IF(A191="","",E191+Config!$B$4*7)</f>
        <v/>
      </c>
      <c r="G191" s="11" t="str">
        <f aca="true">IF(A191="","",MAX(0,MIN(Config!$B$4,INT((TODAY()-E191)/7)+1)))</f>
        <v/>
      </c>
      <c r="H191" s="11" t="str">
        <f aca="true">IF(A191="","",IF(TODAY()&lt;E191,"Not Started",IF(TODAY()&gt;F191,"Completed",IF(G191=1,"Onboarding",IF(G191&lt;=3,"Sprint 1",IF(G191&lt;=5,"Sprint 2",IF(G191&lt;=7,"Sprint 3",IF(G191&lt;=9,"Sprint 4","Final"))))))))</f>
        <v/>
      </c>
      <c r="I191" s="11" t="str">
        <f aca="true">IF(A191="","",IF(TODAY()&lt;E191,"Start",IF(TODAY()&lt;=E191+7,"Charter Approved",IF(TODAY()&lt;=E191+21,"Sprint 1 Review",IF(TODAY()&lt;=E191+35,"Sprint 2 Review",IF(TODAY()&lt;=E191+49,"Sprint 3 Review",IF(TODAY()&lt;=E191+63,"Sprint 4 Review","Final Review")))))))</f>
        <v/>
      </c>
      <c r="J191" s="7" t="str">
        <f aca="true">IF(A191="","",IF(TODAY()&lt;E191,E191,IF(TODAY()&lt;=E191+7,E191+7,IF(TODAY()&lt;=E191+21,E191+21,IF(TODAY()&lt;=E191+35,E191+35,IF(TODAY()&lt;=E191+49,E191+49,IF(TODAY()&lt;=E191+63,E191+63,E191+70)))))))</f>
        <v/>
      </c>
      <c r="K191" s="11" t="str">
        <f aca="true">IF(A191="","",J191-TODAY())</f>
        <v/>
      </c>
      <c r="L191" s="7" t="str">
        <f aca="false">IF(A191="","",IFERROR(LOOKUP(2,1/('Weekly Check-in'!$B$4:$B$1003=A191),'Weekly Check-in'!$A$4:$A$1003),""))</f>
        <v/>
      </c>
      <c r="M191" s="11" t="str">
        <f aca="true">IF(A191="","",IF(L191="","",TODAY()-L191))</f>
        <v/>
      </c>
      <c r="N191" s="11" t="str">
        <f aca="false">IF(A191="","",COUNTIFS('Weekly Check-in'!$B$4:$B$1003,A191,'Weekly Check-in'!$H$4:$H$1003,"&lt;&gt;"))</f>
        <v/>
      </c>
      <c r="O191" s="11" t="str">
        <f aca="true">IF(A191="","",IF(OR(R191="Completed",R191="Withdrawn",TODAY()&lt;E191),"GREEN",IF(L191="","YELLOW",IF(M191&gt;=Config!$B$7,"RED",IF(OR(M191&gt;=Config!$B$6,AND(K191&lt;=Config!$B$8,N191&gt;0)),"YELLOW",IF(N191&gt;0,"YELLOW","GREEN"))))))</f>
        <v/>
      </c>
      <c r="P191" s="17"/>
      <c r="Q191" s="11" t="str">
        <f aca="false">IF(A191="","",IF(P191&lt;&gt;"",P191,O191))</f>
        <v/>
      </c>
      <c r="R191" s="17"/>
      <c r="S191" s="18"/>
      <c r="T191" s="18"/>
    </row>
    <row r="192" customFormat="false" ht="15" hidden="false" customHeight="true" outlineLevel="0" collapsed="false">
      <c r="A192" s="17"/>
      <c r="B192" s="17"/>
      <c r="C192" s="17"/>
      <c r="D192" s="17"/>
      <c r="E192" s="19"/>
      <c r="F192" s="7" t="str">
        <f aca="false">IF(A192="","",E192+Config!$B$4*7)</f>
        <v/>
      </c>
      <c r="G192" s="11" t="str">
        <f aca="true">IF(A192="","",MAX(0,MIN(Config!$B$4,INT((TODAY()-E192)/7)+1)))</f>
        <v/>
      </c>
      <c r="H192" s="11" t="str">
        <f aca="true">IF(A192="","",IF(TODAY()&lt;E192,"Not Started",IF(TODAY()&gt;F192,"Completed",IF(G192=1,"Onboarding",IF(G192&lt;=3,"Sprint 1",IF(G192&lt;=5,"Sprint 2",IF(G192&lt;=7,"Sprint 3",IF(G192&lt;=9,"Sprint 4","Final"))))))))</f>
        <v/>
      </c>
      <c r="I192" s="11" t="str">
        <f aca="true">IF(A192="","",IF(TODAY()&lt;E192,"Start",IF(TODAY()&lt;=E192+7,"Charter Approved",IF(TODAY()&lt;=E192+21,"Sprint 1 Review",IF(TODAY()&lt;=E192+35,"Sprint 2 Review",IF(TODAY()&lt;=E192+49,"Sprint 3 Review",IF(TODAY()&lt;=E192+63,"Sprint 4 Review","Final Review")))))))</f>
        <v/>
      </c>
      <c r="J192" s="7" t="str">
        <f aca="true">IF(A192="","",IF(TODAY()&lt;E192,E192,IF(TODAY()&lt;=E192+7,E192+7,IF(TODAY()&lt;=E192+21,E192+21,IF(TODAY()&lt;=E192+35,E192+35,IF(TODAY()&lt;=E192+49,E192+49,IF(TODAY()&lt;=E192+63,E192+63,E192+70)))))))</f>
        <v/>
      </c>
      <c r="K192" s="11" t="str">
        <f aca="true">IF(A192="","",J192-TODAY())</f>
        <v/>
      </c>
      <c r="L192" s="7" t="str">
        <f aca="false">IF(A192="","",IFERROR(LOOKUP(2,1/('Weekly Check-in'!$B$4:$B$1003=A192),'Weekly Check-in'!$A$4:$A$1003),""))</f>
        <v/>
      </c>
      <c r="M192" s="11" t="str">
        <f aca="true">IF(A192="","",IF(L192="","",TODAY()-L192))</f>
        <v/>
      </c>
      <c r="N192" s="11" t="str">
        <f aca="false">IF(A192="","",COUNTIFS('Weekly Check-in'!$B$4:$B$1003,A192,'Weekly Check-in'!$H$4:$H$1003,"&lt;&gt;"))</f>
        <v/>
      </c>
      <c r="O192" s="11" t="str">
        <f aca="true">IF(A192="","",IF(OR(R192="Completed",R192="Withdrawn",TODAY()&lt;E192),"GREEN",IF(L192="","YELLOW",IF(M192&gt;=Config!$B$7,"RED",IF(OR(M192&gt;=Config!$B$6,AND(K192&lt;=Config!$B$8,N192&gt;0)),"YELLOW",IF(N192&gt;0,"YELLOW","GREEN"))))))</f>
        <v/>
      </c>
      <c r="P192" s="17"/>
      <c r="Q192" s="11" t="str">
        <f aca="false">IF(A192="","",IF(P192&lt;&gt;"",P192,O192))</f>
        <v/>
      </c>
      <c r="R192" s="17"/>
      <c r="S192" s="18"/>
      <c r="T192" s="18"/>
    </row>
    <row r="193" customFormat="false" ht="15" hidden="false" customHeight="true" outlineLevel="0" collapsed="false">
      <c r="A193" s="17"/>
      <c r="B193" s="17"/>
      <c r="C193" s="17"/>
      <c r="D193" s="17"/>
      <c r="E193" s="19"/>
      <c r="F193" s="7" t="str">
        <f aca="false">IF(A193="","",E193+Config!$B$4*7)</f>
        <v/>
      </c>
      <c r="G193" s="11" t="str">
        <f aca="true">IF(A193="","",MAX(0,MIN(Config!$B$4,INT((TODAY()-E193)/7)+1)))</f>
        <v/>
      </c>
      <c r="H193" s="11" t="str">
        <f aca="true">IF(A193="","",IF(TODAY()&lt;E193,"Not Started",IF(TODAY()&gt;F193,"Completed",IF(G193=1,"Onboarding",IF(G193&lt;=3,"Sprint 1",IF(G193&lt;=5,"Sprint 2",IF(G193&lt;=7,"Sprint 3",IF(G193&lt;=9,"Sprint 4","Final"))))))))</f>
        <v/>
      </c>
      <c r="I193" s="11" t="str">
        <f aca="true">IF(A193="","",IF(TODAY()&lt;E193,"Start",IF(TODAY()&lt;=E193+7,"Charter Approved",IF(TODAY()&lt;=E193+21,"Sprint 1 Review",IF(TODAY()&lt;=E193+35,"Sprint 2 Review",IF(TODAY()&lt;=E193+49,"Sprint 3 Review",IF(TODAY()&lt;=E193+63,"Sprint 4 Review","Final Review")))))))</f>
        <v/>
      </c>
      <c r="J193" s="7" t="str">
        <f aca="true">IF(A193="","",IF(TODAY()&lt;E193,E193,IF(TODAY()&lt;=E193+7,E193+7,IF(TODAY()&lt;=E193+21,E193+21,IF(TODAY()&lt;=E193+35,E193+35,IF(TODAY()&lt;=E193+49,E193+49,IF(TODAY()&lt;=E193+63,E193+63,E193+70)))))))</f>
        <v/>
      </c>
      <c r="K193" s="11" t="str">
        <f aca="true">IF(A193="","",J193-TODAY())</f>
        <v/>
      </c>
      <c r="L193" s="7" t="str">
        <f aca="false">IF(A193="","",IFERROR(LOOKUP(2,1/('Weekly Check-in'!$B$4:$B$1003=A193),'Weekly Check-in'!$A$4:$A$1003),""))</f>
        <v/>
      </c>
      <c r="M193" s="11" t="str">
        <f aca="true">IF(A193="","",IF(L193="","",TODAY()-L193))</f>
        <v/>
      </c>
      <c r="N193" s="11" t="str">
        <f aca="false">IF(A193="","",COUNTIFS('Weekly Check-in'!$B$4:$B$1003,A193,'Weekly Check-in'!$H$4:$H$1003,"&lt;&gt;"))</f>
        <v/>
      </c>
      <c r="O193" s="11" t="str">
        <f aca="true">IF(A193="","",IF(OR(R193="Completed",R193="Withdrawn",TODAY()&lt;E193),"GREEN",IF(L193="","YELLOW",IF(M193&gt;=Config!$B$7,"RED",IF(OR(M193&gt;=Config!$B$6,AND(K193&lt;=Config!$B$8,N193&gt;0)),"YELLOW",IF(N193&gt;0,"YELLOW","GREEN"))))))</f>
        <v/>
      </c>
      <c r="P193" s="17"/>
      <c r="Q193" s="11" t="str">
        <f aca="false">IF(A193="","",IF(P193&lt;&gt;"",P193,O193))</f>
        <v/>
      </c>
      <c r="R193" s="17"/>
      <c r="S193" s="18"/>
      <c r="T193" s="18"/>
    </row>
    <row r="194" customFormat="false" ht="15" hidden="false" customHeight="true" outlineLevel="0" collapsed="false">
      <c r="A194" s="17"/>
      <c r="B194" s="17"/>
      <c r="C194" s="17"/>
      <c r="D194" s="17"/>
      <c r="E194" s="19"/>
      <c r="F194" s="7" t="str">
        <f aca="false">IF(A194="","",E194+Config!$B$4*7)</f>
        <v/>
      </c>
      <c r="G194" s="11" t="str">
        <f aca="true">IF(A194="","",MAX(0,MIN(Config!$B$4,INT((TODAY()-E194)/7)+1)))</f>
        <v/>
      </c>
      <c r="H194" s="11" t="str">
        <f aca="true">IF(A194="","",IF(TODAY()&lt;E194,"Not Started",IF(TODAY()&gt;F194,"Completed",IF(G194=1,"Onboarding",IF(G194&lt;=3,"Sprint 1",IF(G194&lt;=5,"Sprint 2",IF(G194&lt;=7,"Sprint 3",IF(G194&lt;=9,"Sprint 4","Final"))))))))</f>
        <v/>
      </c>
      <c r="I194" s="11" t="str">
        <f aca="true">IF(A194="","",IF(TODAY()&lt;E194,"Start",IF(TODAY()&lt;=E194+7,"Charter Approved",IF(TODAY()&lt;=E194+21,"Sprint 1 Review",IF(TODAY()&lt;=E194+35,"Sprint 2 Review",IF(TODAY()&lt;=E194+49,"Sprint 3 Review",IF(TODAY()&lt;=E194+63,"Sprint 4 Review","Final Review")))))))</f>
        <v/>
      </c>
      <c r="J194" s="7" t="str">
        <f aca="true">IF(A194="","",IF(TODAY()&lt;E194,E194,IF(TODAY()&lt;=E194+7,E194+7,IF(TODAY()&lt;=E194+21,E194+21,IF(TODAY()&lt;=E194+35,E194+35,IF(TODAY()&lt;=E194+49,E194+49,IF(TODAY()&lt;=E194+63,E194+63,E194+70)))))))</f>
        <v/>
      </c>
      <c r="K194" s="11" t="str">
        <f aca="true">IF(A194="","",J194-TODAY())</f>
        <v/>
      </c>
      <c r="L194" s="7" t="str">
        <f aca="false">IF(A194="","",IFERROR(LOOKUP(2,1/('Weekly Check-in'!$B$4:$B$1003=A194),'Weekly Check-in'!$A$4:$A$1003),""))</f>
        <v/>
      </c>
      <c r="M194" s="11" t="str">
        <f aca="true">IF(A194="","",IF(L194="","",TODAY()-L194))</f>
        <v/>
      </c>
      <c r="N194" s="11" t="str">
        <f aca="false">IF(A194="","",COUNTIFS('Weekly Check-in'!$B$4:$B$1003,A194,'Weekly Check-in'!$H$4:$H$1003,"&lt;&gt;"))</f>
        <v/>
      </c>
      <c r="O194" s="11" t="str">
        <f aca="true">IF(A194="","",IF(OR(R194="Completed",R194="Withdrawn",TODAY()&lt;E194),"GREEN",IF(L194="","YELLOW",IF(M194&gt;=Config!$B$7,"RED",IF(OR(M194&gt;=Config!$B$6,AND(K194&lt;=Config!$B$8,N194&gt;0)),"YELLOW",IF(N194&gt;0,"YELLOW","GREEN"))))))</f>
        <v/>
      </c>
      <c r="P194" s="17"/>
      <c r="Q194" s="11" t="str">
        <f aca="false">IF(A194="","",IF(P194&lt;&gt;"",P194,O194))</f>
        <v/>
      </c>
      <c r="R194" s="17"/>
      <c r="S194" s="18"/>
      <c r="T194" s="18"/>
    </row>
    <row r="195" customFormat="false" ht="15" hidden="false" customHeight="true" outlineLevel="0" collapsed="false">
      <c r="A195" s="17"/>
      <c r="B195" s="17"/>
      <c r="C195" s="17"/>
      <c r="D195" s="17"/>
      <c r="E195" s="19"/>
      <c r="F195" s="7" t="str">
        <f aca="false">IF(A195="","",E195+Config!$B$4*7)</f>
        <v/>
      </c>
      <c r="G195" s="11" t="str">
        <f aca="true">IF(A195="","",MAX(0,MIN(Config!$B$4,INT((TODAY()-E195)/7)+1)))</f>
        <v/>
      </c>
      <c r="H195" s="11" t="str">
        <f aca="true">IF(A195="","",IF(TODAY()&lt;E195,"Not Started",IF(TODAY()&gt;F195,"Completed",IF(G195=1,"Onboarding",IF(G195&lt;=3,"Sprint 1",IF(G195&lt;=5,"Sprint 2",IF(G195&lt;=7,"Sprint 3",IF(G195&lt;=9,"Sprint 4","Final"))))))))</f>
        <v/>
      </c>
      <c r="I195" s="11" t="str">
        <f aca="true">IF(A195="","",IF(TODAY()&lt;E195,"Start",IF(TODAY()&lt;=E195+7,"Charter Approved",IF(TODAY()&lt;=E195+21,"Sprint 1 Review",IF(TODAY()&lt;=E195+35,"Sprint 2 Review",IF(TODAY()&lt;=E195+49,"Sprint 3 Review",IF(TODAY()&lt;=E195+63,"Sprint 4 Review","Final Review")))))))</f>
        <v/>
      </c>
      <c r="J195" s="7" t="str">
        <f aca="true">IF(A195="","",IF(TODAY()&lt;E195,E195,IF(TODAY()&lt;=E195+7,E195+7,IF(TODAY()&lt;=E195+21,E195+21,IF(TODAY()&lt;=E195+35,E195+35,IF(TODAY()&lt;=E195+49,E195+49,IF(TODAY()&lt;=E195+63,E195+63,E195+70)))))))</f>
        <v/>
      </c>
      <c r="K195" s="11" t="str">
        <f aca="true">IF(A195="","",J195-TODAY())</f>
        <v/>
      </c>
      <c r="L195" s="7" t="str">
        <f aca="false">IF(A195="","",IFERROR(LOOKUP(2,1/('Weekly Check-in'!$B$4:$B$1003=A195),'Weekly Check-in'!$A$4:$A$1003),""))</f>
        <v/>
      </c>
      <c r="M195" s="11" t="str">
        <f aca="true">IF(A195="","",IF(L195="","",TODAY()-L195))</f>
        <v/>
      </c>
      <c r="N195" s="11" t="str">
        <f aca="false">IF(A195="","",COUNTIFS('Weekly Check-in'!$B$4:$B$1003,A195,'Weekly Check-in'!$H$4:$H$1003,"&lt;&gt;"))</f>
        <v/>
      </c>
      <c r="O195" s="11" t="str">
        <f aca="true">IF(A195="","",IF(OR(R195="Completed",R195="Withdrawn",TODAY()&lt;E195),"GREEN",IF(L195="","YELLOW",IF(M195&gt;=Config!$B$7,"RED",IF(OR(M195&gt;=Config!$B$6,AND(K195&lt;=Config!$B$8,N195&gt;0)),"YELLOW",IF(N195&gt;0,"YELLOW","GREEN"))))))</f>
        <v/>
      </c>
      <c r="P195" s="17"/>
      <c r="Q195" s="11" t="str">
        <f aca="false">IF(A195="","",IF(P195&lt;&gt;"",P195,O195))</f>
        <v/>
      </c>
      <c r="R195" s="17"/>
      <c r="S195" s="18"/>
      <c r="T195" s="18"/>
    </row>
    <row r="196" customFormat="false" ht="15" hidden="false" customHeight="true" outlineLevel="0" collapsed="false">
      <c r="A196" s="17"/>
      <c r="B196" s="17"/>
      <c r="C196" s="17"/>
      <c r="D196" s="17"/>
      <c r="E196" s="19"/>
      <c r="F196" s="7" t="str">
        <f aca="false">IF(A196="","",E196+Config!$B$4*7)</f>
        <v/>
      </c>
      <c r="G196" s="11" t="str">
        <f aca="true">IF(A196="","",MAX(0,MIN(Config!$B$4,INT((TODAY()-E196)/7)+1)))</f>
        <v/>
      </c>
      <c r="H196" s="11" t="str">
        <f aca="true">IF(A196="","",IF(TODAY()&lt;E196,"Not Started",IF(TODAY()&gt;F196,"Completed",IF(G196=1,"Onboarding",IF(G196&lt;=3,"Sprint 1",IF(G196&lt;=5,"Sprint 2",IF(G196&lt;=7,"Sprint 3",IF(G196&lt;=9,"Sprint 4","Final"))))))))</f>
        <v/>
      </c>
      <c r="I196" s="11" t="str">
        <f aca="true">IF(A196="","",IF(TODAY()&lt;E196,"Start",IF(TODAY()&lt;=E196+7,"Charter Approved",IF(TODAY()&lt;=E196+21,"Sprint 1 Review",IF(TODAY()&lt;=E196+35,"Sprint 2 Review",IF(TODAY()&lt;=E196+49,"Sprint 3 Review",IF(TODAY()&lt;=E196+63,"Sprint 4 Review","Final Review")))))))</f>
        <v/>
      </c>
      <c r="J196" s="7" t="str">
        <f aca="true">IF(A196="","",IF(TODAY()&lt;E196,E196,IF(TODAY()&lt;=E196+7,E196+7,IF(TODAY()&lt;=E196+21,E196+21,IF(TODAY()&lt;=E196+35,E196+35,IF(TODAY()&lt;=E196+49,E196+49,IF(TODAY()&lt;=E196+63,E196+63,E196+70)))))))</f>
        <v/>
      </c>
      <c r="K196" s="11" t="str">
        <f aca="true">IF(A196="","",J196-TODAY())</f>
        <v/>
      </c>
      <c r="L196" s="7" t="str">
        <f aca="false">IF(A196="","",IFERROR(LOOKUP(2,1/('Weekly Check-in'!$B$4:$B$1003=A196),'Weekly Check-in'!$A$4:$A$1003),""))</f>
        <v/>
      </c>
      <c r="M196" s="11" t="str">
        <f aca="true">IF(A196="","",IF(L196="","",TODAY()-L196))</f>
        <v/>
      </c>
      <c r="N196" s="11" t="str">
        <f aca="false">IF(A196="","",COUNTIFS('Weekly Check-in'!$B$4:$B$1003,A196,'Weekly Check-in'!$H$4:$H$1003,"&lt;&gt;"))</f>
        <v/>
      </c>
      <c r="O196" s="11" t="str">
        <f aca="true">IF(A196="","",IF(OR(R196="Completed",R196="Withdrawn",TODAY()&lt;E196),"GREEN",IF(L196="","YELLOW",IF(M196&gt;=Config!$B$7,"RED",IF(OR(M196&gt;=Config!$B$6,AND(K196&lt;=Config!$B$8,N196&gt;0)),"YELLOW",IF(N196&gt;0,"YELLOW","GREEN"))))))</f>
        <v/>
      </c>
      <c r="P196" s="17"/>
      <c r="Q196" s="11" t="str">
        <f aca="false">IF(A196="","",IF(P196&lt;&gt;"",P196,O196))</f>
        <v/>
      </c>
      <c r="R196" s="17"/>
      <c r="S196" s="18"/>
      <c r="T196" s="18"/>
    </row>
    <row r="197" customFormat="false" ht="15" hidden="false" customHeight="true" outlineLevel="0" collapsed="false">
      <c r="A197" s="17"/>
      <c r="B197" s="17"/>
      <c r="C197" s="17"/>
      <c r="D197" s="17"/>
      <c r="E197" s="19"/>
      <c r="F197" s="7" t="str">
        <f aca="false">IF(A197="","",E197+Config!$B$4*7)</f>
        <v/>
      </c>
      <c r="G197" s="11" t="str">
        <f aca="true">IF(A197="","",MAX(0,MIN(Config!$B$4,INT((TODAY()-E197)/7)+1)))</f>
        <v/>
      </c>
      <c r="H197" s="11" t="str">
        <f aca="true">IF(A197="","",IF(TODAY()&lt;E197,"Not Started",IF(TODAY()&gt;F197,"Completed",IF(G197=1,"Onboarding",IF(G197&lt;=3,"Sprint 1",IF(G197&lt;=5,"Sprint 2",IF(G197&lt;=7,"Sprint 3",IF(G197&lt;=9,"Sprint 4","Final"))))))))</f>
        <v/>
      </c>
      <c r="I197" s="11" t="str">
        <f aca="true">IF(A197="","",IF(TODAY()&lt;E197,"Start",IF(TODAY()&lt;=E197+7,"Charter Approved",IF(TODAY()&lt;=E197+21,"Sprint 1 Review",IF(TODAY()&lt;=E197+35,"Sprint 2 Review",IF(TODAY()&lt;=E197+49,"Sprint 3 Review",IF(TODAY()&lt;=E197+63,"Sprint 4 Review","Final Review")))))))</f>
        <v/>
      </c>
      <c r="J197" s="7" t="str">
        <f aca="true">IF(A197="","",IF(TODAY()&lt;E197,E197,IF(TODAY()&lt;=E197+7,E197+7,IF(TODAY()&lt;=E197+21,E197+21,IF(TODAY()&lt;=E197+35,E197+35,IF(TODAY()&lt;=E197+49,E197+49,IF(TODAY()&lt;=E197+63,E197+63,E197+70)))))))</f>
        <v/>
      </c>
      <c r="K197" s="11" t="str">
        <f aca="true">IF(A197="","",J197-TODAY())</f>
        <v/>
      </c>
      <c r="L197" s="7" t="str">
        <f aca="false">IF(A197="","",IFERROR(LOOKUP(2,1/('Weekly Check-in'!$B$4:$B$1003=A197),'Weekly Check-in'!$A$4:$A$1003),""))</f>
        <v/>
      </c>
      <c r="M197" s="11" t="str">
        <f aca="true">IF(A197="","",IF(L197="","",TODAY()-L197))</f>
        <v/>
      </c>
      <c r="N197" s="11" t="str">
        <f aca="false">IF(A197="","",COUNTIFS('Weekly Check-in'!$B$4:$B$1003,A197,'Weekly Check-in'!$H$4:$H$1003,"&lt;&gt;"))</f>
        <v/>
      </c>
      <c r="O197" s="11" t="str">
        <f aca="true">IF(A197="","",IF(OR(R197="Completed",R197="Withdrawn",TODAY()&lt;E197),"GREEN",IF(L197="","YELLOW",IF(M197&gt;=Config!$B$7,"RED",IF(OR(M197&gt;=Config!$B$6,AND(K197&lt;=Config!$B$8,N197&gt;0)),"YELLOW",IF(N197&gt;0,"YELLOW","GREEN"))))))</f>
        <v/>
      </c>
      <c r="P197" s="17"/>
      <c r="Q197" s="11" t="str">
        <f aca="false">IF(A197="","",IF(P197&lt;&gt;"",P197,O197))</f>
        <v/>
      </c>
      <c r="R197" s="17"/>
      <c r="S197" s="18"/>
      <c r="T197" s="18"/>
    </row>
    <row r="198" customFormat="false" ht="15" hidden="false" customHeight="true" outlineLevel="0" collapsed="false">
      <c r="A198" s="17"/>
      <c r="B198" s="17"/>
      <c r="C198" s="17"/>
      <c r="D198" s="17"/>
      <c r="E198" s="19"/>
      <c r="F198" s="7" t="str">
        <f aca="false">IF(A198="","",E198+Config!$B$4*7)</f>
        <v/>
      </c>
      <c r="G198" s="11" t="str">
        <f aca="true">IF(A198="","",MAX(0,MIN(Config!$B$4,INT((TODAY()-E198)/7)+1)))</f>
        <v/>
      </c>
      <c r="H198" s="11" t="str">
        <f aca="true">IF(A198="","",IF(TODAY()&lt;E198,"Not Started",IF(TODAY()&gt;F198,"Completed",IF(G198=1,"Onboarding",IF(G198&lt;=3,"Sprint 1",IF(G198&lt;=5,"Sprint 2",IF(G198&lt;=7,"Sprint 3",IF(G198&lt;=9,"Sprint 4","Final"))))))))</f>
        <v/>
      </c>
      <c r="I198" s="11" t="str">
        <f aca="true">IF(A198="","",IF(TODAY()&lt;E198,"Start",IF(TODAY()&lt;=E198+7,"Charter Approved",IF(TODAY()&lt;=E198+21,"Sprint 1 Review",IF(TODAY()&lt;=E198+35,"Sprint 2 Review",IF(TODAY()&lt;=E198+49,"Sprint 3 Review",IF(TODAY()&lt;=E198+63,"Sprint 4 Review","Final Review")))))))</f>
        <v/>
      </c>
      <c r="J198" s="7" t="str">
        <f aca="true">IF(A198="","",IF(TODAY()&lt;E198,E198,IF(TODAY()&lt;=E198+7,E198+7,IF(TODAY()&lt;=E198+21,E198+21,IF(TODAY()&lt;=E198+35,E198+35,IF(TODAY()&lt;=E198+49,E198+49,IF(TODAY()&lt;=E198+63,E198+63,E198+70)))))))</f>
        <v/>
      </c>
      <c r="K198" s="11" t="str">
        <f aca="true">IF(A198="","",J198-TODAY())</f>
        <v/>
      </c>
      <c r="L198" s="7" t="str">
        <f aca="false">IF(A198="","",IFERROR(LOOKUP(2,1/('Weekly Check-in'!$B$4:$B$1003=A198),'Weekly Check-in'!$A$4:$A$1003),""))</f>
        <v/>
      </c>
      <c r="M198" s="11" t="str">
        <f aca="true">IF(A198="","",IF(L198="","",TODAY()-L198))</f>
        <v/>
      </c>
      <c r="N198" s="11" t="str">
        <f aca="false">IF(A198="","",COUNTIFS('Weekly Check-in'!$B$4:$B$1003,A198,'Weekly Check-in'!$H$4:$H$1003,"&lt;&gt;"))</f>
        <v/>
      </c>
      <c r="O198" s="11" t="str">
        <f aca="true">IF(A198="","",IF(OR(R198="Completed",R198="Withdrawn",TODAY()&lt;E198),"GREEN",IF(L198="","YELLOW",IF(M198&gt;=Config!$B$7,"RED",IF(OR(M198&gt;=Config!$B$6,AND(K198&lt;=Config!$B$8,N198&gt;0)),"YELLOW",IF(N198&gt;0,"YELLOW","GREEN"))))))</f>
        <v/>
      </c>
      <c r="P198" s="17"/>
      <c r="Q198" s="11" t="str">
        <f aca="false">IF(A198="","",IF(P198&lt;&gt;"",P198,O198))</f>
        <v/>
      </c>
      <c r="R198" s="17"/>
      <c r="S198" s="18"/>
      <c r="T198" s="18"/>
    </row>
    <row r="199" customFormat="false" ht="15" hidden="false" customHeight="true" outlineLevel="0" collapsed="false">
      <c r="A199" s="17"/>
      <c r="B199" s="17"/>
      <c r="C199" s="17"/>
      <c r="D199" s="17"/>
      <c r="E199" s="19"/>
      <c r="F199" s="7" t="str">
        <f aca="false">IF(A199="","",E199+Config!$B$4*7)</f>
        <v/>
      </c>
      <c r="G199" s="11" t="str">
        <f aca="true">IF(A199="","",MAX(0,MIN(Config!$B$4,INT((TODAY()-E199)/7)+1)))</f>
        <v/>
      </c>
      <c r="H199" s="11" t="str">
        <f aca="true">IF(A199="","",IF(TODAY()&lt;E199,"Not Started",IF(TODAY()&gt;F199,"Completed",IF(G199=1,"Onboarding",IF(G199&lt;=3,"Sprint 1",IF(G199&lt;=5,"Sprint 2",IF(G199&lt;=7,"Sprint 3",IF(G199&lt;=9,"Sprint 4","Final"))))))))</f>
        <v/>
      </c>
      <c r="I199" s="11" t="str">
        <f aca="true">IF(A199="","",IF(TODAY()&lt;E199,"Start",IF(TODAY()&lt;=E199+7,"Charter Approved",IF(TODAY()&lt;=E199+21,"Sprint 1 Review",IF(TODAY()&lt;=E199+35,"Sprint 2 Review",IF(TODAY()&lt;=E199+49,"Sprint 3 Review",IF(TODAY()&lt;=E199+63,"Sprint 4 Review","Final Review")))))))</f>
        <v/>
      </c>
      <c r="J199" s="7" t="str">
        <f aca="true">IF(A199="","",IF(TODAY()&lt;E199,E199,IF(TODAY()&lt;=E199+7,E199+7,IF(TODAY()&lt;=E199+21,E199+21,IF(TODAY()&lt;=E199+35,E199+35,IF(TODAY()&lt;=E199+49,E199+49,IF(TODAY()&lt;=E199+63,E199+63,E199+70)))))))</f>
        <v/>
      </c>
      <c r="K199" s="11" t="str">
        <f aca="true">IF(A199="","",J199-TODAY())</f>
        <v/>
      </c>
      <c r="L199" s="7" t="str">
        <f aca="false">IF(A199="","",IFERROR(LOOKUP(2,1/('Weekly Check-in'!$B$4:$B$1003=A199),'Weekly Check-in'!$A$4:$A$1003),""))</f>
        <v/>
      </c>
      <c r="M199" s="11" t="str">
        <f aca="true">IF(A199="","",IF(L199="","",TODAY()-L199))</f>
        <v/>
      </c>
      <c r="N199" s="11" t="str">
        <f aca="false">IF(A199="","",COUNTIFS('Weekly Check-in'!$B$4:$B$1003,A199,'Weekly Check-in'!$H$4:$H$1003,"&lt;&gt;"))</f>
        <v/>
      </c>
      <c r="O199" s="11" t="str">
        <f aca="true">IF(A199="","",IF(OR(R199="Completed",R199="Withdrawn",TODAY()&lt;E199),"GREEN",IF(L199="","YELLOW",IF(M199&gt;=Config!$B$7,"RED",IF(OR(M199&gt;=Config!$B$6,AND(K199&lt;=Config!$B$8,N199&gt;0)),"YELLOW",IF(N199&gt;0,"YELLOW","GREEN"))))))</f>
        <v/>
      </c>
      <c r="P199" s="17"/>
      <c r="Q199" s="11" t="str">
        <f aca="false">IF(A199="","",IF(P199&lt;&gt;"",P199,O199))</f>
        <v/>
      </c>
      <c r="R199" s="17"/>
      <c r="S199" s="18"/>
      <c r="T199" s="18"/>
    </row>
    <row r="200" customFormat="false" ht="15" hidden="false" customHeight="true" outlineLevel="0" collapsed="false">
      <c r="A200" s="17"/>
      <c r="B200" s="17"/>
      <c r="C200" s="17"/>
      <c r="D200" s="17"/>
      <c r="E200" s="19"/>
      <c r="F200" s="7" t="str">
        <f aca="false">IF(A200="","",E200+Config!$B$4*7)</f>
        <v/>
      </c>
      <c r="G200" s="11" t="str">
        <f aca="true">IF(A200="","",MAX(0,MIN(Config!$B$4,INT((TODAY()-E200)/7)+1)))</f>
        <v/>
      </c>
      <c r="H200" s="11" t="str">
        <f aca="true">IF(A200="","",IF(TODAY()&lt;E200,"Not Started",IF(TODAY()&gt;F200,"Completed",IF(G200=1,"Onboarding",IF(G200&lt;=3,"Sprint 1",IF(G200&lt;=5,"Sprint 2",IF(G200&lt;=7,"Sprint 3",IF(G200&lt;=9,"Sprint 4","Final"))))))))</f>
        <v/>
      </c>
      <c r="I200" s="11" t="str">
        <f aca="true">IF(A200="","",IF(TODAY()&lt;E200,"Start",IF(TODAY()&lt;=E200+7,"Charter Approved",IF(TODAY()&lt;=E200+21,"Sprint 1 Review",IF(TODAY()&lt;=E200+35,"Sprint 2 Review",IF(TODAY()&lt;=E200+49,"Sprint 3 Review",IF(TODAY()&lt;=E200+63,"Sprint 4 Review","Final Review")))))))</f>
        <v/>
      </c>
      <c r="J200" s="7" t="str">
        <f aca="true">IF(A200="","",IF(TODAY()&lt;E200,E200,IF(TODAY()&lt;=E200+7,E200+7,IF(TODAY()&lt;=E200+21,E200+21,IF(TODAY()&lt;=E200+35,E200+35,IF(TODAY()&lt;=E200+49,E200+49,IF(TODAY()&lt;=E200+63,E200+63,E200+70)))))))</f>
        <v/>
      </c>
      <c r="K200" s="11" t="str">
        <f aca="true">IF(A200="","",J200-TODAY())</f>
        <v/>
      </c>
      <c r="L200" s="7" t="str">
        <f aca="false">IF(A200="","",IFERROR(LOOKUP(2,1/('Weekly Check-in'!$B$4:$B$1003=A200),'Weekly Check-in'!$A$4:$A$1003),""))</f>
        <v/>
      </c>
      <c r="M200" s="11" t="str">
        <f aca="true">IF(A200="","",IF(L200="","",TODAY()-L200))</f>
        <v/>
      </c>
      <c r="N200" s="11" t="str">
        <f aca="false">IF(A200="","",COUNTIFS('Weekly Check-in'!$B$4:$B$1003,A200,'Weekly Check-in'!$H$4:$H$1003,"&lt;&gt;"))</f>
        <v/>
      </c>
      <c r="O200" s="11" t="str">
        <f aca="true">IF(A200="","",IF(OR(R200="Completed",R200="Withdrawn",TODAY()&lt;E200),"GREEN",IF(L200="","YELLOW",IF(M200&gt;=Config!$B$7,"RED",IF(OR(M200&gt;=Config!$B$6,AND(K200&lt;=Config!$B$8,N200&gt;0)),"YELLOW",IF(N200&gt;0,"YELLOW","GREEN"))))))</f>
        <v/>
      </c>
      <c r="P200" s="17"/>
      <c r="Q200" s="11" t="str">
        <f aca="false">IF(A200="","",IF(P200&lt;&gt;"",P200,O200))</f>
        <v/>
      </c>
      <c r="R200" s="17"/>
      <c r="S200" s="18"/>
      <c r="T200" s="18"/>
    </row>
    <row r="201" customFormat="false" ht="15" hidden="false" customHeight="true" outlineLevel="0" collapsed="false">
      <c r="A201" s="17"/>
      <c r="B201" s="17"/>
      <c r="C201" s="17"/>
      <c r="D201" s="17"/>
      <c r="E201" s="19"/>
      <c r="F201" s="7" t="str">
        <f aca="false">IF(A201="","",E201+Config!$B$4*7)</f>
        <v/>
      </c>
      <c r="G201" s="11" t="str">
        <f aca="true">IF(A201="","",MAX(0,MIN(Config!$B$4,INT((TODAY()-E201)/7)+1)))</f>
        <v/>
      </c>
      <c r="H201" s="11" t="str">
        <f aca="true">IF(A201="","",IF(TODAY()&lt;E201,"Not Started",IF(TODAY()&gt;F201,"Completed",IF(G201=1,"Onboarding",IF(G201&lt;=3,"Sprint 1",IF(G201&lt;=5,"Sprint 2",IF(G201&lt;=7,"Sprint 3",IF(G201&lt;=9,"Sprint 4","Final"))))))))</f>
        <v/>
      </c>
      <c r="I201" s="11" t="str">
        <f aca="true">IF(A201="","",IF(TODAY()&lt;E201,"Start",IF(TODAY()&lt;=E201+7,"Charter Approved",IF(TODAY()&lt;=E201+21,"Sprint 1 Review",IF(TODAY()&lt;=E201+35,"Sprint 2 Review",IF(TODAY()&lt;=E201+49,"Sprint 3 Review",IF(TODAY()&lt;=E201+63,"Sprint 4 Review","Final Review")))))))</f>
        <v/>
      </c>
      <c r="J201" s="7" t="str">
        <f aca="true">IF(A201="","",IF(TODAY()&lt;E201,E201,IF(TODAY()&lt;=E201+7,E201+7,IF(TODAY()&lt;=E201+21,E201+21,IF(TODAY()&lt;=E201+35,E201+35,IF(TODAY()&lt;=E201+49,E201+49,IF(TODAY()&lt;=E201+63,E201+63,E201+70)))))))</f>
        <v/>
      </c>
      <c r="K201" s="11" t="str">
        <f aca="true">IF(A201="","",J201-TODAY())</f>
        <v/>
      </c>
      <c r="L201" s="7" t="str">
        <f aca="false">IF(A201="","",IFERROR(LOOKUP(2,1/('Weekly Check-in'!$B$4:$B$1003=A201),'Weekly Check-in'!$A$4:$A$1003),""))</f>
        <v/>
      </c>
      <c r="M201" s="11" t="str">
        <f aca="true">IF(A201="","",IF(L201="","",TODAY()-L201))</f>
        <v/>
      </c>
      <c r="N201" s="11" t="str">
        <f aca="false">IF(A201="","",COUNTIFS('Weekly Check-in'!$B$4:$B$1003,A201,'Weekly Check-in'!$H$4:$H$1003,"&lt;&gt;"))</f>
        <v/>
      </c>
      <c r="O201" s="11" t="str">
        <f aca="true">IF(A201="","",IF(OR(R201="Completed",R201="Withdrawn",TODAY()&lt;E201),"GREEN",IF(L201="","YELLOW",IF(M201&gt;=Config!$B$7,"RED",IF(OR(M201&gt;=Config!$B$6,AND(K201&lt;=Config!$B$8,N201&gt;0)),"YELLOW",IF(N201&gt;0,"YELLOW","GREEN"))))))</f>
        <v/>
      </c>
      <c r="P201" s="17"/>
      <c r="Q201" s="11" t="str">
        <f aca="false">IF(A201="","",IF(P201&lt;&gt;"",P201,O201))</f>
        <v/>
      </c>
      <c r="R201" s="17"/>
      <c r="S201" s="18"/>
      <c r="T201" s="18"/>
    </row>
    <row r="202" customFormat="false" ht="15" hidden="false" customHeight="true" outlineLevel="0" collapsed="false">
      <c r="A202" s="17"/>
      <c r="B202" s="17"/>
      <c r="C202" s="17"/>
      <c r="D202" s="17"/>
      <c r="E202" s="19"/>
      <c r="F202" s="7" t="str">
        <f aca="false">IF(A202="","",E202+Config!$B$4*7)</f>
        <v/>
      </c>
      <c r="G202" s="11" t="str">
        <f aca="true">IF(A202="","",MAX(0,MIN(Config!$B$4,INT((TODAY()-E202)/7)+1)))</f>
        <v/>
      </c>
      <c r="H202" s="11" t="str">
        <f aca="true">IF(A202="","",IF(TODAY()&lt;E202,"Not Started",IF(TODAY()&gt;F202,"Completed",IF(G202=1,"Onboarding",IF(G202&lt;=3,"Sprint 1",IF(G202&lt;=5,"Sprint 2",IF(G202&lt;=7,"Sprint 3",IF(G202&lt;=9,"Sprint 4","Final"))))))))</f>
        <v/>
      </c>
      <c r="I202" s="11" t="str">
        <f aca="true">IF(A202="","",IF(TODAY()&lt;E202,"Start",IF(TODAY()&lt;=E202+7,"Charter Approved",IF(TODAY()&lt;=E202+21,"Sprint 1 Review",IF(TODAY()&lt;=E202+35,"Sprint 2 Review",IF(TODAY()&lt;=E202+49,"Sprint 3 Review",IF(TODAY()&lt;=E202+63,"Sprint 4 Review","Final Review")))))))</f>
        <v/>
      </c>
      <c r="J202" s="7" t="str">
        <f aca="true">IF(A202="","",IF(TODAY()&lt;E202,E202,IF(TODAY()&lt;=E202+7,E202+7,IF(TODAY()&lt;=E202+21,E202+21,IF(TODAY()&lt;=E202+35,E202+35,IF(TODAY()&lt;=E202+49,E202+49,IF(TODAY()&lt;=E202+63,E202+63,E202+70)))))))</f>
        <v/>
      </c>
      <c r="K202" s="11" t="str">
        <f aca="true">IF(A202="","",J202-TODAY())</f>
        <v/>
      </c>
      <c r="L202" s="7" t="str">
        <f aca="false">IF(A202="","",IFERROR(LOOKUP(2,1/('Weekly Check-in'!$B$4:$B$1003=A202),'Weekly Check-in'!$A$4:$A$1003),""))</f>
        <v/>
      </c>
      <c r="M202" s="11" t="str">
        <f aca="true">IF(A202="","",IF(L202="","",TODAY()-L202))</f>
        <v/>
      </c>
      <c r="N202" s="11" t="str">
        <f aca="false">IF(A202="","",COUNTIFS('Weekly Check-in'!$B$4:$B$1003,A202,'Weekly Check-in'!$H$4:$H$1003,"&lt;&gt;"))</f>
        <v/>
      </c>
      <c r="O202" s="11" t="str">
        <f aca="true">IF(A202="","",IF(OR(R202="Completed",R202="Withdrawn",TODAY()&lt;E202),"GREEN",IF(L202="","YELLOW",IF(M202&gt;=Config!$B$7,"RED",IF(OR(M202&gt;=Config!$B$6,AND(K202&lt;=Config!$B$8,N202&gt;0)),"YELLOW",IF(N202&gt;0,"YELLOW","GREEN"))))))</f>
        <v/>
      </c>
      <c r="P202" s="17"/>
      <c r="Q202" s="11" t="str">
        <f aca="false">IF(A202="","",IF(P202&lt;&gt;"",P202,O202))</f>
        <v/>
      </c>
      <c r="R202" s="17"/>
      <c r="S202" s="18"/>
      <c r="T202" s="18"/>
    </row>
    <row r="203" customFormat="false" ht="15" hidden="false" customHeight="true" outlineLevel="0" collapsed="false">
      <c r="A203" s="17"/>
      <c r="B203" s="17"/>
      <c r="C203" s="17"/>
      <c r="D203" s="17"/>
      <c r="E203" s="19"/>
      <c r="F203" s="7" t="str">
        <f aca="false">IF(A203="","",E203+Config!$B$4*7)</f>
        <v/>
      </c>
      <c r="G203" s="11" t="str">
        <f aca="true">IF(A203="","",MAX(0,MIN(Config!$B$4,INT((TODAY()-E203)/7)+1)))</f>
        <v/>
      </c>
      <c r="H203" s="11" t="str">
        <f aca="true">IF(A203="","",IF(TODAY()&lt;E203,"Not Started",IF(TODAY()&gt;F203,"Completed",IF(G203=1,"Onboarding",IF(G203&lt;=3,"Sprint 1",IF(G203&lt;=5,"Sprint 2",IF(G203&lt;=7,"Sprint 3",IF(G203&lt;=9,"Sprint 4","Final"))))))))</f>
        <v/>
      </c>
      <c r="I203" s="11" t="str">
        <f aca="true">IF(A203="","",IF(TODAY()&lt;E203,"Start",IF(TODAY()&lt;=E203+7,"Charter Approved",IF(TODAY()&lt;=E203+21,"Sprint 1 Review",IF(TODAY()&lt;=E203+35,"Sprint 2 Review",IF(TODAY()&lt;=E203+49,"Sprint 3 Review",IF(TODAY()&lt;=E203+63,"Sprint 4 Review","Final Review")))))))</f>
        <v/>
      </c>
      <c r="J203" s="7" t="str">
        <f aca="true">IF(A203="","",IF(TODAY()&lt;E203,E203,IF(TODAY()&lt;=E203+7,E203+7,IF(TODAY()&lt;=E203+21,E203+21,IF(TODAY()&lt;=E203+35,E203+35,IF(TODAY()&lt;=E203+49,E203+49,IF(TODAY()&lt;=E203+63,E203+63,E203+70)))))))</f>
        <v/>
      </c>
      <c r="K203" s="11" t="str">
        <f aca="true">IF(A203="","",J203-TODAY())</f>
        <v/>
      </c>
      <c r="L203" s="7" t="str">
        <f aca="false">IF(A203="","",IFERROR(LOOKUP(2,1/('Weekly Check-in'!$B$4:$B$1003=A203),'Weekly Check-in'!$A$4:$A$1003),""))</f>
        <v/>
      </c>
      <c r="M203" s="11" t="str">
        <f aca="true">IF(A203="","",IF(L203="","",TODAY()-L203))</f>
        <v/>
      </c>
      <c r="N203" s="11" t="str">
        <f aca="false">IF(A203="","",COUNTIFS('Weekly Check-in'!$B$4:$B$1003,A203,'Weekly Check-in'!$H$4:$H$1003,"&lt;&gt;"))</f>
        <v/>
      </c>
      <c r="O203" s="11" t="str">
        <f aca="true">IF(A203="","",IF(OR(R203="Completed",R203="Withdrawn",TODAY()&lt;E203),"GREEN",IF(L203="","YELLOW",IF(M203&gt;=Config!$B$7,"RED",IF(OR(M203&gt;=Config!$B$6,AND(K203&lt;=Config!$B$8,N203&gt;0)),"YELLOW",IF(N203&gt;0,"YELLOW","GREEN"))))))</f>
        <v/>
      </c>
      <c r="P203" s="17"/>
      <c r="Q203" s="11" t="str">
        <f aca="false">IF(A203="","",IF(P203&lt;&gt;"",P203,O203))</f>
        <v/>
      </c>
      <c r="R203" s="17"/>
      <c r="S203" s="18"/>
      <c r="T203" s="18"/>
    </row>
  </sheetData>
  <autoFilter ref="A3:T203"/>
  <mergeCells count="1">
    <mergeCell ref="A1:T1"/>
  </mergeCells>
  <conditionalFormatting sqref="Q4:Q203">
    <cfRule type="expression" priority="2" aboveAverage="0" equalAverage="0" bottom="0" percent="0" rank="0" text="" dxfId="5">
      <formula>Q4="GREEN"</formula>
    </cfRule>
    <cfRule type="expression" priority="3" aboveAverage="0" equalAverage="0" bottom="0" percent="0" rank="0" text="" dxfId="6">
      <formula>Q4="YELLOW"</formula>
    </cfRule>
    <cfRule type="expression" priority="4" aboveAverage="0" equalAverage="0" bottom="0" percent="0" rank="0" text="" dxfId="7">
      <formula>Q4="RED"</formula>
    </cfRule>
  </conditionalFormatting>
  <conditionalFormatting sqref="K4:K203">
    <cfRule type="cellIs" priority="5" operator="lessThan" aboveAverage="0" equalAverage="0" bottom="0" percent="0" rank="0" text="" dxfId="7">
      <formula>0</formula>
    </cfRule>
  </conditionalFormatting>
  <dataValidations count="3">
    <dataValidation allowBlank="true" errorStyle="stop" operator="between" showDropDown="false" showErrorMessage="false" showInputMessage="false" sqref="C4:C203" type="list">
      <formula1>Lists!$A$3:$A$6</formula1>
      <formula2>0</formula2>
    </dataValidation>
    <dataValidation allowBlank="true" errorStyle="stop" operator="between" showDropDown="false" showErrorMessage="false" showInputMessage="false" sqref="P4:P203" type="list">
      <formula1>Lists!$C$3:$C$5</formula1>
      <formula2>0</formula2>
    </dataValidation>
    <dataValidation allowBlank="true" errorStyle="stop" operator="between" showDropDown="false" showErrorMessage="false" showInputMessage="false" sqref="R4:R203" type="list">
      <formula1>Lists!$B$3:$B$6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32"/>
    <col collapsed="false" customWidth="true" hidden="false" outlineLevel="0" max="6" min="6" style="1" width="38"/>
    <col collapsed="false" customWidth="true" hidden="false" outlineLevel="0" max="7" min="7" style="1" width="3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19"/>
    <col collapsed="false" customWidth="true" hidden="false" outlineLevel="0" max="11" min="11" style="1" width="32"/>
    <col collapsed="false" customWidth="true" hidden="false" outlineLevel="0" max="12" min="12" style="1" width="28"/>
  </cols>
  <sheetData>
    <row r="1" customFormat="false" ht="27.75" hidden="false" customHeight="true" outlineLevel="0" collapsed="false">
      <c r="A1" s="5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customFormat="false" ht="31.5" hidden="false" customHeight="true" outlineLevel="0" collapsed="false">
      <c r="A3" s="10" t="s">
        <v>117</v>
      </c>
      <c r="B3" s="10" t="s">
        <v>21</v>
      </c>
      <c r="C3" s="10" t="s">
        <v>22</v>
      </c>
      <c r="D3" s="10" t="s">
        <v>93</v>
      </c>
      <c r="E3" s="10" t="s">
        <v>118</v>
      </c>
      <c r="F3" s="10" t="s">
        <v>119</v>
      </c>
      <c r="G3" s="10" t="s">
        <v>120</v>
      </c>
      <c r="H3" s="10" t="s">
        <v>121</v>
      </c>
      <c r="I3" s="10" t="s">
        <v>122</v>
      </c>
      <c r="J3" s="10" t="s">
        <v>123</v>
      </c>
      <c r="K3" s="10" t="s">
        <v>124</v>
      </c>
      <c r="L3" s="10" t="s">
        <v>125</v>
      </c>
    </row>
    <row r="4" customFormat="false" ht="27.75" hidden="false" customHeight="true" outlineLevel="0" collapsed="false">
      <c r="A4" s="16" t="n">
        <v>46262</v>
      </c>
      <c r="B4" s="14" t="s">
        <v>103</v>
      </c>
      <c r="C4" s="11" t="str">
        <f aca="false">IF(B4="","",IFERROR(INDEX(Students!$B$4:$B$203,MATCH(B4,Students!$A$4:$A$203,0)),""))</f>
        <v>Nguyễn Văn A</v>
      </c>
      <c r="D4" s="11" t="str">
        <f aca="false">IF(B4="","",IFERROR(INDEX(Students!$H$4:$H$203,MATCH(B4,Students!$A$4:$A$203,0)),""))</f>
        <v>Sprint 1</v>
      </c>
      <c r="E4" s="18" t="s">
        <v>126</v>
      </c>
      <c r="F4" s="18" t="s">
        <v>127</v>
      </c>
      <c r="G4" s="18" t="s">
        <v>128</v>
      </c>
      <c r="H4" s="18"/>
      <c r="I4" s="18" t="s">
        <v>129</v>
      </c>
      <c r="J4" s="18" t="s">
        <v>18</v>
      </c>
      <c r="K4" s="18" t="s">
        <v>130</v>
      </c>
      <c r="L4" s="18"/>
    </row>
    <row r="5" customFormat="false" ht="15" hidden="false" customHeight="true" outlineLevel="0" collapsed="false">
      <c r="A5" s="16" t="n">
        <v>46262</v>
      </c>
      <c r="B5" s="14" t="s">
        <v>107</v>
      </c>
      <c r="C5" s="11" t="str">
        <f aca="false">IF(B5="","",IFERROR(INDEX(Students!$B$4:$B$203,MATCH(B5,Students!$A$4:$A$203,0)),""))</f>
        <v>Trần Thị B</v>
      </c>
      <c r="D5" s="11" t="str">
        <f aca="false">IF(B5="","",IFERROR(INDEX(Students!$H$4:$H$203,MATCH(B5,Students!$A$4:$A$203,0)),""))</f>
        <v>Not Started</v>
      </c>
      <c r="E5" s="18" t="s">
        <v>131</v>
      </c>
      <c r="F5" s="18" t="s">
        <v>132</v>
      </c>
      <c r="G5" s="18" t="s">
        <v>133</v>
      </c>
      <c r="H5" s="18" t="s">
        <v>134</v>
      </c>
      <c r="I5" s="18" t="s">
        <v>135</v>
      </c>
      <c r="J5" s="18" t="s">
        <v>19</v>
      </c>
      <c r="K5" s="18" t="s">
        <v>136</v>
      </c>
      <c r="L5" s="18"/>
    </row>
    <row r="6" customFormat="false" ht="15" hidden="false" customHeight="true" outlineLevel="0" collapsed="false">
      <c r="A6" s="19"/>
      <c r="B6" s="17"/>
      <c r="C6" s="11" t="str">
        <f aca="false">IF(B6="","",IFERROR(INDEX(Students!$B$4:$B$203,MATCH(B6,Students!$A$4:$A$203,0)),""))</f>
        <v/>
      </c>
      <c r="D6" s="11" t="str">
        <f aca="false">IF(B6="","",IFERROR(INDEX(Students!$H$4:$H$203,MATCH(B6,Students!$A$4:$A$203,0)),""))</f>
        <v/>
      </c>
      <c r="E6" s="18"/>
      <c r="F6" s="18"/>
      <c r="G6" s="18"/>
      <c r="H6" s="18"/>
      <c r="I6" s="18"/>
      <c r="J6" s="18"/>
      <c r="K6" s="18"/>
      <c r="L6" s="18"/>
    </row>
    <row r="7" customFormat="false" ht="15" hidden="false" customHeight="true" outlineLevel="0" collapsed="false">
      <c r="A7" s="19"/>
      <c r="B7" s="17"/>
      <c r="C7" s="11" t="str">
        <f aca="false">IF(B7="","",IFERROR(INDEX(Students!$B$4:$B$203,MATCH(B7,Students!$A$4:$A$203,0)),""))</f>
        <v/>
      </c>
      <c r="D7" s="11" t="str">
        <f aca="false">IF(B7="","",IFERROR(INDEX(Students!$H$4:$H$203,MATCH(B7,Students!$A$4:$A$203,0)),""))</f>
        <v/>
      </c>
      <c r="E7" s="18"/>
      <c r="F7" s="18"/>
      <c r="G7" s="18"/>
      <c r="H7" s="18"/>
      <c r="I7" s="18"/>
      <c r="J7" s="18"/>
      <c r="K7" s="18"/>
      <c r="L7" s="18"/>
    </row>
    <row r="8" customFormat="false" ht="15" hidden="false" customHeight="true" outlineLevel="0" collapsed="false">
      <c r="A8" s="19"/>
      <c r="B8" s="17"/>
      <c r="C8" s="11" t="str">
        <f aca="false">IF(B8="","",IFERROR(INDEX(Students!$B$4:$B$203,MATCH(B8,Students!$A$4:$A$203,0)),""))</f>
        <v/>
      </c>
      <c r="D8" s="11" t="str">
        <f aca="false">IF(B8="","",IFERROR(INDEX(Students!$H$4:$H$203,MATCH(B8,Students!$A$4:$A$203,0)),""))</f>
        <v/>
      </c>
      <c r="E8" s="18"/>
      <c r="F8" s="18"/>
      <c r="G8" s="18"/>
      <c r="H8" s="18"/>
      <c r="I8" s="18"/>
      <c r="J8" s="18"/>
      <c r="K8" s="18"/>
      <c r="L8" s="18"/>
    </row>
    <row r="9" customFormat="false" ht="15" hidden="false" customHeight="true" outlineLevel="0" collapsed="false">
      <c r="A9" s="19"/>
      <c r="B9" s="17"/>
      <c r="C9" s="11" t="str">
        <f aca="false">IF(B9="","",IFERROR(INDEX(Students!$B$4:$B$203,MATCH(B9,Students!$A$4:$A$203,0)),""))</f>
        <v/>
      </c>
      <c r="D9" s="11" t="str">
        <f aca="false">IF(B9="","",IFERROR(INDEX(Students!$H$4:$H$203,MATCH(B9,Students!$A$4:$A$203,0)),""))</f>
        <v/>
      </c>
      <c r="E9" s="18"/>
      <c r="F9" s="18"/>
      <c r="G9" s="18"/>
      <c r="H9" s="18"/>
      <c r="I9" s="18"/>
      <c r="J9" s="18"/>
      <c r="K9" s="18"/>
      <c r="L9" s="18"/>
    </row>
    <row r="10" customFormat="false" ht="15" hidden="false" customHeight="true" outlineLevel="0" collapsed="false">
      <c r="A10" s="19"/>
      <c r="B10" s="17"/>
      <c r="C10" s="11" t="str">
        <f aca="false">IF(B10="","",IFERROR(INDEX(Students!$B$4:$B$203,MATCH(B10,Students!$A$4:$A$203,0)),""))</f>
        <v/>
      </c>
      <c r="D10" s="11" t="str">
        <f aca="false">IF(B10="","",IFERROR(INDEX(Students!$H$4:$H$203,MATCH(B10,Students!$A$4:$A$203,0)),""))</f>
        <v/>
      </c>
      <c r="E10" s="18"/>
      <c r="F10" s="18"/>
      <c r="G10" s="18"/>
      <c r="H10" s="18"/>
      <c r="I10" s="18"/>
      <c r="J10" s="18"/>
      <c r="K10" s="18"/>
      <c r="L10" s="18"/>
    </row>
    <row r="11" customFormat="false" ht="15" hidden="false" customHeight="true" outlineLevel="0" collapsed="false">
      <c r="A11" s="19"/>
      <c r="B11" s="17"/>
      <c r="C11" s="11" t="str">
        <f aca="false">IF(B11="","",IFERROR(INDEX(Students!$B$4:$B$203,MATCH(B11,Students!$A$4:$A$203,0)),""))</f>
        <v/>
      </c>
      <c r="D11" s="11" t="str">
        <f aca="false">IF(B11="","",IFERROR(INDEX(Students!$H$4:$H$203,MATCH(B11,Students!$A$4:$A$203,0)),""))</f>
        <v/>
      </c>
      <c r="E11" s="18"/>
      <c r="F11" s="18"/>
      <c r="G11" s="18"/>
      <c r="H11" s="18"/>
      <c r="I11" s="18"/>
      <c r="J11" s="18"/>
      <c r="K11" s="18"/>
      <c r="L11" s="18"/>
    </row>
    <row r="12" customFormat="false" ht="15" hidden="false" customHeight="true" outlineLevel="0" collapsed="false">
      <c r="A12" s="19"/>
      <c r="B12" s="17"/>
      <c r="C12" s="11" t="str">
        <f aca="false">IF(B12="","",IFERROR(INDEX(Students!$B$4:$B$203,MATCH(B12,Students!$A$4:$A$203,0)),""))</f>
        <v/>
      </c>
      <c r="D12" s="11" t="str">
        <f aca="false">IF(B12="","",IFERROR(INDEX(Students!$H$4:$H$203,MATCH(B12,Students!$A$4:$A$203,0)),""))</f>
        <v/>
      </c>
      <c r="E12" s="18"/>
      <c r="F12" s="18"/>
      <c r="G12" s="18"/>
      <c r="H12" s="18"/>
      <c r="I12" s="18"/>
      <c r="J12" s="18"/>
      <c r="K12" s="18"/>
      <c r="L12" s="18"/>
    </row>
    <row r="13" customFormat="false" ht="15" hidden="false" customHeight="true" outlineLevel="0" collapsed="false">
      <c r="A13" s="19"/>
      <c r="B13" s="17"/>
      <c r="C13" s="11" t="str">
        <f aca="false">IF(B13="","",IFERROR(INDEX(Students!$B$4:$B$203,MATCH(B13,Students!$A$4:$A$203,0)),""))</f>
        <v/>
      </c>
      <c r="D13" s="11" t="str">
        <f aca="false">IF(B13="","",IFERROR(INDEX(Students!$H$4:$H$203,MATCH(B13,Students!$A$4:$A$203,0)),""))</f>
        <v/>
      </c>
      <c r="E13" s="18"/>
      <c r="F13" s="18"/>
      <c r="G13" s="18"/>
      <c r="H13" s="18"/>
      <c r="I13" s="18"/>
      <c r="J13" s="18"/>
      <c r="K13" s="18"/>
      <c r="L13" s="18"/>
    </row>
    <row r="14" customFormat="false" ht="15" hidden="false" customHeight="true" outlineLevel="0" collapsed="false">
      <c r="A14" s="19"/>
      <c r="B14" s="17"/>
      <c r="C14" s="11" t="str">
        <f aca="false">IF(B14="","",IFERROR(INDEX(Students!$B$4:$B$203,MATCH(B14,Students!$A$4:$A$203,0)),""))</f>
        <v/>
      </c>
      <c r="D14" s="11" t="str">
        <f aca="false">IF(B14="","",IFERROR(INDEX(Students!$H$4:$H$203,MATCH(B14,Students!$A$4:$A$203,0)),""))</f>
        <v/>
      </c>
      <c r="E14" s="18"/>
      <c r="F14" s="18"/>
      <c r="G14" s="18"/>
      <c r="H14" s="18"/>
      <c r="I14" s="18"/>
      <c r="J14" s="18"/>
      <c r="K14" s="18"/>
      <c r="L14" s="18"/>
    </row>
    <row r="15" customFormat="false" ht="15" hidden="false" customHeight="true" outlineLevel="0" collapsed="false">
      <c r="A15" s="19"/>
      <c r="B15" s="17"/>
      <c r="C15" s="11" t="str">
        <f aca="false">IF(B15="","",IFERROR(INDEX(Students!$B$4:$B$203,MATCH(B15,Students!$A$4:$A$203,0)),""))</f>
        <v/>
      </c>
      <c r="D15" s="11" t="str">
        <f aca="false">IF(B15="","",IFERROR(INDEX(Students!$H$4:$H$203,MATCH(B15,Students!$A$4:$A$203,0)),""))</f>
        <v/>
      </c>
      <c r="E15" s="18"/>
      <c r="F15" s="18"/>
      <c r="G15" s="18"/>
      <c r="H15" s="18"/>
      <c r="I15" s="18"/>
      <c r="J15" s="18"/>
      <c r="K15" s="18"/>
      <c r="L15" s="18"/>
    </row>
    <row r="16" customFormat="false" ht="15" hidden="false" customHeight="true" outlineLevel="0" collapsed="false">
      <c r="A16" s="19"/>
      <c r="B16" s="17"/>
      <c r="C16" s="11" t="str">
        <f aca="false">IF(B16="","",IFERROR(INDEX(Students!$B$4:$B$203,MATCH(B16,Students!$A$4:$A$203,0)),""))</f>
        <v/>
      </c>
      <c r="D16" s="11" t="str">
        <f aca="false">IF(B16="","",IFERROR(INDEX(Students!$H$4:$H$203,MATCH(B16,Students!$A$4:$A$203,0)),""))</f>
        <v/>
      </c>
      <c r="E16" s="18"/>
      <c r="F16" s="18"/>
      <c r="G16" s="18"/>
      <c r="H16" s="18"/>
      <c r="I16" s="18"/>
      <c r="J16" s="18"/>
      <c r="K16" s="18"/>
      <c r="L16" s="18"/>
    </row>
    <row r="17" customFormat="false" ht="15" hidden="false" customHeight="true" outlineLevel="0" collapsed="false">
      <c r="A17" s="19"/>
      <c r="B17" s="17"/>
      <c r="C17" s="11" t="str">
        <f aca="false">IF(B17="","",IFERROR(INDEX(Students!$B$4:$B$203,MATCH(B17,Students!$A$4:$A$203,0)),""))</f>
        <v/>
      </c>
      <c r="D17" s="11" t="str">
        <f aca="false">IF(B17="","",IFERROR(INDEX(Students!$H$4:$H$203,MATCH(B17,Students!$A$4:$A$203,0)),""))</f>
        <v/>
      </c>
      <c r="E17" s="18"/>
      <c r="F17" s="18"/>
      <c r="G17" s="18"/>
      <c r="H17" s="18"/>
      <c r="I17" s="18"/>
      <c r="J17" s="18"/>
      <c r="K17" s="18"/>
      <c r="L17" s="18"/>
    </row>
    <row r="18" customFormat="false" ht="15" hidden="false" customHeight="true" outlineLevel="0" collapsed="false">
      <c r="A18" s="19"/>
      <c r="B18" s="17"/>
      <c r="C18" s="11" t="str">
        <f aca="false">IF(B18="","",IFERROR(INDEX(Students!$B$4:$B$203,MATCH(B18,Students!$A$4:$A$203,0)),""))</f>
        <v/>
      </c>
      <c r="D18" s="11" t="str">
        <f aca="false">IF(B18="","",IFERROR(INDEX(Students!$H$4:$H$203,MATCH(B18,Students!$A$4:$A$203,0)),""))</f>
        <v/>
      </c>
      <c r="E18" s="18"/>
      <c r="F18" s="18"/>
      <c r="G18" s="18"/>
      <c r="H18" s="18"/>
      <c r="I18" s="18"/>
      <c r="J18" s="18"/>
      <c r="K18" s="18"/>
      <c r="L18" s="18"/>
    </row>
    <row r="19" customFormat="false" ht="15" hidden="false" customHeight="true" outlineLevel="0" collapsed="false">
      <c r="A19" s="19"/>
      <c r="B19" s="17"/>
      <c r="C19" s="11" t="str">
        <f aca="false">IF(B19="","",IFERROR(INDEX(Students!$B$4:$B$203,MATCH(B19,Students!$A$4:$A$203,0)),""))</f>
        <v/>
      </c>
      <c r="D19" s="11" t="str">
        <f aca="false">IF(B19="","",IFERROR(INDEX(Students!$H$4:$H$203,MATCH(B19,Students!$A$4:$A$203,0)),""))</f>
        <v/>
      </c>
      <c r="E19" s="18"/>
      <c r="F19" s="18"/>
      <c r="G19" s="18"/>
      <c r="H19" s="18"/>
      <c r="I19" s="18"/>
      <c r="J19" s="18"/>
      <c r="K19" s="18"/>
      <c r="L19" s="18"/>
    </row>
    <row r="20" customFormat="false" ht="15" hidden="false" customHeight="true" outlineLevel="0" collapsed="false">
      <c r="A20" s="19"/>
      <c r="B20" s="17"/>
      <c r="C20" s="11" t="str">
        <f aca="false">IF(B20="","",IFERROR(INDEX(Students!$B$4:$B$203,MATCH(B20,Students!$A$4:$A$203,0)),""))</f>
        <v/>
      </c>
      <c r="D20" s="11" t="str">
        <f aca="false">IF(B20="","",IFERROR(INDEX(Students!$H$4:$H$203,MATCH(B20,Students!$A$4:$A$203,0)),""))</f>
        <v/>
      </c>
      <c r="E20" s="18"/>
      <c r="F20" s="18"/>
      <c r="G20" s="18"/>
      <c r="H20" s="18"/>
      <c r="I20" s="18"/>
      <c r="J20" s="18"/>
      <c r="K20" s="18"/>
      <c r="L20" s="18"/>
    </row>
    <row r="21" customFormat="false" ht="15" hidden="false" customHeight="true" outlineLevel="0" collapsed="false">
      <c r="A21" s="19"/>
      <c r="B21" s="17"/>
      <c r="C21" s="11" t="str">
        <f aca="false">IF(B21="","",IFERROR(INDEX(Students!$B$4:$B$203,MATCH(B21,Students!$A$4:$A$203,0)),""))</f>
        <v/>
      </c>
      <c r="D21" s="11" t="str">
        <f aca="false">IF(B21="","",IFERROR(INDEX(Students!$H$4:$H$203,MATCH(B21,Students!$A$4:$A$203,0)),""))</f>
        <v/>
      </c>
      <c r="E21" s="18"/>
      <c r="F21" s="18"/>
      <c r="G21" s="18"/>
      <c r="H21" s="18"/>
      <c r="I21" s="18"/>
      <c r="J21" s="18"/>
      <c r="K21" s="18"/>
      <c r="L21" s="18"/>
    </row>
    <row r="22" customFormat="false" ht="15" hidden="false" customHeight="true" outlineLevel="0" collapsed="false">
      <c r="A22" s="19"/>
      <c r="B22" s="17"/>
      <c r="C22" s="11" t="str">
        <f aca="false">IF(B22="","",IFERROR(INDEX(Students!$B$4:$B$203,MATCH(B22,Students!$A$4:$A$203,0)),""))</f>
        <v/>
      </c>
      <c r="D22" s="11" t="str">
        <f aca="false">IF(B22="","",IFERROR(INDEX(Students!$H$4:$H$203,MATCH(B22,Students!$A$4:$A$203,0)),""))</f>
        <v/>
      </c>
      <c r="E22" s="18"/>
      <c r="F22" s="18"/>
      <c r="G22" s="18"/>
      <c r="H22" s="18"/>
      <c r="I22" s="18"/>
      <c r="J22" s="18"/>
      <c r="K22" s="18"/>
      <c r="L22" s="18"/>
    </row>
    <row r="23" customFormat="false" ht="15" hidden="false" customHeight="true" outlineLevel="0" collapsed="false">
      <c r="A23" s="19"/>
      <c r="B23" s="17"/>
      <c r="C23" s="11" t="str">
        <f aca="false">IF(B23="","",IFERROR(INDEX(Students!$B$4:$B$203,MATCH(B23,Students!$A$4:$A$203,0)),""))</f>
        <v/>
      </c>
      <c r="D23" s="11" t="str">
        <f aca="false">IF(B23="","",IFERROR(INDEX(Students!$H$4:$H$203,MATCH(B23,Students!$A$4:$A$203,0)),""))</f>
        <v/>
      </c>
      <c r="E23" s="18"/>
      <c r="F23" s="18"/>
      <c r="G23" s="18"/>
      <c r="H23" s="18"/>
      <c r="I23" s="18"/>
      <c r="J23" s="18"/>
      <c r="K23" s="18"/>
      <c r="L23" s="18"/>
    </row>
    <row r="24" customFormat="false" ht="15" hidden="false" customHeight="true" outlineLevel="0" collapsed="false">
      <c r="A24" s="19"/>
      <c r="B24" s="17"/>
      <c r="C24" s="11" t="str">
        <f aca="false">IF(B24="","",IFERROR(INDEX(Students!$B$4:$B$203,MATCH(B24,Students!$A$4:$A$203,0)),""))</f>
        <v/>
      </c>
      <c r="D24" s="11" t="str">
        <f aca="false">IF(B24="","",IFERROR(INDEX(Students!$H$4:$H$203,MATCH(B24,Students!$A$4:$A$203,0)),""))</f>
        <v/>
      </c>
      <c r="E24" s="18"/>
      <c r="F24" s="18"/>
      <c r="G24" s="18"/>
      <c r="H24" s="18"/>
      <c r="I24" s="18"/>
      <c r="J24" s="18"/>
      <c r="K24" s="18"/>
      <c r="L24" s="18"/>
    </row>
    <row r="25" customFormat="false" ht="15" hidden="false" customHeight="true" outlineLevel="0" collapsed="false">
      <c r="A25" s="19"/>
      <c r="B25" s="17"/>
      <c r="C25" s="11" t="str">
        <f aca="false">IF(B25="","",IFERROR(INDEX(Students!$B$4:$B$203,MATCH(B25,Students!$A$4:$A$203,0)),""))</f>
        <v/>
      </c>
      <c r="D25" s="11" t="str">
        <f aca="false">IF(B25="","",IFERROR(INDEX(Students!$H$4:$H$203,MATCH(B25,Students!$A$4:$A$203,0)),""))</f>
        <v/>
      </c>
      <c r="E25" s="18"/>
      <c r="F25" s="18"/>
      <c r="G25" s="18"/>
      <c r="H25" s="18"/>
      <c r="I25" s="18"/>
      <c r="J25" s="18"/>
      <c r="K25" s="18"/>
      <c r="L25" s="18"/>
    </row>
    <row r="26" customFormat="false" ht="15" hidden="false" customHeight="true" outlineLevel="0" collapsed="false">
      <c r="A26" s="19"/>
      <c r="B26" s="17"/>
      <c r="C26" s="11" t="str">
        <f aca="false">IF(B26="","",IFERROR(INDEX(Students!$B$4:$B$203,MATCH(B26,Students!$A$4:$A$203,0)),""))</f>
        <v/>
      </c>
      <c r="D26" s="11" t="str">
        <f aca="false">IF(B26="","",IFERROR(INDEX(Students!$H$4:$H$203,MATCH(B26,Students!$A$4:$A$203,0)),""))</f>
        <v/>
      </c>
      <c r="E26" s="18"/>
      <c r="F26" s="18"/>
      <c r="G26" s="18"/>
      <c r="H26" s="18"/>
      <c r="I26" s="18"/>
      <c r="J26" s="18"/>
      <c r="K26" s="18"/>
      <c r="L26" s="18"/>
    </row>
    <row r="27" customFormat="false" ht="15" hidden="false" customHeight="true" outlineLevel="0" collapsed="false">
      <c r="A27" s="19"/>
      <c r="B27" s="17"/>
      <c r="C27" s="11" t="str">
        <f aca="false">IF(B27="","",IFERROR(INDEX(Students!$B$4:$B$203,MATCH(B27,Students!$A$4:$A$203,0)),""))</f>
        <v/>
      </c>
      <c r="D27" s="11" t="str">
        <f aca="false">IF(B27="","",IFERROR(INDEX(Students!$H$4:$H$203,MATCH(B27,Students!$A$4:$A$203,0)),""))</f>
        <v/>
      </c>
      <c r="E27" s="18"/>
      <c r="F27" s="18"/>
      <c r="G27" s="18"/>
      <c r="H27" s="18"/>
      <c r="I27" s="18"/>
      <c r="J27" s="18"/>
      <c r="K27" s="18"/>
      <c r="L27" s="18"/>
    </row>
    <row r="28" customFormat="false" ht="15" hidden="false" customHeight="true" outlineLevel="0" collapsed="false">
      <c r="A28" s="19"/>
      <c r="B28" s="17"/>
      <c r="C28" s="11" t="str">
        <f aca="false">IF(B28="","",IFERROR(INDEX(Students!$B$4:$B$203,MATCH(B28,Students!$A$4:$A$203,0)),""))</f>
        <v/>
      </c>
      <c r="D28" s="11" t="str">
        <f aca="false">IF(B28="","",IFERROR(INDEX(Students!$H$4:$H$203,MATCH(B28,Students!$A$4:$A$203,0)),""))</f>
        <v/>
      </c>
      <c r="E28" s="18"/>
      <c r="F28" s="18"/>
      <c r="G28" s="18"/>
      <c r="H28" s="18"/>
      <c r="I28" s="18"/>
      <c r="J28" s="18"/>
      <c r="K28" s="18"/>
      <c r="L28" s="18"/>
    </row>
    <row r="29" customFormat="false" ht="15" hidden="false" customHeight="true" outlineLevel="0" collapsed="false">
      <c r="A29" s="19"/>
      <c r="B29" s="17"/>
      <c r="C29" s="11" t="str">
        <f aca="false">IF(B29="","",IFERROR(INDEX(Students!$B$4:$B$203,MATCH(B29,Students!$A$4:$A$203,0)),""))</f>
        <v/>
      </c>
      <c r="D29" s="11" t="str">
        <f aca="false">IF(B29="","",IFERROR(INDEX(Students!$H$4:$H$203,MATCH(B29,Students!$A$4:$A$203,0)),""))</f>
        <v/>
      </c>
      <c r="E29" s="18"/>
      <c r="F29" s="18"/>
      <c r="G29" s="18"/>
      <c r="H29" s="18"/>
      <c r="I29" s="18"/>
      <c r="J29" s="18"/>
      <c r="K29" s="18"/>
      <c r="L29" s="18"/>
    </row>
    <row r="30" customFormat="false" ht="15" hidden="false" customHeight="true" outlineLevel="0" collapsed="false">
      <c r="A30" s="19"/>
      <c r="B30" s="17"/>
      <c r="C30" s="11" t="str">
        <f aca="false">IF(B30="","",IFERROR(INDEX(Students!$B$4:$B$203,MATCH(B30,Students!$A$4:$A$203,0)),""))</f>
        <v/>
      </c>
      <c r="D30" s="11" t="str">
        <f aca="false">IF(B30="","",IFERROR(INDEX(Students!$H$4:$H$203,MATCH(B30,Students!$A$4:$A$203,0)),""))</f>
        <v/>
      </c>
      <c r="E30" s="18"/>
      <c r="F30" s="18"/>
      <c r="G30" s="18"/>
      <c r="H30" s="18"/>
      <c r="I30" s="18"/>
      <c r="J30" s="18"/>
      <c r="K30" s="18"/>
      <c r="L30" s="18"/>
    </row>
    <row r="31" customFormat="false" ht="15" hidden="false" customHeight="true" outlineLevel="0" collapsed="false">
      <c r="A31" s="19"/>
      <c r="B31" s="17"/>
      <c r="C31" s="11" t="str">
        <f aca="false">IF(B31="","",IFERROR(INDEX(Students!$B$4:$B$203,MATCH(B31,Students!$A$4:$A$203,0)),""))</f>
        <v/>
      </c>
      <c r="D31" s="11" t="str">
        <f aca="false">IF(B31="","",IFERROR(INDEX(Students!$H$4:$H$203,MATCH(B31,Students!$A$4:$A$203,0)),""))</f>
        <v/>
      </c>
      <c r="E31" s="18"/>
      <c r="F31" s="18"/>
      <c r="G31" s="18"/>
      <c r="H31" s="18"/>
      <c r="I31" s="18"/>
      <c r="J31" s="18"/>
      <c r="K31" s="18"/>
      <c r="L31" s="18"/>
    </row>
    <row r="32" customFormat="false" ht="15" hidden="false" customHeight="true" outlineLevel="0" collapsed="false">
      <c r="A32" s="19"/>
      <c r="B32" s="17"/>
      <c r="C32" s="11" t="str">
        <f aca="false">IF(B32="","",IFERROR(INDEX(Students!$B$4:$B$203,MATCH(B32,Students!$A$4:$A$203,0)),""))</f>
        <v/>
      </c>
      <c r="D32" s="11" t="str">
        <f aca="false">IF(B32="","",IFERROR(INDEX(Students!$H$4:$H$203,MATCH(B32,Students!$A$4:$A$203,0)),""))</f>
        <v/>
      </c>
      <c r="E32" s="18"/>
      <c r="F32" s="18"/>
      <c r="G32" s="18"/>
      <c r="H32" s="18"/>
      <c r="I32" s="18"/>
      <c r="J32" s="18"/>
      <c r="K32" s="18"/>
      <c r="L32" s="18"/>
    </row>
    <row r="33" customFormat="false" ht="15" hidden="false" customHeight="true" outlineLevel="0" collapsed="false">
      <c r="A33" s="19"/>
      <c r="B33" s="17"/>
      <c r="C33" s="11" t="str">
        <f aca="false">IF(B33="","",IFERROR(INDEX(Students!$B$4:$B$203,MATCH(B33,Students!$A$4:$A$203,0)),""))</f>
        <v/>
      </c>
      <c r="D33" s="11" t="str">
        <f aca="false">IF(B33="","",IFERROR(INDEX(Students!$H$4:$H$203,MATCH(B33,Students!$A$4:$A$203,0)),""))</f>
        <v/>
      </c>
      <c r="E33" s="18"/>
      <c r="F33" s="18"/>
      <c r="G33" s="18"/>
      <c r="H33" s="18"/>
      <c r="I33" s="18"/>
      <c r="J33" s="18"/>
      <c r="K33" s="18"/>
      <c r="L33" s="18"/>
    </row>
    <row r="34" customFormat="false" ht="15" hidden="false" customHeight="true" outlineLevel="0" collapsed="false">
      <c r="A34" s="19"/>
      <c r="B34" s="17"/>
      <c r="C34" s="11" t="str">
        <f aca="false">IF(B34="","",IFERROR(INDEX(Students!$B$4:$B$203,MATCH(B34,Students!$A$4:$A$203,0)),""))</f>
        <v/>
      </c>
      <c r="D34" s="11" t="str">
        <f aca="false">IF(B34="","",IFERROR(INDEX(Students!$H$4:$H$203,MATCH(B34,Students!$A$4:$A$203,0)),""))</f>
        <v/>
      </c>
      <c r="E34" s="18"/>
      <c r="F34" s="18"/>
      <c r="G34" s="18"/>
      <c r="H34" s="18"/>
      <c r="I34" s="18"/>
      <c r="J34" s="18"/>
      <c r="K34" s="18"/>
      <c r="L34" s="18"/>
    </row>
    <row r="35" customFormat="false" ht="15" hidden="false" customHeight="true" outlineLevel="0" collapsed="false">
      <c r="A35" s="19"/>
      <c r="B35" s="17"/>
      <c r="C35" s="11" t="str">
        <f aca="false">IF(B35="","",IFERROR(INDEX(Students!$B$4:$B$203,MATCH(B35,Students!$A$4:$A$203,0)),""))</f>
        <v/>
      </c>
      <c r="D35" s="11" t="str">
        <f aca="false">IF(B35="","",IFERROR(INDEX(Students!$H$4:$H$203,MATCH(B35,Students!$A$4:$A$203,0)),""))</f>
        <v/>
      </c>
      <c r="E35" s="18"/>
      <c r="F35" s="18"/>
      <c r="G35" s="18"/>
      <c r="H35" s="18"/>
      <c r="I35" s="18"/>
      <c r="J35" s="18"/>
      <c r="K35" s="18"/>
      <c r="L35" s="18"/>
    </row>
    <row r="36" customFormat="false" ht="15" hidden="false" customHeight="true" outlineLevel="0" collapsed="false">
      <c r="A36" s="19"/>
      <c r="B36" s="17"/>
      <c r="C36" s="11" t="str">
        <f aca="false">IF(B36="","",IFERROR(INDEX(Students!$B$4:$B$203,MATCH(B36,Students!$A$4:$A$203,0)),""))</f>
        <v/>
      </c>
      <c r="D36" s="11" t="str">
        <f aca="false">IF(B36="","",IFERROR(INDEX(Students!$H$4:$H$203,MATCH(B36,Students!$A$4:$A$203,0)),""))</f>
        <v/>
      </c>
      <c r="E36" s="18"/>
      <c r="F36" s="18"/>
      <c r="G36" s="18"/>
      <c r="H36" s="18"/>
      <c r="I36" s="18"/>
      <c r="J36" s="18"/>
      <c r="K36" s="18"/>
      <c r="L36" s="18"/>
    </row>
    <row r="37" customFormat="false" ht="15" hidden="false" customHeight="true" outlineLevel="0" collapsed="false">
      <c r="A37" s="19"/>
      <c r="B37" s="17"/>
      <c r="C37" s="11" t="str">
        <f aca="false">IF(B37="","",IFERROR(INDEX(Students!$B$4:$B$203,MATCH(B37,Students!$A$4:$A$203,0)),""))</f>
        <v/>
      </c>
      <c r="D37" s="11" t="str">
        <f aca="false">IF(B37="","",IFERROR(INDEX(Students!$H$4:$H$203,MATCH(B37,Students!$A$4:$A$203,0)),""))</f>
        <v/>
      </c>
      <c r="E37" s="18"/>
      <c r="F37" s="18"/>
      <c r="G37" s="18"/>
      <c r="H37" s="18"/>
      <c r="I37" s="18"/>
      <c r="J37" s="18"/>
      <c r="K37" s="18"/>
      <c r="L37" s="18"/>
    </row>
    <row r="38" customFormat="false" ht="15" hidden="false" customHeight="true" outlineLevel="0" collapsed="false">
      <c r="A38" s="19"/>
      <c r="B38" s="17"/>
      <c r="C38" s="11" t="str">
        <f aca="false">IF(B38="","",IFERROR(INDEX(Students!$B$4:$B$203,MATCH(B38,Students!$A$4:$A$203,0)),""))</f>
        <v/>
      </c>
      <c r="D38" s="11" t="str">
        <f aca="false">IF(B38="","",IFERROR(INDEX(Students!$H$4:$H$203,MATCH(B38,Students!$A$4:$A$203,0)),""))</f>
        <v/>
      </c>
      <c r="E38" s="18"/>
      <c r="F38" s="18"/>
      <c r="G38" s="18"/>
      <c r="H38" s="18"/>
      <c r="I38" s="18"/>
      <c r="J38" s="18"/>
      <c r="K38" s="18"/>
      <c r="L38" s="18"/>
    </row>
    <row r="39" customFormat="false" ht="15" hidden="false" customHeight="true" outlineLevel="0" collapsed="false">
      <c r="A39" s="19"/>
      <c r="B39" s="17"/>
      <c r="C39" s="11" t="str">
        <f aca="false">IF(B39="","",IFERROR(INDEX(Students!$B$4:$B$203,MATCH(B39,Students!$A$4:$A$203,0)),""))</f>
        <v/>
      </c>
      <c r="D39" s="11" t="str">
        <f aca="false">IF(B39="","",IFERROR(INDEX(Students!$H$4:$H$203,MATCH(B39,Students!$A$4:$A$203,0)),""))</f>
        <v/>
      </c>
      <c r="E39" s="18"/>
      <c r="F39" s="18"/>
      <c r="G39" s="18"/>
      <c r="H39" s="18"/>
      <c r="I39" s="18"/>
      <c r="J39" s="18"/>
      <c r="K39" s="18"/>
      <c r="L39" s="18"/>
    </row>
    <row r="40" customFormat="false" ht="15" hidden="false" customHeight="true" outlineLevel="0" collapsed="false">
      <c r="A40" s="19"/>
      <c r="B40" s="17"/>
      <c r="C40" s="11" t="str">
        <f aca="false">IF(B40="","",IFERROR(INDEX(Students!$B$4:$B$203,MATCH(B40,Students!$A$4:$A$203,0)),""))</f>
        <v/>
      </c>
      <c r="D40" s="11" t="str">
        <f aca="false">IF(B40="","",IFERROR(INDEX(Students!$H$4:$H$203,MATCH(B40,Students!$A$4:$A$203,0)),""))</f>
        <v/>
      </c>
      <c r="E40" s="18"/>
      <c r="F40" s="18"/>
      <c r="G40" s="18"/>
      <c r="H40" s="18"/>
      <c r="I40" s="18"/>
      <c r="J40" s="18"/>
      <c r="K40" s="18"/>
      <c r="L40" s="18"/>
    </row>
    <row r="41" customFormat="false" ht="15" hidden="false" customHeight="true" outlineLevel="0" collapsed="false">
      <c r="A41" s="19"/>
      <c r="B41" s="17"/>
      <c r="C41" s="11" t="str">
        <f aca="false">IF(B41="","",IFERROR(INDEX(Students!$B$4:$B$203,MATCH(B41,Students!$A$4:$A$203,0)),""))</f>
        <v/>
      </c>
      <c r="D41" s="11" t="str">
        <f aca="false">IF(B41="","",IFERROR(INDEX(Students!$H$4:$H$203,MATCH(B41,Students!$A$4:$A$203,0)),""))</f>
        <v/>
      </c>
      <c r="E41" s="18"/>
      <c r="F41" s="18"/>
      <c r="G41" s="18"/>
      <c r="H41" s="18"/>
      <c r="I41" s="18"/>
      <c r="J41" s="18"/>
      <c r="K41" s="18"/>
      <c r="L41" s="18"/>
    </row>
    <row r="42" customFormat="false" ht="15" hidden="false" customHeight="true" outlineLevel="0" collapsed="false">
      <c r="A42" s="19"/>
      <c r="B42" s="17"/>
      <c r="C42" s="11" t="str">
        <f aca="false">IF(B42="","",IFERROR(INDEX(Students!$B$4:$B$203,MATCH(B42,Students!$A$4:$A$203,0)),""))</f>
        <v/>
      </c>
      <c r="D42" s="11" t="str">
        <f aca="false">IF(B42="","",IFERROR(INDEX(Students!$H$4:$H$203,MATCH(B42,Students!$A$4:$A$203,0)),""))</f>
        <v/>
      </c>
      <c r="E42" s="18"/>
      <c r="F42" s="18"/>
      <c r="G42" s="18"/>
      <c r="H42" s="18"/>
      <c r="I42" s="18"/>
      <c r="J42" s="18"/>
      <c r="K42" s="18"/>
      <c r="L42" s="18"/>
    </row>
    <row r="43" customFormat="false" ht="15" hidden="false" customHeight="true" outlineLevel="0" collapsed="false">
      <c r="A43" s="19"/>
      <c r="B43" s="17"/>
      <c r="C43" s="11" t="str">
        <f aca="false">IF(B43="","",IFERROR(INDEX(Students!$B$4:$B$203,MATCH(B43,Students!$A$4:$A$203,0)),""))</f>
        <v/>
      </c>
      <c r="D43" s="11" t="str">
        <f aca="false">IF(B43="","",IFERROR(INDEX(Students!$H$4:$H$203,MATCH(B43,Students!$A$4:$A$203,0)),""))</f>
        <v/>
      </c>
      <c r="E43" s="18"/>
      <c r="F43" s="18"/>
      <c r="G43" s="18"/>
      <c r="H43" s="18"/>
      <c r="I43" s="18"/>
      <c r="J43" s="18"/>
      <c r="K43" s="18"/>
      <c r="L43" s="18"/>
    </row>
    <row r="44" customFormat="false" ht="15" hidden="false" customHeight="true" outlineLevel="0" collapsed="false">
      <c r="A44" s="19"/>
      <c r="B44" s="17"/>
      <c r="C44" s="11" t="str">
        <f aca="false">IF(B44="","",IFERROR(INDEX(Students!$B$4:$B$203,MATCH(B44,Students!$A$4:$A$203,0)),""))</f>
        <v/>
      </c>
      <c r="D44" s="11" t="str">
        <f aca="false">IF(B44="","",IFERROR(INDEX(Students!$H$4:$H$203,MATCH(B44,Students!$A$4:$A$203,0)),""))</f>
        <v/>
      </c>
      <c r="E44" s="18"/>
      <c r="F44" s="18"/>
      <c r="G44" s="18"/>
      <c r="H44" s="18"/>
      <c r="I44" s="18"/>
      <c r="J44" s="18"/>
      <c r="K44" s="18"/>
      <c r="L44" s="18"/>
    </row>
    <row r="45" customFormat="false" ht="15" hidden="false" customHeight="true" outlineLevel="0" collapsed="false">
      <c r="A45" s="19"/>
      <c r="B45" s="17"/>
      <c r="C45" s="11" t="str">
        <f aca="false">IF(B45="","",IFERROR(INDEX(Students!$B$4:$B$203,MATCH(B45,Students!$A$4:$A$203,0)),""))</f>
        <v/>
      </c>
      <c r="D45" s="11" t="str">
        <f aca="false">IF(B45="","",IFERROR(INDEX(Students!$H$4:$H$203,MATCH(B45,Students!$A$4:$A$203,0)),""))</f>
        <v/>
      </c>
      <c r="E45" s="18"/>
      <c r="F45" s="18"/>
      <c r="G45" s="18"/>
      <c r="H45" s="18"/>
      <c r="I45" s="18"/>
      <c r="J45" s="18"/>
      <c r="K45" s="18"/>
      <c r="L45" s="18"/>
    </row>
    <row r="46" customFormat="false" ht="15" hidden="false" customHeight="true" outlineLevel="0" collapsed="false">
      <c r="A46" s="19"/>
      <c r="B46" s="17"/>
      <c r="C46" s="11" t="str">
        <f aca="false">IF(B46="","",IFERROR(INDEX(Students!$B$4:$B$203,MATCH(B46,Students!$A$4:$A$203,0)),""))</f>
        <v/>
      </c>
      <c r="D46" s="11" t="str">
        <f aca="false">IF(B46="","",IFERROR(INDEX(Students!$H$4:$H$203,MATCH(B46,Students!$A$4:$A$203,0)),""))</f>
        <v/>
      </c>
      <c r="E46" s="18"/>
      <c r="F46" s="18"/>
      <c r="G46" s="18"/>
      <c r="H46" s="18"/>
      <c r="I46" s="18"/>
      <c r="J46" s="18"/>
      <c r="K46" s="18"/>
      <c r="L46" s="18"/>
    </row>
    <row r="47" customFormat="false" ht="15" hidden="false" customHeight="true" outlineLevel="0" collapsed="false">
      <c r="A47" s="19"/>
      <c r="B47" s="17"/>
      <c r="C47" s="11" t="str">
        <f aca="false">IF(B47="","",IFERROR(INDEX(Students!$B$4:$B$203,MATCH(B47,Students!$A$4:$A$203,0)),""))</f>
        <v/>
      </c>
      <c r="D47" s="11" t="str">
        <f aca="false">IF(B47="","",IFERROR(INDEX(Students!$H$4:$H$203,MATCH(B47,Students!$A$4:$A$203,0)),""))</f>
        <v/>
      </c>
      <c r="E47" s="18"/>
      <c r="F47" s="18"/>
      <c r="G47" s="18"/>
      <c r="H47" s="18"/>
      <c r="I47" s="18"/>
      <c r="J47" s="18"/>
      <c r="K47" s="18"/>
      <c r="L47" s="18"/>
    </row>
    <row r="48" customFormat="false" ht="15" hidden="false" customHeight="true" outlineLevel="0" collapsed="false">
      <c r="A48" s="19"/>
      <c r="B48" s="17"/>
      <c r="C48" s="11" t="str">
        <f aca="false">IF(B48="","",IFERROR(INDEX(Students!$B$4:$B$203,MATCH(B48,Students!$A$4:$A$203,0)),""))</f>
        <v/>
      </c>
      <c r="D48" s="11" t="str">
        <f aca="false">IF(B48="","",IFERROR(INDEX(Students!$H$4:$H$203,MATCH(B48,Students!$A$4:$A$203,0)),""))</f>
        <v/>
      </c>
      <c r="E48" s="18"/>
      <c r="F48" s="18"/>
      <c r="G48" s="18"/>
      <c r="H48" s="18"/>
      <c r="I48" s="18"/>
      <c r="J48" s="18"/>
      <c r="K48" s="18"/>
      <c r="L48" s="18"/>
    </row>
    <row r="49" customFormat="false" ht="15" hidden="false" customHeight="true" outlineLevel="0" collapsed="false">
      <c r="A49" s="19"/>
      <c r="B49" s="17"/>
      <c r="C49" s="11" t="str">
        <f aca="false">IF(B49="","",IFERROR(INDEX(Students!$B$4:$B$203,MATCH(B49,Students!$A$4:$A$203,0)),""))</f>
        <v/>
      </c>
      <c r="D49" s="11" t="str">
        <f aca="false">IF(B49="","",IFERROR(INDEX(Students!$H$4:$H$203,MATCH(B49,Students!$A$4:$A$203,0)),""))</f>
        <v/>
      </c>
      <c r="E49" s="18"/>
      <c r="F49" s="18"/>
      <c r="G49" s="18"/>
      <c r="H49" s="18"/>
      <c r="I49" s="18"/>
      <c r="J49" s="18"/>
      <c r="K49" s="18"/>
      <c r="L49" s="18"/>
    </row>
    <row r="50" customFormat="false" ht="15" hidden="false" customHeight="true" outlineLevel="0" collapsed="false">
      <c r="A50" s="19"/>
      <c r="B50" s="17"/>
      <c r="C50" s="11" t="str">
        <f aca="false">IF(B50="","",IFERROR(INDEX(Students!$B$4:$B$203,MATCH(B50,Students!$A$4:$A$203,0)),""))</f>
        <v/>
      </c>
      <c r="D50" s="11" t="str">
        <f aca="false">IF(B50="","",IFERROR(INDEX(Students!$H$4:$H$203,MATCH(B50,Students!$A$4:$A$203,0)),""))</f>
        <v/>
      </c>
      <c r="E50" s="18"/>
      <c r="F50" s="18"/>
      <c r="G50" s="18"/>
      <c r="H50" s="18"/>
      <c r="I50" s="18"/>
      <c r="J50" s="18"/>
      <c r="K50" s="18"/>
      <c r="L50" s="18"/>
    </row>
    <row r="51" customFormat="false" ht="15" hidden="false" customHeight="true" outlineLevel="0" collapsed="false">
      <c r="A51" s="19"/>
      <c r="B51" s="17"/>
      <c r="C51" s="11" t="str">
        <f aca="false">IF(B51="","",IFERROR(INDEX(Students!$B$4:$B$203,MATCH(B51,Students!$A$4:$A$203,0)),""))</f>
        <v/>
      </c>
      <c r="D51" s="11" t="str">
        <f aca="false">IF(B51="","",IFERROR(INDEX(Students!$H$4:$H$203,MATCH(B51,Students!$A$4:$A$203,0)),""))</f>
        <v/>
      </c>
      <c r="E51" s="18"/>
      <c r="F51" s="18"/>
      <c r="G51" s="18"/>
      <c r="H51" s="18"/>
      <c r="I51" s="18"/>
      <c r="J51" s="18"/>
      <c r="K51" s="18"/>
      <c r="L51" s="18"/>
    </row>
    <row r="52" customFormat="false" ht="15" hidden="false" customHeight="true" outlineLevel="0" collapsed="false">
      <c r="A52" s="19"/>
      <c r="B52" s="17"/>
      <c r="C52" s="11" t="str">
        <f aca="false">IF(B52="","",IFERROR(INDEX(Students!$B$4:$B$203,MATCH(B52,Students!$A$4:$A$203,0)),""))</f>
        <v/>
      </c>
      <c r="D52" s="11" t="str">
        <f aca="false">IF(B52="","",IFERROR(INDEX(Students!$H$4:$H$203,MATCH(B52,Students!$A$4:$A$203,0)),""))</f>
        <v/>
      </c>
      <c r="E52" s="18"/>
      <c r="F52" s="18"/>
      <c r="G52" s="18"/>
      <c r="H52" s="18"/>
      <c r="I52" s="18"/>
      <c r="J52" s="18"/>
      <c r="K52" s="18"/>
      <c r="L52" s="18"/>
    </row>
    <row r="53" customFormat="false" ht="15" hidden="false" customHeight="true" outlineLevel="0" collapsed="false">
      <c r="A53" s="19"/>
      <c r="B53" s="17"/>
      <c r="C53" s="11" t="str">
        <f aca="false">IF(B53="","",IFERROR(INDEX(Students!$B$4:$B$203,MATCH(B53,Students!$A$4:$A$203,0)),""))</f>
        <v/>
      </c>
      <c r="D53" s="11" t="str">
        <f aca="false">IF(B53="","",IFERROR(INDEX(Students!$H$4:$H$203,MATCH(B53,Students!$A$4:$A$203,0)),""))</f>
        <v/>
      </c>
      <c r="E53" s="18"/>
      <c r="F53" s="18"/>
      <c r="G53" s="18"/>
      <c r="H53" s="18"/>
      <c r="I53" s="18"/>
      <c r="J53" s="18"/>
      <c r="K53" s="18"/>
      <c r="L53" s="18"/>
    </row>
    <row r="54" customFormat="false" ht="15" hidden="false" customHeight="true" outlineLevel="0" collapsed="false">
      <c r="A54" s="19"/>
      <c r="B54" s="17"/>
      <c r="C54" s="11" t="str">
        <f aca="false">IF(B54="","",IFERROR(INDEX(Students!$B$4:$B$203,MATCH(B54,Students!$A$4:$A$203,0)),""))</f>
        <v/>
      </c>
      <c r="D54" s="11" t="str">
        <f aca="false">IF(B54="","",IFERROR(INDEX(Students!$H$4:$H$203,MATCH(B54,Students!$A$4:$A$203,0)),""))</f>
        <v/>
      </c>
      <c r="E54" s="18"/>
      <c r="F54" s="18"/>
      <c r="G54" s="18"/>
      <c r="H54" s="18"/>
      <c r="I54" s="18"/>
      <c r="J54" s="18"/>
      <c r="K54" s="18"/>
      <c r="L54" s="18"/>
    </row>
    <row r="55" customFormat="false" ht="15" hidden="false" customHeight="true" outlineLevel="0" collapsed="false">
      <c r="A55" s="19"/>
      <c r="B55" s="17"/>
      <c r="C55" s="11" t="str">
        <f aca="false">IF(B55="","",IFERROR(INDEX(Students!$B$4:$B$203,MATCH(B55,Students!$A$4:$A$203,0)),""))</f>
        <v/>
      </c>
      <c r="D55" s="11" t="str">
        <f aca="false">IF(B55="","",IFERROR(INDEX(Students!$H$4:$H$203,MATCH(B55,Students!$A$4:$A$203,0)),""))</f>
        <v/>
      </c>
      <c r="E55" s="18"/>
      <c r="F55" s="18"/>
      <c r="G55" s="18"/>
      <c r="H55" s="18"/>
      <c r="I55" s="18"/>
      <c r="J55" s="18"/>
      <c r="K55" s="18"/>
      <c r="L55" s="18"/>
    </row>
    <row r="56" customFormat="false" ht="15" hidden="false" customHeight="true" outlineLevel="0" collapsed="false">
      <c r="A56" s="19"/>
      <c r="B56" s="17"/>
      <c r="C56" s="11" t="str">
        <f aca="false">IF(B56="","",IFERROR(INDEX(Students!$B$4:$B$203,MATCH(B56,Students!$A$4:$A$203,0)),""))</f>
        <v/>
      </c>
      <c r="D56" s="11" t="str">
        <f aca="false">IF(B56="","",IFERROR(INDEX(Students!$H$4:$H$203,MATCH(B56,Students!$A$4:$A$203,0)),""))</f>
        <v/>
      </c>
      <c r="E56" s="18"/>
      <c r="F56" s="18"/>
      <c r="G56" s="18"/>
      <c r="H56" s="18"/>
      <c r="I56" s="18"/>
      <c r="J56" s="18"/>
      <c r="K56" s="18"/>
      <c r="L56" s="18"/>
    </row>
    <row r="57" customFormat="false" ht="15" hidden="false" customHeight="true" outlineLevel="0" collapsed="false">
      <c r="A57" s="19"/>
      <c r="B57" s="17"/>
      <c r="C57" s="11" t="str">
        <f aca="false">IF(B57="","",IFERROR(INDEX(Students!$B$4:$B$203,MATCH(B57,Students!$A$4:$A$203,0)),""))</f>
        <v/>
      </c>
      <c r="D57" s="11" t="str">
        <f aca="false">IF(B57="","",IFERROR(INDEX(Students!$H$4:$H$203,MATCH(B57,Students!$A$4:$A$203,0)),""))</f>
        <v/>
      </c>
      <c r="E57" s="18"/>
      <c r="F57" s="18"/>
      <c r="G57" s="18"/>
      <c r="H57" s="18"/>
      <c r="I57" s="18"/>
      <c r="J57" s="18"/>
      <c r="K57" s="18"/>
      <c r="L57" s="18"/>
    </row>
    <row r="58" customFormat="false" ht="15" hidden="false" customHeight="true" outlineLevel="0" collapsed="false">
      <c r="A58" s="19"/>
      <c r="B58" s="17"/>
      <c r="C58" s="11" t="str">
        <f aca="false">IF(B58="","",IFERROR(INDEX(Students!$B$4:$B$203,MATCH(B58,Students!$A$4:$A$203,0)),""))</f>
        <v/>
      </c>
      <c r="D58" s="11" t="str">
        <f aca="false">IF(B58="","",IFERROR(INDEX(Students!$H$4:$H$203,MATCH(B58,Students!$A$4:$A$203,0)),""))</f>
        <v/>
      </c>
      <c r="E58" s="18"/>
      <c r="F58" s="18"/>
      <c r="G58" s="18"/>
      <c r="H58" s="18"/>
      <c r="I58" s="18"/>
      <c r="J58" s="18"/>
      <c r="K58" s="18"/>
      <c r="L58" s="18"/>
    </row>
    <row r="59" customFormat="false" ht="15" hidden="false" customHeight="true" outlineLevel="0" collapsed="false">
      <c r="A59" s="19"/>
      <c r="B59" s="17"/>
      <c r="C59" s="11" t="str">
        <f aca="false">IF(B59="","",IFERROR(INDEX(Students!$B$4:$B$203,MATCH(B59,Students!$A$4:$A$203,0)),""))</f>
        <v/>
      </c>
      <c r="D59" s="11" t="str">
        <f aca="false">IF(B59="","",IFERROR(INDEX(Students!$H$4:$H$203,MATCH(B59,Students!$A$4:$A$203,0)),""))</f>
        <v/>
      </c>
      <c r="E59" s="18"/>
      <c r="F59" s="18"/>
      <c r="G59" s="18"/>
      <c r="H59" s="18"/>
      <c r="I59" s="18"/>
      <c r="J59" s="18"/>
      <c r="K59" s="18"/>
      <c r="L59" s="18"/>
    </row>
    <row r="60" customFormat="false" ht="15" hidden="false" customHeight="true" outlineLevel="0" collapsed="false">
      <c r="A60" s="19"/>
      <c r="B60" s="17"/>
      <c r="C60" s="11" t="str">
        <f aca="false">IF(B60="","",IFERROR(INDEX(Students!$B$4:$B$203,MATCH(B60,Students!$A$4:$A$203,0)),""))</f>
        <v/>
      </c>
      <c r="D60" s="11" t="str">
        <f aca="false">IF(B60="","",IFERROR(INDEX(Students!$H$4:$H$203,MATCH(B60,Students!$A$4:$A$203,0)),""))</f>
        <v/>
      </c>
      <c r="E60" s="18"/>
      <c r="F60" s="18"/>
      <c r="G60" s="18"/>
      <c r="H60" s="18"/>
      <c r="I60" s="18"/>
      <c r="J60" s="18"/>
      <c r="K60" s="18"/>
      <c r="L60" s="18"/>
    </row>
    <row r="61" customFormat="false" ht="15" hidden="false" customHeight="true" outlineLevel="0" collapsed="false">
      <c r="A61" s="19"/>
      <c r="B61" s="17"/>
      <c r="C61" s="11" t="str">
        <f aca="false">IF(B61="","",IFERROR(INDEX(Students!$B$4:$B$203,MATCH(B61,Students!$A$4:$A$203,0)),""))</f>
        <v/>
      </c>
      <c r="D61" s="11" t="str">
        <f aca="false">IF(B61="","",IFERROR(INDEX(Students!$H$4:$H$203,MATCH(B61,Students!$A$4:$A$203,0)),""))</f>
        <v/>
      </c>
      <c r="E61" s="18"/>
      <c r="F61" s="18"/>
      <c r="G61" s="18"/>
      <c r="H61" s="18"/>
      <c r="I61" s="18"/>
      <c r="J61" s="18"/>
      <c r="K61" s="18"/>
      <c r="L61" s="18"/>
    </row>
    <row r="62" customFormat="false" ht="15" hidden="false" customHeight="true" outlineLevel="0" collapsed="false">
      <c r="A62" s="19"/>
      <c r="B62" s="17"/>
      <c r="C62" s="11" t="str">
        <f aca="false">IF(B62="","",IFERROR(INDEX(Students!$B$4:$B$203,MATCH(B62,Students!$A$4:$A$203,0)),""))</f>
        <v/>
      </c>
      <c r="D62" s="11" t="str">
        <f aca="false">IF(B62="","",IFERROR(INDEX(Students!$H$4:$H$203,MATCH(B62,Students!$A$4:$A$203,0)),""))</f>
        <v/>
      </c>
      <c r="E62" s="18"/>
      <c r="F62" s="18"/>
      <c r="G62" s="18"/>
      <c r="H62" s="18"/>
      <c r="I62" s="18"/>
      <c r="J62" s="18"/>
      <c r="K62" s="18"/>
      <c r="L62" s="18"/>
    </row>
    <row r="63" customFormat="false" ht="15" hidden="false" customHeight="true" outlineLevel="0" collapsed="false">
      <c r="A63" s="19"/>
      <c r="B63" s="17"/>
      <c r="C63" s="11" t="str">
        <f aca="false">IF(B63="","",IFERROR(INDEX(Students!$B$4:$B$203,MATCH(B63,Students!$A$4:$A$203,0)),""))</f>
        <v/>
      </c>
      <c r="D63" s="11" t="str">
        <f aca="false">IF(B63="","",IFERROR(INDEX(Students!$H$4:$H$203,MATCH(B63,Students!$A$4:$A$203,0)),""))</f>
        <v/>
      </c>
      <c r="E63" s="18"/>
      <c r="F63" s="18"/>
      <c r="G63" s="18"/>
      <c r="H63" s="18"/>
      <c r="I63" s="18"/>
      <c r="J63" s="18"/>
      <c r="K63" s="18"/>
      <c r="L63" s="18"/>
    </row>
    <row r="64" customFormat="false" ht="15" hidden="false" customHeight="true" outlineLevel="0" collapsed="false">
      <c r="A64" s="19"/>
      <c r="B64" s="17"/>
      <c r="C64" s="11" t="str">
        <f aca="false">IF(B64="","",IFERROR(INDEX(Students!$B$4:$B$203,MATCH(B64,Students!$A$4:$A$203,0)),""))</f>
        <v/>
      </c>
      <c r="D64" s="11" t="str">
        <f aca="false">IF(B64="","",IFERROR(INDEX(Students!$H$4:$H$203,MATCH(B64,Students!$A$4:$A$203,0)),""))</f>
        <v/>
      </c>
      <c r="E64" s="18"/>
      <c r="F64" s="18"/>
      <c r="G64" s="18"/>
      <c r="H64" s="18"/>
      <c r="I64" s="18"/>
      <c r="J64" s="18"/>
      <c r="K64" s="18"/>
      <c r="L64" s="18"/>
    </row>
    <row r="65" customFormat="false" ht="15" hidden="false" customHeight="true" outlineLevel="0" collapsed="false">
      <c r="A65" s="19"/>
      <c r="B65" s="17"/>
      <c r="C65" s="11" t="str">
        <f aca="false">IF(B65="","",IFERROR(INDEX(Students!$B$4:$B$203,MATCH(B65,Students!$A$4:$A$203,0)),""))</f>
        <v/>
      </c>
      <c r="D65" s="11" t="str">
        <f aca="false">IF(B65="","",IFERROR(INDEX(Students!$H$4:$H$203,MATCH(B65,Students!$A$4:$A$203,0)),""))</f>
        <v/>
      </c>
      <c r="E65" s="18"/>
      <c r="F65" s="18"/>
      <c r="G65" s="18"/>
      <c r="H65" s="18"/>
      <c r="I65" s="18"/>
      <c r="J65" s="18"/>
      <c r="K65" s="18"/>
      <c r="L65" s="18"/>
    </row>
    <row r="66" customFormat="false" ht="15" hidden="false" customHeight="true" outlineLevel="0" collapsed="false">
      <c r="A66" s="19"/>
      <c r="B66" s="17"/>
      <c r="C66" s="11" t="str">
        <f aca="false">IF(B66="","",IFERROR(INDEX(Students!$B$4:$B$203,MATCH(B66,Students!$A$4:$A$203,0)),""))</f>
        <v/>
      </c>
      <c r="D66" s="11" t="str">
        <f aca="false">IF(B66="","",IFERROR(INDEX(Students!$H$4:$H$203,MATCH(B66,Students!$A$4:$A$203,0)),""))</f>
        <v/>
      </c>
      <c r="E66" s="18"/>
      <c r="F66" s="18"/>
      <c r="G66" s="18"/>
      <c r="H66" s="18"/>
      <c r="I66" s="18"/>
      <c r="J66" s="18"/>
      <c r="K66" s="18"/>
      <c r="L66" s="18"/>
    </row>
    <row r="67" customFormat="false" ht="15" hidden="false" customHeight="true" outlineLevel="0" collapsed="false">
      <c r="A67" s="19"/>
      <c r="B67" s="17"/>
      <c r="C67" s="11" t="str">
        <f aca="false">IF(B67="","",IFERROR(INDEX(Students!$B$4:$B$203,MATCH(B67,Students!$A$4:$A$203,0)),""))</f>
        <v/>
      </c>
      <c r="D67" s="11" t="str">
        <f aca="false">IF(B67="","",IFERROR(INDEX(Students!$H$4:$H$203,MATCH(B67,Students!$A$4:$A$203,0)),""))</f>
        <v/>
      </c>
      <c r="E67" s="18"/>
      <c r="F67" s="18"/>
      <c r="G67" s="18"/>
      <c r="H67" s="18"/>
      <c r="I67" s="18"/>
      <c r="J67" s="18"/>
      <c r="K67" s="18"/>
      <c r="L67" s="18"/>
    </row>
    <row r="68" customFormat="false" ht="15" hidden="false" customHeight="true" outlineLevel="0" collapsed="false">
      <c r="A68" s="19"/>
      <c r="B68" s="17"/>
      <c r="C68" s="11" t="str">
        <f aca="false">IF(B68="","",IFERROR(INDEX(Students!$B$4:$B$203,MATCH(B68,Students!$A$4:$A$203,0)),""))</f>
        <v/>
      </c>
      <c r="D68" s="11" t="str">
        <f aca="false">IF(B68="","",IFERROR(INDEX(Students!$H$4:$H$203,MATCH(B68,Students!$A$4:$A$203,0)),""))</f>
        <v/>
      </c>
      <c r="E68" s="18"/>
      <c r="F68" s="18"/>
      <c r="G68" s="18"/>
      <c r="H68" s="18"/>
      <c r="I68" s="18"/>
      <c r="J68" s="18"/>
      <c r="K68" s="18"/>
      <c r="L68" s="18"/>
    </row>
    <row r="69" customFormat="false" ht="15" hidden="false" customHeight="true" outlineLevel="0" collapsed="false">
      <c r="A69" s="19"/>
      <c r="B69" s="17"/>
      <c r="C69" s="11" t="str">
        <f aca="false">IF(B69="","",IFERROR(INDEX(Students!$B$4:$B$203,MATCH(B69,Students!$A$4:$A$203,0)),""))</f>
        <v/>
      </c>
      <c r="D69" s="11" t="str">
        <f aca="false">IF(B69="","",IFERROR(INDEX(Students!$H$4:$H$203,MATCH(B69,Students!$A$4:$A$203,0)),""))</f>
        <v/>
      </c>
      <c r="E69" s="18"/>
      <c r="F69" s="18"/>
      <c r="G69" s="18"/>
      <c r="H69" s="18"/>
      <c r="I69" s="18"/>
      <c r="J69" s="18"/>
      <c r="K69" s="18"/>
      <c r="L69" s="18"/>
    </row>
    <row r="70" customFormat="false" ht="15" hidden="false" customHeight="true" outlineLevel="0" collapsed="false">
      <c r="A70" s="19"/>
      <c r="B70" s="17"/>
      <c r="C70" s="11" t="str">
        <f aca="false">IF(B70="","",IFERROR(INDEX(Students!$B$4:$B$203,MATCH(B70,Students!$A$4:$A$203,0)),""))</f>
        <v/>
      </c>
      <c r="D70" s="11" t="str">
        <f aca="false">IF(B70="","",IFERROR(INDEX(Students!$H$4:$H$203,MATCH(B70,Students!$A$4:$A$203,0)),""))</f>
        <v/>
      </c>
      <c r="E70" s="18"/>
      <c r="F70" s="18"/>
      <c r="G70" s="18"/>
      <c r="H70" s="18"/>
      <c r="I70" s="18"/>
      <c r="J70" s="18"/>
      <c r="K70" s="18"/>
      <c r="L70" s="18"/>
    </row>
    <row r="71" customFormat="false" ht="15" hidden="false" customHeight="true" outlineLevel="0" collapsed="false">
      <c r="A71" s="19"/>
      <c r="B71" s="17"/>
      <c r="C71" s="11" t="str">
        <f aca="false">IF(B71="","",IFERROR(INDEX(Students!$B$4:$B$203,MATCH(B71,Students!$A$4:$A$203,0)),""))</f>
        <v/>
      </c>
      <c r="D71" s="11" t="str">
        <f aca="false">IF(B71="","",IFERROR(INDEX(Students!$H$4:$H$203,MATCH(B71,Students!$A$4:$A$203,0)),""))</f>
        <v/>
      </c>
      <c r="E71" s="18"/>
      <c r="F71" s="18"/>
      <c r="G71" s="18"/>
      <c r="H71" s="18"/>
      <c r="I71" s="18"/>
      <c r="J71" s="18"/>
      <c r="K71" s="18"/>
      <c r="L71" s="18"/>
    </row>
    <row r="72" customFormat="false" ht="15" hidden="false" customHeight="true" outlineLevel="0" collapsed="false">
      <c r="A72" s="19"/>
      <c r="B72" s="17"/>
      <c r="C72" s="11" t="str">
        <f aca="false">IF(B72="","",IFERROR(INDEX(Students!$B$4:$B$203,MATCH(B72,Students!$A$4:$A$203,0)),""))</f>
        <v/>
      </c>
      <c r="D72" s="11" t="str">
        <f aca="false">IF(B72="","",IFERROR(INDEX(Students!$H$4:$H$203,MATCH(B72,Students!$A$4:$A$203,0)),""))</f>
        <v/>
      </c>
      <c r="E72" s="18"/>
      <c r="F72" s="18"/>
      <c r="G72" s="18"/>
      <c r="H72" s="18"/>
      <c r="I72" s="18"/>
      <c r="J72" s="18"/>
      <c r="K72" s="18"/>
      <c r="L72" s="18"/>
    </row>
    <row r="73" customFormat="false" ht="15" hidden="false" customHeight="true" outlineLevel="0" collapsed="false">
      <c r="A73" s="19"/>
      <c r="B73" s="17"/>
      <c r="C73" s="11" t="str">
        <f aca="false">IF(B73="","",IFERROR(INDEX(Students!$B$4:$B$203,MATCH(B73,Students!$A$4:$A$203,0)),""))</f>
        <v/>
      </c>
      <c r="D73" s="11" t="str">
        <f aca="false">IF(B73="","",IFERROR(INDEX(Students!$H$4:$H$203,MATCH(B73,Students!$A$4:$A$203,0)),""))</f>
        <v/>
      </c>
      <c r="E73" s="18"/>
      <c r="F73" s="18"/>
      <c r="G73" s="18"/>
      <c r="H73" s="18"/>
      <c r="I73" s="18"/>
      <c r="J73" s="18"/>
      <c r="K73" s="18"/>
      <c r="L73" s="18"/>
    </row>
    <row r="74" customFormat="false" ht="15" hidden="false" customHeight="true" outlineLevel="0" collapsed="false">
      <c r="A74" s="19"/>
      <c r="B74" s="17"/>
      <c r="C74" s="11" t="str">
        <f aca="false">IF(B74="","",IFERROR(INDEX(Students!$B$4:$B$203,MATCH(B74,Students!$A$4:$A$203,0)),""))</f>
        <v/>
      </c>
      <c r="D74" s="11" t="str">
        <f aca="false">IF(B74="","",IFERROR(INDEX(Students!$H$4:$H$203,MATCH(B74,Students!$A$4:$A$203,0)),""))</f>
        <v/>
      </c>
      <c r="E74" s="18"/>
      <c r="F74" s="18"/>
      <c r="G74" s="18"/>
      <c r="H74" s="18"/>
      <c r="I74" s="18"/>
      <c r="J74" s="18"/>
      <c r="K74" s="18"/>
      <c r="L74" s="18"/>
    </row>
    <row r="75" customFormat="false" ht="15" hidden="false" customHeight="true" outlineLevel="0" collapsed="false">
      <c r="A75" s="19"/>
      <c r="B75" s="17"/>
      <c r="C75" s="11" t="str">
        <f aca="false">IF(B75="","",IFERROR(INDEX(Students!$B$4:$B$203,MATCH(B75,Students!$A$4:$A$203,0)),""))</f>
        <v/>
      </c>
      <c r="D75" s="11" t="str">
        <f aca="false">IF(B75="","",IFERROR(INDEX(Students!$H$4:$H$203,MATCH(B75,Students!$A$4:$A$203,0)),""))</f>
        <v/>
      </c>
      <c r="E75" s="18"/>
      <c r="F75" s="18"/>
      <c r="G75" s="18"/>
      <c r="H75" s="18"/>
      <c r="I75" s="18"/>
      <c r="J75" s="18"/>
      <c r="K75" s="18"/>
      <c r="L75" s="18"/>
    </row>
    <row r="76" customFormat="false" ht="15" hidden="false" customHeight="true" outlineLevel="0" collapsed="false">
      <c r="A76" s="19"/>
      <c r="B76" s="17"/>
      <c r="C76" s="11" t="str">
        <f aca="false">IF(B76="","",IFERROR(INDEX(Students!$B$4:$B$203,MATCH(B76,Students!$A$4:$A$203,0)),""))</f>
        <v/>
      </c>
      <c r="D76" s="11" t="str">
        <f aca="false">IF(B76="","",IFERROR(INDEX(Students!$H$4:$H$203,MATCH(B76,Students!$A$4:$A$203,0)),""))</f>
        <v/>
      </c>
      <c r="E76" s="18"/>
      <c r="F76" s="18"/>
      <c r="G76" s="18"/>
      <c r="H76" s="18"/>
      <c r="I76" s="18"/>
      <c r="J76" s="18"/>
      <c r="K76" s="18"/>
      <c r="L76" s="18"/>
    </row>
    <row r="77" customFormat="false" ht="15" hidden="false" customHeight="true" outlineLevel="0" collapsed="false">
      <c r="A77" s="19"/>
      <c r="B77" s="17"/>
      <c r="C77" s="11" t="str">
        <f aca="false">IF(B77="","",IFERROR(INDEX(Students!$B$4:$B$203,MATCH(B77,Students!$A$4:$A$203,0)),""))</f>
        <v/>
      </c>
      <c r="D77" s="11" t="str">
        <f aca="false">IF(B77="","",IFERROR(INDEX(Students!$H$4:$H$203,MATCH(B77,Students!$A$4:$A$203,0)),""))</f>
        <v/>
      </c>
      <c r="E77" s="18"/>
      <c r="F77" s="18"/>
      <c r="G77" s="18"/>
      <c r="H77" s="18"/>
      <c r="I77" s="18"/>
      <c r="J77" s="18"/>
      <c r="K77" s="18"/>
      <c r="L77" s="18"/>
    </row>
    <row r="78" customFormat="false" ht="15" hidden="false" customHeight="true" outlineLevel="0" collapsed="false">
      <c r="A78" s="19"/>
      <c r="B78" s="17"/>
      <c r="C78" s="11" t="str">
        <f aca="false">IF(B78="","",IFERROR(INDEX(Students!$B$4:$B$203,MATCH(B78,Students!$A$4:$A$203,0)),""))</f>
        <v/>
      </c>
      <c r="D78" s="11" t="str">
        <f aca="false">IF(B78="","",IFERROR(INDEX(Students!$H$4:$H$203,MATCH(B78,Students!$A$4:$A$203,0)),""))</f>
        <v/>
      </c>
      <c r="E78" s="18"/>
      <c r="F78" s="18"/>
      <c r="G78" s="18"/>
      <c r="H78" s="18"/>
      <c r="I78" s="18"/>
      <c r="J78" s="18"/>
      <c r="K78" s="18"/>
      <c r="L78" s="18"/>
    </row>
    <row r="79" customFormat="false" ht="15" hidden="false" customHeight="true" outlineLevel="0" collapsed="false">
      <c r="A79" s="19"/>
      <c r="B79" s="17"/>
      <c r="C79" s="11" t="str">
        <f aca="false">IF(B79="","",IFERROR(INDEX(Students!$B$4:$B$203,MATCH(B79,Students!$A$4:$A$203,0)),""))</f>
        <v/>
      </c>
      <c r="D79" s="11" t="str">
        <f aca="false">IF(B79="","",IFERROR(INDEX(Students!$H$4:$H$203,MATCH(B79,Students!$A$4:$A$203,0)),""))</f>
        <v/>
      </c>
      <c r="E79" s="18"/>
      <c r="F79" s="18"/>
      <c r="G79" s="18"/>
      <c r="H79" s="18"/>
      <c r="I79" s="18"/>
      <c r="J79" s="18"/>
      <c r="K79" s="18"/>
      <c r="L79" s="18"/>
    </row>
    <row r="80" customFormat="false" ht="15" hidden="false" customHeight="true" outlineLevel="0" collapsed="false">
      <c r="A80" s="19"/>
      <c r="B80" s="17"/>
      <c r="C80" s="11" t="str">
        <f aca="false">IF(B80="","",IFERROR(INDEX(Students!$B$4:$B$203,MATCH(B80,Students!$A$4:$A$203,0)),""))</f>
        <v/>
      </c>
      <c r="D80" s="11" t="str">
        <f aca="false">IF(B80="","",IFERROR(INDEX(Students!$H$4:$H$203,MATCH(B80,Students!$A$4:$A$203,0)),""))</f>
        <v/>
      </c>
      <c r="E80" s="18"/>
      <c r="F80" s="18"/>
      <c r="G80" s="18"/>
      <c r="H80" s="18"/>
      <c r="I80" s="18"/>
      <c r="J80" s="18"/>
      <c r="K80" s="18"/>
      <c r="L80" s="18"/>
    </row>
    <row r="81" customFormat="false" ht="15" hidden="false" customHeight="true" outlineLevel="0" collapsed="false">
      <c r="A81" s="19"/>
      <c r="B81" s="17"/>
      <c r="C81" s="11" t="str">
        <f aca="false">IF(B81="","",IFERROR(INDEX(Students!$B$4:$B$203,MATCH(B81,Students!$A$4:$A$203,0)),""))</f>
        <v/>
      </c>
      <c r="D81" s="11" t="str">
        <f aca="false">IF(B81="","",IFERROR(INDEX(Students!$H$4:$H$203,MATCH(B81,Students!$A$4:$A$203,0)),""))</f>
        <v/>
      </c>
      <c r="E81" s="18"/>
      <c r="F81" s="18"/>
      <c r="G81" s="18"/>
      <c r="H81" s="18"/>
      <c r="I81" s="18"/>
      <c r="J81" s="18"/>
      <c r="K81" s="18"/>
      <c r="L81" s="18"/>
    </row>
    <row r="82" customFormat="false" ht="15" hidden="false" customHeight="true" outlineLevel="0" collapsed="false">
      <c r="A82" s="19"/>
      <c r="B82" s="17"/>
      <c r="C82" s="11" t="str">
        <f aca="false">IF(B82="","",IFERROR(INDEX(Students!$B$4:$B$203,MATCH(B82,Students!$A$4:$A$203,0)),""))</f>
        <v/>
      </c>
      <c r="D82" s="11" t="str">
        <f aca="false">IF(B82="","",IFERROR(INDEX(Students!$H$4:$H$203,MATCH(B82,Students!$A$4:$A$203,0)),""))</f>
        <v/>
      </c>
      <c r="E82" s="18"/>
      <c r="F82" s="18"/>
      <c r="G82" s="18"/>
      <c r="H82" s="18"/>
      <c r="I82" s="18"/>
      <c r="J82" s="18"/>
      <c r="K82" s="18"/>
      <c r="L82" s="18"/>
    </row>
    <row r="83" customFormat="false" ht="15" hidden="false" customHeight="true" outlineLevel="0" collapsed="false">
      <c r="A83" s="19"/>
      <c r="B83" s="17"/>
      <c r="C83" s="11" t="str">
        <f aca="false">IF(B83="","",IFERROR(INDEX(Students!$B$4:$B$203,MATCH(B83,Students!$A$4:$A$203,0)),""))</f>
        <v/>
      </c>
      <c r="D83" s="11" t="str">
        <f aca="false">IF(B83="","",IFERROR(INDEX(Students!$H$4:$H$203,MATCH(B83,Students!$A$4:$A$203,0)),""))</f>
        <v/>
      </c>
      <c r="E83" s="18"/>
      <c r="F83" s="18"/>
      <c r="G83" s="18"/>
      <c r="H83" s="18"/>
      <c r="I83" s="18"/>
      <c r="J83" s="18"/>
      <c r="K83" s="18"/>
      <c r="L83" s="18"/>
    </row>
    <row r="84" customFormat="false" ht="15" hidden="false" customHeight="true" outlineLevel="0" collapsed="false">
      <c r="A84" s="19"/>
      <c r="B84" s="17"/>
      <c r="C84" s="11" t="str">
        <f aca="false">IF(B84="","",IFERROR(INDEX(Students!$B$4:$B$203,MATCH(B84,Students!$A$4:$A$203,0)),""))</f>
        <v/>
      </c>
      <c r="D84" s="11" t="str">
        <f aca="false">IF(B84="","",IFERROR(INDEX(Students!$H$4:$H$203,MATCH(B84,Students!$A$4:$A$203,0)),""))</f>
        <v/>
      </c>
      <c r="E84" s="18"/>
      <c r="F84" s="18"/>
      <c r="G84" s="18"/>
      <c r="H84" s="18"/>
      <c r="I84" s="18"/>
      <c r="J84" s="18"/>
      <c r="K84" s="18"/>
      <c r="L84" s="18"/>
    </row>
    <row r="85" customFormat="false" ht="15" hidden="false" customHeight="true" outlineLevel="0" collapsed="false">
      <c r="A85" s="19"/>
      <c r="B85" s="17"/>
      <c r="C85" s="11" t="str">
        <f aca="false">IF(B85="","",IFERROR(INDEX(Students!$B$4:$B$203,MATCH(B85,Students!$A$4:$A$203,0)),""))</f>
        <v/>
      </c>
      <c r="D85" s="11" t="str">
        <f aca="false">IF(B85="","",IFERROR(INDEX(Students!$H$4:$H$203,MATCH(B85,Students!$A$4:$A$203,0)),""))</f>
        <v/>
      </c>
      <c r="E85" s="18"/>
      <c r="F85" s="18"/>
      <c r="G85" s="18"/>
      <c r="H85" s="18"/>
      <c r="I85" s="18"/>
      <c r="J85" s="18"/>
      <c r="K85" s="18"/>
      <c r="L85" s="18"/>
    </row>
    <row r="86" customFormat="false" ht="15" hidden="false" customHeight="true" outlineLevel="0" collapsed="false">
      <c r="A86" s="19"/>
      <c r="B86" s="17"/>
      <c r="C86" s="11" t="str">
        <f aca="false">IF(B86="","",IFERROR(INDEX(Students!$B$4:$B$203,MATCH(B86,Students!$A$4:$A$203,0)),""))</f>
        <v/>
      </c>
      <c r="D86" s="11" t="str">
        <f aca="false">IF(B86="","",IFERROR(INDEX(Students!$H$4:$H$203,MATCH(B86,Students!$A$4:$A$203,0)),""))</f>
        <v/>
      </c>
      <c r="E86" s="18"/>
      <c r="F86" s="18"/>
      <c r="G86" s="18"/>
      <c r="H86" s="18"/>
      <c r="I86" s="18"/>
      <c r="J86" s="18"/>
      <c r="K86" s="18"/>
      <c r="L86" s="18"/>
    </row>
    <row r="87" customFormat="false" ht="15" hidden="false" customHeight="true" outlineLevel="0" collapsed="false">
      <c r="A87" s="19"/>
      <c r="B87" s="17"/>
      <c r="C87" s="11" t="str">
        <f aca="false">IF(B87="","",IFERROR(INDEX(Students!$B$4:$B$203,MATCH(B87,Students!$A$4:$A$203,0)),""))</f>
        <v/>
      </c>
      <c r="D87" s="11" t="str">
        <f aca="false">IF(B87="","",IFERROR(INDEX(Students!$H$4:$H$203,MATCH(B87,Students!$A$4:$A$203,0)),""))</f>
        <v/>
      </c>
      <c r="E87" s="18"/>
      <c r="F87" s="18"/>
      <c r="G87" s="18"/>
      <c r="H87" s="18"/>
      <c r="I87" s="18"/>
      <c r="J87" s="18"/>
      <c r="K87" s="18"/>
      <c r="L87" s="18"/>
    </row>
    <row r="88" customFormat="false" ht="15" hidden="false" customHeight="true" outlineLevel="0" collapsed="false">
      <c r="A88" s="19"/>
      <c r="B88" s="17"/>
      <c r="C88" s="11" t="str">
        <f aca="false">IF(B88="","",IFERROR(INDEX(Students!$B$4:$B$203,MATCH(B88,Students!$A$4:$A$203,0)),""))</f>
        <v/>
      </c>
      <c r="D88" s="11" t="str">
        <f aca="false">IF(B88="","",IFERROR(INDEX(Students!$H$4:$H$203,MATCH(B88,Students!$A$4:$A$203,0)),""))</f>
        <v/>
      </c>
      <c r="E88" s="18"/>
      <c r="F88" s="18"/>
      <c r="G88" s="18"/>
      <c r="H88" s="18"/>
      <c r="I88" s="18"/>
      <c r="J88" s="18"/>
      <c r="K88" s="18"/>
      <c r="L88" s="18"/>
    </row>
    <row r="89" customFormat="false" ht="15" hidden="false" customHeight="true" outlineLevel="0" collapsed="false">
      <c r="A89" s="19"/>
      <c r="B89" s="17"/>
      <c r="C89" s="11" t="str">
        <f aca="false">IF(B89="","",IFERROR(INDEX(Students!$B$4:$B$203,MATCH(B89,Students!$A$4:$A$203,0)),""))</f>
        <v/>
      </c>
      <c r="D89" s="11" t="str">
        <f aca="false">IF(B89="","",IFERROR(INDEX(Students!$H$4:$H$203,MATCH(B89,Students!$A$4:$A$203,0)),""))</f>
        <v/>
      </c>
      <c r="E89" s="18"/>
      <c r="F89" s="18"/>
      <c r="G89" s="18"/>
      <c r="H89" s="18"/>
      <c r="I89" s="18"/>
      <c r="J89" s="18"/>
      <c r="K89" s="18"/>
      <c r="L89" s="18"/>
    </row>
    <row r="90" customFormat="false" ht="15" hidden="false" customHeight="true" outlineLevel="0" collapsed="false">
      <c r="A90" s="19"/>
      <c r="B90" s="17"/>
      <c r="C90" s="11" t="str">
        <f aca="false">IF(B90="","",IFERROR(INDEX(Students!$B$4:$B$203,MATCH(B90,Students!$A$4:$A$203,0)),""))</f>
        <v/>
      </c>
      <c r="D90" s="11" t="str">
        <f aca="false">IF(B90="","",IFERROR(INDEX(Students!$H$4:$H$203,MATCH(B90,Students!$A$4:$A$203,0)),""))</f>
        <v/>
      </c>
      <c r="E90" s="18"/>
      <c r="F90" s="18"/>
      <c r="G90" s="18"/>
      <c r="H90" s="18"/>
      <c r="I90" s="18"/>
      <c r="J90" s="18"/>
      <c r="K90" s="18"/>
      <c r="L90" s="18"/>
    </row>
    <row r="91" customFormat="false" ht="15" hidden="false" customHeight="true" outlineLevel="0" collapsed="false">
      <c r="A91" s="19"/>
      <c r="B91" s="17"/>
      <c r="C91" s="11" t="str">
        <f aca="false">IF(B91="","",IFERROR(INDEX(Students!$B$4:$B$203,MATCH(B91,Students!$A$4:$A$203,0)),""))</f>
        <v/>
      </c>
      <c r="D91" s="11" t="str">
        <f aca="false">IF(B91="","",IFERROR(INDEX(Students!$H$4:$H$203,MATCH(B91,Students!$A$4:$A$203,0)),""))</f>
        <v/>
      </c>
      <c r="E91" s="18"/>
      <c r="F91" s="18"/>
      <c r="G91" s="18"/>
      <c r="H91" s="18"/>
      <c r="I91" s="18"/>
      <c r="J91" s="18"/>
      <c r="K91" s="18"/>
      <c r="L91" s="18"/>
    </row>
    <row r="92" customFormat="false" ht="15" hidden="false" customHeight="true" outlineLevel="0" collapsed="false">
      <c r="A92" s="19"/>
      <c r="B92" s="17"/>
      <c r="C92" s="11" t="str">
        <f aca="false">IF(B92="","",IFERROR(INDEX(Students!$B$4:$B$203,MATCH(B92,Students!$A$4:$A$203,0)),""))</f>
        <v/>
      </c>
      <c r="D92" s="11" t="str">
        <f aca="false">IF(B92="","",IFERROR(INDEX(Students!$H$4:$H$203,MATCH(B92,Students!$A$4:$A$203,0)),""))</f>
        <v/>
      </c>
      <c r="E92" s="18"/>
      <c r="F92" s="18"/>
      <c r="G92" s="18"/>
      <c r="H92" s="18"/>
      <c r="I92" s="18"/>
      <c r="J92" s="18"/>
      <c r="K92" s="18"/>
      <c r="L92" s="18"/>
    </row>
    <row r="93" customFormat="false" ht="15" hidden="false" customHeight="true" outlineLevel="0" collapsed="false">
      <c r="A93" s="19"/>
      <c r="B93" s="17"/>
      <c r="C93" s="11" t="str">
        <f aca="false">IF(B93="","",IFERROR(INDEX(Students!$B$4:$B$203,MATCH(B93,Students!$A$4:$A$203,0)),""))</f>
        <v/>
      </c>
      <c r="D93" s="11" t="str">
        <f aca="false">IF(B93="","",IFERROR(INDEX(Students!$H$4:$H$203,MATCH(B93,Students!$A$4:$A$203,0)),""))</f>
        <v/>
      </c>
      <c r="E93" s="18"/>
      <c r="F93" s="18"/>
      <c r="G93" s="18"/>
      <c r="H93" s="18"/>
      <c r="I93" s="18"/>
      <c r="J93" s="18"/>
      <c r="K93" s="18"/>
      <c r="L93" s="18"/>
    </row>
    <row r="94" customFormat="false" ht="15" hidden="false" customHeight="true" outlineLevel="0" collapsed="false">
      <c r="A94" s="19"/>
      <c r="B94" s="17"/>
      <c r="C94" s="11" t="str">
        <f aca="false">IF(B94="","",IFERROR(INDEX(Students!$B$4:$B$203,MATCH(B94,Students!$A$4:$A$203,0)),""))</f>
        <v/>
      </c>
      <c r="D94" s="11" t="str">
        <f aca="false">IF(B94="","",IFERROR(INDEX(Students!$H$4:$H$203,MATCH(B94,Students!$A$4:$A$203,0)),""))</f>
        <v/>
      </c>
      <c r="E94" s="18"/>
      <c r="F94" s="18"/>
      <c r="G94" s="18"/>
      <c r="H94" s="18"/>
      <c r="I94" s="18"/>
      <c r="J94" s="18"/>
      <c r="K94" s="18"/>
      <c r="L94" s="18"/>
    </row>
    <row r="95" customFormat="false" ht="15" hidden="false" customHeight="true" outlineLevel="0" collapsed="false">
      <c r="A95" s="19"/>
      <c r="B95" s="17"/>
      <c r="C95" s="11" t="str">
        <f aca="false">IF(B95="","",IFERROR(INDEX(Students!$B$4:$B$203,MATCH(B95,Students!$A$4:$A$203,0)),""))</f>
        <v/>
      </c>
      <c r="D95" s="11" t="str">
        <f aca="false">IF(B95="","",IFERROR(INDEX(Students!$H$4:$H$203,MATCH(B95,Students!$A$4:$A$203,0)),""))</f>
        <v/>
      </c>
      <c r="E95" s="18"/>
      <c r="F95" s="18"/>
      <c r="G95" s="18"/>
      <c r="H95" s="18"/>
      <c r="I95" s="18"/>
      <c r="J95" s="18"/>
      <c r="K95" s="18"/>
      <c r="L95" s="18"/>
    </row>
    <row r="96" customFormat="false" ht="15" hidden="false" customHeight="true" outlineLevel="0" collapsed="false">
      <c r="A96" s="19"/>
      <c r="B96" s="17"/>
      <c r="C96" s="11" t="str">
        <f aca="false">IF(B96="","",IFERROR(INDEX(Students!$B$4:$B$203,MATCH(B96,Students!$A$4:$A$203,0)),""))</f>
        <v/>
      </c>
      <c r="D96" s="11" t="str">
        <f aca="false">IF(B96="","",IFERROR(INDEX(Students!$H$4:$H$203,MATCH(B96,Students!$A$4:$A$203,0)),""))</f>
        <v/>
      </c>
      <c r="E96" s="18"/>
      <c r="F96" s="18"/>
      <c r="G96" s="18"/>
      <c r="H96" s="18"/>
      <c r="I96" s="18"/>
      <c r="J96" s="18"/>
      <c r="K96" s="18"/>
      <c r="L96" s="18"/>
    </row>
    <row r="97" customFormat="false" ht="15" hidden="false" customHeight="true" outlineLevel="0" collapsed="false">
      <c r="A97" s="19"/>
      <c r="B97" s="17"/>
      <c r="C97" s="11" t="str">
        <f aca="false">IF(B97="","",IFERROR(INDEX(Students!$B$4:$B$203,MATCH(B97,Students!$A$4:$A$203,0)),""))</f>
        <v/>
      </c>
      <c r="D97" s="11" t="str">
        <f aca="false">IF(B97="","",IFERROR(INDEX(Students!$H$4:$H$203,MATCH(B97,Students!$A$4:$A$203,0)),""))</f>
        <v/>
      </c>
      <c r="E97" s="18"/>
      <c r="F97" s="18"/>
      <c r="G97" s="18"/>
      <c r="H97" s="18"/>
      <c r="I97" s="18"/>
      <c r="J97" s="18"/>
      <c r="K97" s="18"/>
      <c r="L97" s="18"/>
    </row>
    <row r="98" customFormat="false" ht="15" hidden="false" customHeight="true" outlineLevel="0" collapsed="false">
      <c r="A98" s="19"/>
      <c r="B98" s="17"/>
      <c r="C98" s="11" t="str">
        <f aca="false">IF(B98="","",IFERROR(INDEX(Students!$B$4:$B$203,MATCH(B98,Students!$A$4:$A$203,0)),""))</f>
        <v/>
      </c>
      <c r="D98" s="11" t="str">
        <f aca="false">IF(B98="","",IFERROR(INDEX(Students!$H$4:$H$203,MATCH(B98,Students!$A$4:$A$203,0)),""))</f>
        <v/>
      </c>
      <c r="E98" s="18"/>
      <c r="F98" s="18"/>
      <c r="G98" s="18"/>
      <c r="H98" s="18"/>
      <c r="I98" s="18"/>
      <c r="J98" s="18"/>
      <c r="K98" s="18"/>
      <c r="L98" s="18"/>
    </row>
    <row r="99" customFormat="false" ht="15" hidden="false" customHeight="true" outlineLevel="0" collapsed="false">
      <c r="A99" s="19"/>
      <c r="B99" s="17"/>
      <c r="C99" s="11" t="str">
        <f aca="false">IF(B99="","",IFERROR(INDEX(Students!$B$4:$B$203,MATCH(B99,Students!$A$4:$A$203,0)),""))</f>
        <v/>
      </c>
      <c r="D99" s="11" t="str">
        <f aca="false">IF(B99="","",IFERROR(INDEX(Students!$H$4:$H$203,MATCH(B99,Students!$A$4:$A$203,0)),""))</f>
        <v/>
      </c>
      <c r="E99" s="18"/>
      <c r="F99" s="18"/>
      <c r="G99" s="18"/>
      <c r="H99" s="18"/>
      <c r="I99" s="18"/>
      <c r="J99" s="18"/>
      <c r="K99" s="18"/>
      <c r="L99" s="18"/>
    </row>
    <row r="100" customFormat="false" ht="15" hidden="false" customHeight="true" outlineLevel="0" collapsed="false">
      <c r="A100" s="19"/>
      <c r="B100" s="17"/>
      <c r="C100" s="11" t="str">
        <f aca="false">IF(B100="","",IFERROR(INDEX(Students!$B$4:$B$203,MATCH(B100,Students!$A$4:$A$203,0)),""))</f>
        <v/>
      </c>
      <c r="D100" s="11" t="str">
        <f aca="false">IF(B100="","",IFERROR(INDEX(Students!$H$4:$H$203,MATCH(B100,Students!$A$4:$A$203,0)),""))</f>
        <v/>
      </c>
      <c r="E100" s="18"/>
      <c r="F100" s="18"/>
      <c r="G100" s="18"/>
      <c r="H100" s="18"/>
      <c r="I100" s="18"/>
      <c r="J100" s="18"/>
      <c r="K100" s="18"/>
      <c r="L100" s="18"/>
    </row>
    <row r="101" customFormat="false" ht="15" hidden="false" customHeight="true" outlineLevel="0" collapsed="false">
      <c r="A101" s="19"/>
      <c r="B101" s="17"/>
      <c r="C101" s="11" t="str">
        <f aca="false">IF(B101="","",IFERROR(INDEX(Students!$B$4:$B$203,MATCH(B101,Students!$A$4:$A$203,0)),""))</f>
        <v/>
      </c>
      <c r="D101" s="11" t="str">
        <f aca="false">IF(B101="","",IFERROR(INDEX(Students!$H$4:$H$203,MATCH(B101,Students!$A$4:$A$203,0)),""))</f>
        <v/>
      </c>
      <c r="E101" s="18"/>
      <c r="F101" s="18"/>
      <c r="G101" s="18"/>
      <c r="H101" s="18"/>
      <c r="I101" s="18"/>
      <c r="J101" s="18"/>
      <c r="K101" s="18"/>
      <c r="L101" s="18"/>
    </row>
    <row r="102" customFormat="false" ht="15" hidden="false" customHeight="true" outlineLevel="0" collapsed="false">
      <c r="A102" s="19"/>
      <c r="B102" s="17"/>
      <c r="C102" s="11" t="str">
        <f aca="false">IF(B102="","",IFERROR(INDEX(Students!$B$4:$B$203,MATCH(B102,Students!$A$4:$A$203,0)),""))</f>
        <v/>
      </c>
      <c r="D102" s="11" t="str">
        <f aca="false">IF(B102="","",IFERROR(INDEX(Students!$H$4:$H$203,MATCH(B102,Students!$A$4:$A$203,0)),""))</f>
        <v/>
      </c>
      <c r="E102" s="18"/>
      <c r="F102" s="18"/>
      <c r="G102" s="18"/>
      <c r="H102" s="18"/>
      <c r="I102" s="18"/>
      <c r="J102" s="18"/>
      <c r="K102" s="18"/>
      <c r="L102" s="18"/>
    </row>
    <row r="103" customFormat="false" ht="15" hidden="false" customHeight="true" outlineLevel="0" collapsed="false">
      <c r="A103" s="19"/>
      <c r="B103" s="17"/>
      <c r="C103" s="11" t="str">
        <f aca="false">IF(B103="","",IFERROR(INDEX(Students!$B$4:$B$203,MATCH(B103,Students!$A$4:$A$203,0)),""))</f>
        <v/>
      </c>
      <c r="D103" s="11" t="str">
        <f aca="false">IF(B103="","",IFERROR(INDEX(Students!$H$4:$H$203,MATCH(B103,Students!$A$4:$A$203,0)),""))</f>
        <v/>
      </c>
      <c r="E103" s="18"/>
      <c r="F103" s="18"/>
      <c r="G103" s="18"/>
      <c r="H103" s="18"/>
      <c r="I103" s="18"/>
      <c r="J103" s="18"/>
      <c r="K103" s="18"/>
      <c r="L103" s="18"/>
    </row>
    <row r="104" customFormat="false" ht="15" hidden="false" customHeight="true" outlineLevel="0" collapsed="false">
      <c r="A104" s="19"/>
      <c r="B104" s="17"/>
      <c r="C104" s="11" t="str">
        <f aca="false">IF(B104="","",IFERROR(INDEX(Students!$B$4:$B$203,MATCH(B104,Students!$A$4:$A$203,0)),""))</f>
        <v/>
      </c>
      <c r="D104" s="11" t="str">
        <f aca="false">IF(B104="","",IFERROR(INDEX(Students!$H$4:$H$203,MATCH(B104,Students!$A$4:$A$203,0)),""))</f>
        <v/>
      </c>
      <c r="E104" s="18"/>
      <c r="F104" s="18"/>
      <c r="G104" s="18"/>
      <c r="H104" s="18"/>
      <c r="I104" s="18"/>
      <c r="J104" s="18"/>
      <c r="K104" s="18"/>
      <c r="L104" s="18"/>
    </row>
    <row r="105" customFormat="false" ht="15" hidden="false" customHeight="true" outlineLevel="0" collapsed="false">
      <c r="A105" s="19"/>
      <c r="B105" s="17"/>
      <c r="C105" s="11" t="str">
        <f aca="false">IF(B105="","",IFERROR(INDEX(Students!$B$4:$B$203,MATCH(B105,Students!$A$4:$A$203,0)),""))</f>
        <v/>
      </c>
      <c r="D105" s="11" t="str">
        <f aca="false">IF(B105="","",IFERROR(INDEX(Students!$H$4:$H$203,MATCH(B105,Students!$A$4:$A$203,0)),""))</f>
        <v/>
      </c>
      <c r="E105" s="18"/>
      <c r="F105" s="18"/>
      <c r="G105" s="18"/>
      <c r="H105" s="18"/>
      <c r="I105" s="18"/>
      <c r="J105" s="18"/>
      <c r="K105" s="18"/>
      <c r="L105" s="18"/>
    </row>
    <row r="106" customFormat="false" ht="15" hidden="false" customHeight="true" outlineLevel="0" collapsed="false">
      <c r="A106" s="19"/>
      <c r="B106" s="17"/>
      <c r="C106" s="11" t="str">
        <f aca="false">IF(B106="","",IFERROR(INDEX(Students!$B$4:$B$203,MATCH(B106,Students!$A$4:$A$203,0)),""))</f>
        <v/>
      </c>
      <c r="D106" s="11" t="str">
        <f aca="false">IF(B106="","",IFERROR(INDEX(Students!$H$4:$H$203,MATCH(B106,Students!$A$4:$A$203,0)),""))</f>
        <v/>
      </c>
      <c r="E106" s="18"/>
      <c r="F106" s="18"/>
      <c r="G106" s="18"/>
      <c r="H106" s="18"/>
      <c r="I106" s="18"/>
      <c r="J106" s="18"/>
      <c r="K106" s="18"/>
      <c r="L106" s="18"/>
    </row>
    <row r="107" customFormat="false" ht="15" hidden="false" customHeight="true" outlineLevel="0" collapsed="false">
      <c r="A107" s="19"/>
      <c r="B107" s="17"/>
      <c r="C107" s="11" t="str">
        <f aca="false">IF(B107="","",IFERROR(INDEX(Students!$B$4:$B$203,MATCH(B107,Students!$A$4:$A$203,0)),""))</f>
        <v/>
      </c>
      <c r="D107" s="11" t="str">
        <f aca="false">IF(B107="","",IFERROR(INDEX(Students!$H$4:$H$203,MATCH(B107,Students!$A$4:$A$203,0)),""))</f>
        <v/>
      </c>
      <c r="E107" s="18"/>
      <c r="F107" s="18"/>
      <c r="G107" s="18"/>
      <c r="H107" s="18"/>
      <c r="I107" s="18"/>
      <c r="J107" s="18"/>
      <c r="K107" s="18"/>
      <c r="L107" s="18"/>
    </row>
    <row r="108" customFormat="false" ht="15" hidden="false" customHeight="true" outlineLevel="0" collapsed="false">
      <c r="A108" s="19"/>
      <c r="B108" s="17"/>
      <c r="C108" s="11" t="str">
        <f aca="false">IF(B108="","",IFERROR(INDEX(Students!$B$4:$B$203,MATCH(B108,Students!$A$4:$A$203,0)),""))</f>
        <v/>
      </c>
      <c r="D108" s="11" t="str">
        <f aca="false">IF(B108="","",IFERROR(INDEX(Students!$H$4:$H$203,MATCH(B108,Students!$A$4:$A$203,0)),""))</f>
        <v/>
      </c>
      <c r="E108" s="18"/>
      <c r="F108" s="18"/>
      <c r="G108" s="18"/>
      <c r="H108" s="18"/>
      <c r="I108" s="18"/>
      <c r="J108" s="18"/>
      <c r="K108" s="18"/>
      <c r="L108" s="18"/>
    </row>
    <row r="109" customFormat="false" ht="15" hidden="false" customHeight="true" outlineLevel="0" collapsed="false">
      <c r="A109" s="19"/>
      <c r="B109" s="17"/>
      <c r="C109" s="11" t="str">
        <f aca="false">IF(B109="","",IFERROR(INDEX(Students!$B$4:$B$203,MATCH(B109,Students!$A$4:$A$203,0)),""))</f>
        <v/>
      </c>
      <c r="D109" s="11" t="str">
        <f aca="false">IF(B109="","",IFERROR(INDEX(Students!$H$4:$H$203,MATCH(B109,Students!$A$4:$A$203,0)),""))</f>
        <v/>
      </c>
      <c r="E109" s="18"/>
      <c r="F109" s="18"/>
      <c r="G109" s="18"/>
      <c r="H109" s="18"/>
      <c r="I109" s="18"/>
      <c r="J109" s="18"/>
      <c r="K109" s="18"/>
      <c r="L109" s="18"/>
    </row>
    <row r="110" customFormat="false" ht="15" hidden="false" customHeight="true" outlineLevel="0" collapsed="false">
      <c r="A110" s="19"/>
      <c r="B110" s="17"/>
      <c r="C110" s="11" t="str">
        <f aca="false">IF(B110="","",IFERROR(INDEX(Students!$B$4:$B$203,MATCH(B110,Students!$A$4:$A$203,0)),""))</f>
        <v/>
      </c>
      <c r="D110" s="11" t="str">
        <f aca="false">IF(B110="","",IFERROR(INDEX(Students!$H$4:$H$203,MATCH(B110,Students!$A$4:$A$203,0)),""))</f>
        <v/>
      </c>
      <c r="E110" s="18"/>
      <c r="F110" s="18"/>
      <c r="G110" s="18"/>
      <c r="H110" s="18"/>
      <c r="I110" s="18"/>
      <c r="J110" s="18"/>
      <c r="K110" s="18"/>
      <c r="L110" s="18"/>
    </row>
    <row r="111" customFormat="false" ht="15" hidden="false" customHeight="true" outlineLevel="0" collapsed="false">
      <c r="A111" s="19"/>
      <c r="B111" s="17"/>
      <c r="C111" s="11" t="str">
        <f aca="false">IF(B111="","",IFERROR(INDEX(Students!$B$4:$B$203,MATCH(B111,Students!$A$4:$A$203,0)),""))</f>
        <v/>
      </c>
      <c r="D111" s="11" t="str">
        <f aca="false">IF(B111="","",IFERROR(INDEX(Students!$H$4:$H$203,MATCH(B111,Students!$A$4:$A$203,0)),""))</f>
        <v/>
      </c>
      <c r="E111" s="18"/>
      <c r="F111" s="18"/>
      <c r="G111" s="18"/>
      <c r="H111" s="18"/>
      <c r="I111" s="18"/>
      <c r="J111" s="18"/>
      <c r="K111" s="18"/>
      <c r="L111" s="18"/>
    </row>
    <row r="112" customFormat="false" ht="15" hidden="false" customHeight="true" outlineLevel="0" collapsed="false">
      <c r="A112" s="19"/>
      <c r="B112" s="17"/>
      <c r="C112" s="11" t="str">
        <f aca="false">IF(B112="","",IFERROR(INDEX(Students!$B$4:$B$203,MATCH(B112,Students!$A$4:$A$203,0)),""))</f>
        <v/>
      </c>
      <c r="D112" s="11" t="str">
        <f aca="false">IF(B112="","",IFERROR(INDEX(Students!$H$4:$H$203,MATCH(B112,Students!$A$4:$A$203,0)),""))</f>
        <v/>
      </c>
      <c r="E112" s="18"/>
      <c r="F112" s="18"/>
      <c r="G112" s="18"/>
      <c r="H112" s="18"/>
      <c r="I112" s="18"/>
      <c r="J112" s="18"/>
      <c r="K112" s="18"/>
      <c r="L112" s="18"/>
    </row>
    <row r="113" customFormat="false" ht="15" hidden="false" customHeight="true" outlineLevel="0" collapsed="false">
      <c r="A113" s="19"/>
      <c r="B113" s="17"/>
      <c r="C113" s="11" t="str">
        <f aca="false">IF(B113="","",IFERROR(INDEX(Students!$B$4:$B$203,MATCH(B113,Students!$A$4:$A$203,0)),""))</f>
        <v/>
      </c>
      <c r="D113" s="11" t="str">
        <f aca="false">IF(B113="","",IFERROR(INDEX(Students!$H$4:$H$203,MATCH(B113,Students!$A$4:$A$203,0)),""))</f>
        <v/>
      </c>
      <c r="E113" s="18"/>
      <c r="F113" s="18"/>
      <c r="G113" s="18"/>
      <c r="H113" s="18"/>
      <c r="I113" s="18"/>
      <c r="J113" s="18"/>
      <c r="K113" s="18"/>
      <c r="L113" s="18"/>
    </row>
    <row r="114" customFormat="false" ht="15" hidden="false" customHeight="true" outlineLevel="0" collapsed="false">
      <c r="A114" s="19"/>
      <c r="B114" s="17"/>
      <c r="C114" s="11" t="str">
        <f aca="false">IF(B114="","",IFERROR(INDEX(Students!$B$4:$B$203,MATCH(B114,Students!$A$4:$A$203,0)),""))</f>
        <v/>
      </c>
      <c r="D114" s="11" t="str">
        <f aca="false">IF(B114="","",IFERROR(INDEX(Students!$H$4:$H$203,MATCH(B114,Students!$A$4:$A$203,0)),""))</f>
        <v/>
      </c>
      <c r="E114" s="18"/>
      <c r="F114" s="18"/>
      <c r="G114" s="18"/>
      <c r="H114" s="18"/>
      <c r="I114" s="18"/>
      <c r="J114" s="18"/>
      <c r="K114" s="18"/>
      <c r="L114" s="18"/>
    </row>
    <row r="115" customFormat="false" ht="15" hidden="false" customHeight="true" outlineLevel="0" collapsed="false">
      <c r="A115" s="19"/>
      <c r="B115" s="17"/>
      <c r="C115" s="11" t="str">
        <f aca="false">IF(B115="","",IFERROR(INDEX(Students!$B$4:$B$203,MATCH(B115,Students!$A$4:$A$203,0)),""))</f>
        <v/>
      </c>
      <c r="D115" s="11" t="str">
        <f aca="false">IF(B115="","",IFERROR(INDEX(Students!$H$4:$H$203,MATCH(B115,Students!$A$4:$A$203,0)),""))</f>
        <v/>
      </c>
      <c r="E115" s="18"/>
      <c r="F115" s="18"/>
      <c r="G115" s="18"/>
      <c r="H115" s="18"/>
      <c r="I115" s="18"/>
      <c r="J115" s="18"/>
      <c r="K115" s="18"/>
      <c r="L115" s="18"/>
    </row>
    <row r="116" customFormat="false" ht="15" hidden="false" customHeight="true" outlineLevel="0" collapsed="false">
      <c r="A116" s="19"/>
      <c r="B116" s="17"/>
      <c r="C116" s="11" t="str">
        <f aca="false">IF(B116="","",IFERROR(INDEX(Students!$B$4:$B$203,MATCH(B116,Students!$A$4:$A$203,0)),""))</f>
        <v/>
      </c>
      <c r="D116" s="11" t="str">
        <f aca="false">IF(B116="","",IFERROR(INDEX(Students!$H$4:$H$203,MATCH(B116,Students!$A$4:$A$203,0)),""))</f>
        <v/>
      </c>
      <c r="E116" s="18"/>
      <c r="F116" s="18"/>
      <c r="G116" s="18"/>
      <c r="H116" s="18"/>
      <c r="I116" s="18"/>
      <c r="J116" s="18"/>
      <c r="K116" s="18"/>
      <c r="L116" s="18"/>
    </row>
    <row r="117" customFormat="false" ht="15" hidden="false" customHeight="true" outlineLevel="0" collapsed="false">
      <c r="A117" s="19"/>
      <c r="B117" s="17"/>
      <c r="C117" s="11" t="str">
        <f aca="false">IF(B117="","",IFERROR(INDEX(Students!$B$4:$B$203,MATCH(B117,Students!$A$4:$A$203,0)),""))</f>
        <v/>
      </c>
      <c r="D117" s="11" t="str">
        <f aca="false">IF(B117="","",IFERROR(INDEX(Students!$H$4:$H$203,MATCH(B117,Students!$A$4:$A$203,0)),""))</f>
        <v/>
      </c>
      <c r="E117" s="18"/>
      <c r="F117" s="18"/>
      <c r="G117" s="18"/>
      <c r="H117" s="18"/>
      <c r="I117" s="18"/>
      <c r="J117" s="18"/>
      <c r="K117" s="18"/>
      <c r="L117" s="18"/>
    </row>
    <row r="118" customFormat="false" ht="15" hidden="false" customHeight="true" outlineLevel="0" collapsed="false">
      <c r="A118" s="19"/>
      <c r="B118" s="17"/>
      <c r="C118" s="11" t="str">
        <f aca="false">IF(B118="","",IFERROR(INDEX(Students!$B$4:$B$203,MATCH(B118,Students!$A$4:$A$203,0)),""))</f>
        <v/>
      </c>
      <c r="D118" s="11" t="str">
        <f aca="false">IF(B118="","",IFERROR(INDEX(Students!$H$4:$H$203,MATCH(B118,Students!$A$4:$A$203,0)),""))</f>
        <v/>
      </c>
      <c r="E118" s="18"/>
      <c r="F118" s="18"/>
      <c r="G118" s="18"/>
      <c r="H118" s="18"/>
      <c r="I118" s="18"/>
      <c r="J118" s="18"/>
      <c r="K118" s="18"/>
      <c r="L118" s="18"/>
    </row>
    <row r="119" customFormat="false" ht="15" hidden="false" customHeight="true" outlineLevel="0" collapsed="false">
      <c r="A119" s="19"/>
      <c r="B119" s="17"/>
      <c r="C119" s="11" t="str">
        <f aca="false">IF(B119="","",IFERROR(INDEX(Students!$B$4:$B$203,MATCH(B119,Students!$A$4:$A$203,0)),""))</f>
        <v/>
      </c>
      <c r="D119" s="11" t="str">
        <f aca="false">IF(B119="","",IFERROR(INDEX(Students!$H$4:$H$203,MATCH(B119,Students!$A$4:$A$203,0)),""))</f>
        <v/>
      </c>
      <c r="E119" s="18"/>
      <c r="F119" s="18"/>
      <c r="G119" s="18"/>
      <c r="H119" s="18"/>
      <c r="I119" s="18"/>
      <c r="J119" s="18"/>
      <c r="K119" s="18"/>
      <c r="L119" s="18"/>
    </row>
    <row r="120" customFormat="false" ht="15" hidden="false" customHeight="true" outlineLevel="0" collapsed="false">
      <c r="A120" s="19"/>
      <c r="B120" s="17"/>
      <c r="C120" s="11" t="str">
        <f aca="false">IF(B120="","",IFERROR(INDEX(Students!$B$4:$B$203,MATCH(B120,Students!$A$4:$A$203,0)),""))</f>
        <v/>
      </c>
      <c r="D120" s="11" t="str">
        <f aca="false">IF(B120="","",IFERROR(INDEX(Students!$H$4:$H$203,MATCH(B120,Students!$A$4:$A$203,0)),""))</f>
        <v/>
      </c>
      <c r="E120" s="18"/>
      <c r="F120" s="18"/>
      <c r="G120" s="18"/>
      <c r="H120" s="18"/>
      <c r="I120" s="18"/>
      <c r="J120" s="18"/>
      <c r="K120" s="18"/>
      <c r="L120" s="18"/>
    </row>
    <row r="121" customFormat="false" ht="15" hidden="false" customHeight="true" outlineLevel="0" collapsed="false">
      <c r="A121" s="19"/>
      <c r="B121" s="17"/>
      <c r="C121" s="11" t="str">
        <f aca="false">IF(B121="","",IFERROR(INDEX(Students!$B$4:$B$203,MATCH(B121,Students!$A$4:$A$203,0)),""))</f>
        <v/>
      </c>
      <c r="D121" s="11" t="str">
        <f aca="false">IF(B121="","",IFERROR(INDEX(Students!$H$4:$H$203,MATCH(B121,Students!$A$4:$A$203,0)),""))</f>
        <v/>
      </c>
      <c r="E121" s="18"/>
      <c r="F121" s="18"/>
      <c r="G121" s="18"/>
      <c r="H121" s="18"/>
      <c r="I121" s="18"/>
      <c r="J121" s="18"/>
      <c r="K121" s="18"/>
      <c r="L121" s="18"/>
    </row>
    <row r="122" customFormat="false" ht="15" hidden="false" customHeight="true" outlineLevel="0" collapsed="false">
      <c r="A122" s="19"/>
      <c r="B122" s="17"/>
      <c r="C122" s="11" t="str">
        <f aca="false">IF(B122="","",IFERROR(INDEX(Students!$B$4:$B$203,MATCH(B122,Students!$A$4:$A$203,0)),""))</f>
        <v/>
      </c>
      <c r="D122" s="11" t="str">
        <f aca="false">IF(B122="","",IFERROR(INDEX(Students!$H$4:$H$203,MATCH(B122,Students!$A$4:$A$203,0)),""))</f>
        <v/>
      </c>
      <c r="E122" s="18"/>
      <c r="F122" s="18"/>
      <c r="G122" s="18"/>
      <c r="H122" s="18"/>
      <c r="I122" s="18"/>
      <c r="J122" s="18"/>
      <c r="K122" s="18"/>
      <c r="L122" s="18"/>
    </row>
    <row r="123" customFormat="false" ht="15" hidden="false" customHeight="true" outlineLevel="0" collapsed="false">
      <c r="A123" s="19"/>
      <c r="B123" s="17"/>
      <c r="C123" s="11" t="str">
        <f aca="false">IF(B123="","",IFERROR(INDEX(Students!$B$4:$B$203,MATCH(B123,Students!$A$4:$A$203,0)),""))</f>
        <v/>
      </c>
      <c r="D123" s="11" t="str">
        <f aca="false">IF(B123="","",IFERROR(INDEX(Students!$H$4:$H$203,MATCH(B123,Students!$A$4:$A$203,0)),""))</f>
        <v/>
      </c>
      <c r="E123" s="18"/>
      <c r="F123" s="18"/>
      <c r="G123" s="18"/>
      <c r="H123" s="18"/>
      <c r="I123" s="18"/>
      <c r="J123" s="18"/>
      <c r="K123" s="18"/>
      <c r="L123" s="18"/>
    </row>
    <row r="124" customFormat="false" ht="15" hidden="false" customHeight="true" outlineLevel="0" collapsed="false">
      <c r="A124" s="19"/>
      <c r="B124" s="17"/>
      <c r="C124" s="11" t="str">
        <f aca="false">IF(B124="","",IFERROR(INDEX(Students!$B$4:$B$203,MATCH(B124,Students!$A$4:$A$203,0)),""))</f>
        <v/>
      </c>
      <c r="D124" s="11" t="str">
        <f aca="false">IF(B124="","",IFERROR(INDEX(Students!$H$4:$H$203,MATCH(B124,Students!$A$4:$A$203,0)),""))</f>
        <v/>
      </c>
      <c r="E124" s="18"/>
      <c r="F124" s="18"/>
      <c r="G124" s="18"/>
      <c r="H124" s="18"/>
      <c r="I124" s="18"/>
      <c r="J124" s="18"/>
      <c r="K124" s="18"/>
      <c r="L124" s="18"/>
    </row>
    <row r="125" customFormat="false" ht="15" hidden="false" customHeight="true" outlineLevel="0" collapsed="false">
      <c r="A125" s="19"/>
      <c r="B125" s="17"/>
      <c r="C125" s="11" t="str">
        <f aca="false">IF(B125="","",IFERROR(INDEX(Students!$B$4:$B$203,MATCH(B125,Students!$A$4:$A$203,0)),""))</f>
        <v/>
      </c>
      <c r="D125" s="11" t="str">
        <f aca="false">IF(B125="","",IFERROR(INDEX(Students!$H$4:$H$203,MATCH(B125,Students!$A$4:$A$203,0)),""))</f>
        <v/>
      </c>
      <c r="E125" s="18"/>
      <c r="F125" s="18"/>
      <c r="G125" s="18"/>
      <c r="H125" s="18"/>
      <c r="I125" s="18"/>
      <c r="J125" s="18"/>
      <c r="K125" s="18"/>
      <c r="L125" s="18"/>
    </row>
    <row r="126" customFormat="false" ht="15" hidden="false" customHeight="true" outlineLevel="0" collapsed="false">
      <c r="A126" s="19"/>
      <c r="B126" s="17"/>
      <c r="C126" s="11" t="str">
        <f aca="false">IF(B126="","",IFERROR(INDEX(Students!$B$4:$B$203,MATCH(B126,Students!$A$4:$A$203,0)),""))</f>
        <v/>
      </c>
      <c r="D126" s="11" t="str">
        <f aca="false">IF(B126="","",IFERROR(INDEX(Students!$H$4:$H$203,MATCH(B126,Students!$A$4:$A$203,0)),""))</f>
        <v/>
      </c>
      <c r="E126" s="18"/>
      <c r="F126" s="18"/>
      <c r="G126" s="18"/>
      <c r="H126" s="18"/>
      <c r="I126" s="18"/>
      <c r="J126" s="18"/>
      <c r="K126" s="18"/>
      <c r="L126" s="18"/>
    </row>
    <row r="127" customFormat="false" ht="15" hidden="false" customHeight="true" outlineLevel="0" collapsed="false">
      <c r="A127" s="19"/>
      <c r="B127" s="17"/>
      <c r="C127" s="11" t="str">
        <f aca="false">IF(B127="","",IFERROR(INDEX(Students!$B$4:$B$203,MATCH(B127,Students!$A$4:$A$203,0)),""))</f>
        <v/>
      </c>
      <c r="D127" s="11" t="str">
        <f aca="false">IF(B127="","",IFERROR(INDEX(Students!$H$4:$H$203,MATCH(B127,Students!$A$4:$A$203,0)),""))</f>
        <v/>
      </c>
      <c r="E127" s="18"/>
      <c r="F127" s="18"/>
      <c r="G127" s="18"/>
      <c r="H127" s="18"/>
      <c r="I127" s="18"/>
      <c r="J127" s="18"/>
      <c r="K127" s="18"/>
      <c r="L127" s="18"/>
    </row>
    <row r="128" customFormat="false" ht="15" hidden="false" customHeight="true" outlineLevel="0" collapsed="false">
      <c r="A128" s="19"/>
      <c r="B128" s="17"/>
      <c r="C128" s="11" t="str">
        <f aca="false">IF(B128="","",IFERROR(INDEX(Students!$B$4:$B$203,MATCH(B128,Students!$A$4:$A$203,0)),""))</f>
        <v/>
      </c>
      <c r="D128" s="11" t="str">
        <f aca="false">IF(B128="","",IFERROR(INDEX(Students!$H$4:$H$203,MATCH(B128,Students!$A$4:$A$203,0)),""))</f>
        <v/>
      </c>
      <c r="E128" s="18"/>
      <c r="F128" s="18"/>
      <c r="G128" s="18"/>
      <c r="H128" s="18"/>
      <c r="I128" s="18"/>
      <c r="J128" s="18"/>
      <c r="K128" s="18"/>
      <c r="L128" s="18"/>
    </row>
    <row r="129" customFormat="false" ht="15" hidden="false" customHeight="true" outlineLevel="0" collapsed="false">
      <c r="A129" s="19"/>
      <c r="B129" s="17"/>
      <c r="C129" s="11" t="str">
        <f aca="false">IF(B129="","",IFERROR(INDEX(Students!$B$4:$B$203,MATCH(B129,Students!$A$4:$A$203,0)),""))</f>
        <v/>
      </c>
      <c r="D129" s="11" t="str">
        <f aca="false">IF(B129="","",IFERROR(INDEX(Students!$H$4:$H$203,MATCH(B129,Students!$A$4:$A$203,0)),""))</f>
        <v/>
      </c>
      <c r="E129" s="18"/>
      <c r="F129" s="18"/>
      <c r="G129" s="18"/>
      <c r="H129" s="18"/>
      <c r="I129" s="18"/>
      <c r="J129" s="18"/>
      <c r="K129" s="18"/>
      <c r="L129" s="18"/>
    </row>
    <row r="130" customFormat="false" ht="15" hidden="false" customHeight="true" outlineLevel="0" collapsed="false">
      <c r="A130" s="19"/>
      <c r="B130" s="17"/>
      <c r="C130" s="11" t="str">
        <f aca="false">IF(B130="","",IFERROR(INDEX(Students!$B$4:$B$203,MATCH(B130,Students!$A$4:$A$203,0)),""))</f>
        <v/>
      </c>
      <c r="D130" s="11" t="str">
        <f aca="false">IF(B130="","",IFERROR(INDEX(Students!$H$4:$H$203,MATCH(B130,Students!$A$4:$A$203,0)),""))</f>
        <v/>
      </c>
      <c r="E130" s="18"/>
      <c r="F130" s="18"/>
      <c r="G130" s="18"/>
      <c r="H130" s="18"/>
      <c r="I130" s="18"/>
      <c r="J130" s="18"/>
      <c r="K130" s="18"/>
      <c r="L130" s="18"/>
    </row>
    <row r="131" customFormat="false" ht="15" hidden="false" customHeight="true" outlineLevel="0" collapsed="false">
      <c r="A131" s="19"/>
      <c r="B131" s="17"/>
      <c r="C131" s="11" t="str">
        <f aca="false">IF(B131="","",IFERROR(INDEX(Students!$B$4:$B$203,MATCH(B131,Students!$A$4:$A$203,0)),""))</f>
        <v/>
      </c>
      <c r="D131" s="11" t="str">
        <f aca="false">IF(B131="","",IFERROR(INDEX(Students!$H$4:$H$203,MATCH(B131,Students!$A$4:$A$203,0)),""))</f>
        <v/>
      </c>
      <c r="E131" s="18"/>
      <c r="F131" s="18"/>
      <c r="G131" s="18"/>
      <c r="H131" s="18"/>
      <c r="I131" s="18"/>
      <c r="J131" s="18"/>
      <c r="K131" s="18"/>
      <c r="L131" s="18"/>
    </row>
    <row r="132" customFormat="false" ht="15" hidden="false" customHeight="true" outlineLevel="0" collapsed="false">
      <c r="A132" s="19"/>
      <c r="B132" s="17"/>
      <c r="C132" s="11" t="str">
        <f aca="false">IF(B132="","",IFERROR(INDEX(Students!$B$4:$B$203,MATCH(B132,Students!$A$4:$A$203,0)),""))</f>
        <v/>
      </c>
      <c r="D132" s="11" t="str">
        <f aca="false">IF(B132="","",IFERROR(INDEX(Students!$H$4:$H$203,MATCH(B132,Students!$A$4:$A$203,0)),""))</f>
        <v/>
      </c>
      <c r="E132" s="18"/>
      <c r="F132" s="18"/>
      <c r="G132" s="18"/>
      <c r="H132" s="18"/>
      <c r="I132" s="18"/>
      <c r="J132" s="18"/>
      <c r="K132" s="18"/>
      <c r="L132" s="18"/>
    </row>
    <row r="133" customFormat="false" ht="15" hidden="false" customHeight="true" outlineLevel="0" collapsed="false">
      <c r="A133" s="19"/>
      <c r="B133" s="17"/>
      <c r="C133" s="11" t="str">
        <f aca="false">IF(B133="","",IFERROR(INDEX(Students!$B$4:$B$203,MATCH(B133,Students!$A$4:$A$203,0)),""))</f>
        <v/>
      </c>
      <c r="D133" s="11" t="str">
        <f aca="false">IF(B133="","",IFERROR(INDEX(Students!$H$4:$H$203,MATCH(B133,Students!$A$4:$A$203,0)),""))</f>
        <v/>
      </c>
      <c r="E133" s="18"/>
      <c r="F133" s="18"/>
      <c r="G133" s="18"/>
      <c r="H133" s="18"/>
      <c r="I133" s="18"/>
      <c r="J133" s="18"/>
      <c r="K133" s="18"/>
      <c r="L133" s="18"/>
    </row>
    <row r="134" customFormat="false" ht="15" hidden="false" customHeight="true" outlineLevel="0" collapsed="false">
      <c r="A134" s="19"/>
      <c r="B134" s="17"/>
      <c r="C134" s="11" t="str">
        <f aca="false">IF(B134="","",IFERROR(INDEX(Students!$B$4:$B$203,MATCH(B134,Students!$A$4:$A$203,0)),""))</f>
        <v/>
      </c>
      <c r="D134" s="11" t="str">
        <f aca="false">IF(B134="","",IFERROR(INDEX(Students!$H$4:$H$203,MATCH(B134,Students!$A$4:$A$203,0)),""))</f>
        <v/>
      </c>
      <c r="E134" s="18"/>
      <c r="F134" s="18"/>
      <c r="G134" s="18"/>
      <c r="H134" s="18"/>
      <c r="I134" s="18"/>
      <c r="J134" s="18"/>
      <c r="K134" s="18"/>
      <c r="L134" s="18"/>
    </row>
    <row r="135" customFormat="false" ht="15" hidden="false" customHeight="true" outlineLevel="0" collapsed="false">
      <c r="A135" s="19"/>
      <c r="B135" s="17"/>
      <c r="C135" s="11" t="str">
        <f aca="false">IF(B135="","",IFERROR(INDEX(Students!$B$4:$B$203,MATCH(B135,Students!$A$4:$A$203,0)),""))</f>
        <v/>
      </c>
      <c r="D135" s="11" t="str">
        <f aca="false">IF(B135="","",IFERROR(INDEX(Students!$H$4:$H$203,MATCH(B135,Students!$A$4:$A$203,0)),""))</f>
        <v/>
      </c>
      <c r="E135" s="18"/>
      <c r="F135" s="18"/>
      <c r="G135" s="18"/>
      <c r="H135" s="18"/>
      <c r="I135" s="18"/>
      <c r="J135" s="18"/>
      <c r="K135" s="18"/>
      <c r="L135" s="18"/>
    </row>
    <row r="136" customFormat="false" ht="15" hidden="false" customHeight="true" outlineLevel="0" collapsed="false">
      <c r="A136" s="19"/>
      <c r="B136" s="17"/>
      <c r="C136" s="11" t="str">
        <f aca="false">IF(B136="","",IFERROR(INDEX(Students!$B$4:$B$203,MATCH(B136,Students!$A$4:$A$203,0)),""))</f>
        <v/>
      </c>
      <c r="D136" s="11" t="str">
        <f aca="false">IF(B136="","",IFERROR(INDEX(Students!$H$4:$H$203,MATCH(B136,Students!$A$4:$A$203,0)),""))</f>
        <v/>
      </c>
      <c r="E136" s="18"/>
      <c r="F136" s="18"/>
      <c r="G136" s="18"/>
      <c r="H136" s="18"/>
      <c r="I136" s="18"/>
      <c r="J136" s="18"/>
      <c r="K136" s="18"/>
      <c r="L136" s="18"/>
    </row>
    <row r="137" customFormat="false" ht="15" hidden="false" customHeight="true" outlineLevel="0" collapsed="false">
      <c r="A137" s="19"/>
      <c r="B137" s="17"/>
      <c r="C137" s="11" t="str">
        <f aca="false">IF(B137="","",IFERROR(INDEX(Students!$B$4:$B$203,MATCH(B137,Students!$A$4:$A$203,0)),""))</f>
        <v/>
      </c>
      <c r="D137" s="11" t="str">
        <f aca="false">IF(B137="","",IFERROR(INDEX(Students!$H$4:$H$203,MATCH(B137,Students!$A$4:$A$203,0)),""))</f>
        <v/>
      </c>
      <c r="E137" s="18"/>
      <c r="F137" s="18"/>
      <c r="G137" s="18"/>
      <c r="H137" s="18"/>
      <c r="I137" s="18"/>
      <c r="J137" s="18"/>
      <c r="K137" s="18"/>
      <c r="L137" s="18"/>
    </row>
    <row r="138" customFormat="false" ht="15" hidden="false" customHeight="true" outlineLevel="0" collapsed="false">
      <c r="A138" s="19"/>
      <c r="B138" s="17"/>
      <c r="C138" s="11" t="str">
        <f aca="false">IF(B138="","",IFERROR(INDEX(Students!$B$4:$B$203,MATCH(B138,Students!$A$4:$A$203,0)),""))</f>
        <v/>
      </c>
      <c r="D138" s="11" t="str">
        <f aca="false">IF(B138="","",IFERROR(INDEX(Students!$H$4:$H$203,MATCH(B138,Students!$A$4:$A$203,0)),""))</f>
        <v/>
      </c>
      <c r="E138" s="18"/>
      <c r="F138" s="18"/>
      <c r="G138" s="18"/>
      <c r="H138" s="18"/>
      <c r="I138" s="18"/>
      <c r="J138" s="18"/>
      <c r="K138" s="18"/>
      <c r="L138" s="18"/>
    </row>
    <row r="139" customFormat="false" ht="15" hidden="false" customHeight="true" outlineLevel="0" collapsed="false">
      <c r="A139" s="19"/>
      <c r="B139" s="17"/>
      <c r="C139" s="11" t="str">
        <f aca="false">IF(B139="","",IFERROR(INDEX(Students!$B$4:$B$203,MATCH(B139,Students!$A$4:$A$203,0)),""))</f>
        <v/>
      </c>
      <c r="D139" s="11" t="str">
        <f aca="false">IF(B139="","",IFERROR(INDEX(Students!$H$4:$H$203,MATCH(B139,Students!$A$4:$A$203,0)),""))</f>
        <v/>
      </c>
      <c r="E139" s="18"/>
      <c r="F139" s="18"/>
      <c r="G139" s="18"/>
      <c r="H139" s="18"/>
      <c r="I139" s="18"/>
      <c r="J139" s="18"/>
      <c r="K139" s="18"/>
      <c r="L139" s="18"/>
    </row>
    <row r="140" customFormat="false" ht="15" hidden="false" customHeight="true" outlineLevel="0" collapsed="false">
      <c r="A140" s="19"/>
      <c r="B140" s="17"/>
      <c r="C140" s="11" t="str">
        <f aca="false">IF(B140="","",IFERROR(INDEX(Students!$B$4:$B$203,MATCH(B140,Students!$A$4:$A$203,0)),""))</f>
        <v/>
      </c>
      <c r="D140" s="11" t="str">
        <f aca="false">IF(B140="","",IFERROR(INDEX(Students!$H$4:$H$203,MATCH(B140,Students!$A$4:$A$203,0)),""))</f>
        <v/>
      </c>
      <c r="E140" s="18"/>
      <c r="F140" s="18"/>
      <c r="G140" s="18"/>
      <c r="H140" s="18"/>
      <c r="I140" s="18"/>
      <c r="J140" s="18"/>
      <c r="K140" s="18"/>
      <c r="L140" s="18"/>
    </row>
    <row r="141" customFormat="false" ht="15" hidden="false" customHeight="true" outlineLevel="0" collapsed="false">
      <c r="A141" s="19"/>
      <c r="B141" s="17"/>
      <c r="C141" s="11" t="str">
        <f aca="false">IF(B141="","",IFERROR(INDEX(Students!$B$4:$B$203,MATCH(B141,Students!$A$4:$A$203,0)),""))</f>
        <v/>
      </c>
      <c r="D141" s="11" t="str">
        <f aca="false">IF(B141="","",IFERROR(INDEX(Students!$H$4:$H$203,MATCH(B141,Students!$A$4:$A$203,0)),""))</f>
        <v/>
      </c>
      <c r="E141" s="18"/>
      <c r="F141" s="18"/>
      <c r="G141" s="18"/>
      <c r="H141" s="18"/>
      <c r="I141" s="18"/>
      <c r="J141" s="18"/>
      <c r="K141" s="18"/>
      <c r="L141" s="18"/>
    </row>
    <row r="142" customFormat="false" ht="15" hidden="false" customHeight="true" outlineLevel="0" collapsed="false">
      <c r="A142" s="19"/>
      <c r="B142" s="17"/>
      <c r="C142" s="11" t="str">
        <f aca="false">IF(B142="","",IFERROR(INDEX(Students!$B$4:$B$203,MATCH(B142,Students!$A$4:$A$203,0)),""))</f>
        <v/>
      </c>
      <c r="D142" s="11" t="str">
        <f aca="false">IF(B142="","",IFERROR(INDEX(Students!$H$4:$H$203,MATCH(B142,Students!$A$4:$A$203,0)),""))</f>
        <v/>
      </c>
      <c r="E142" s="18"/>
      <c r="F142" s="18"/>
      <c r="G142" s="18"/>
      <c r="H142" s="18"/>
      <c r="I142" s="18"/>
      <c r="J142" s="18"/>
      <c r="K142" s="18"/>
      <c r="L142" s="18"/>
    </row>
    <row r="143" customFormat="false" ht="15" hidden="false" customHeight="true" outlineLevel="0" collapsed="false">
      <c r="A143" s="19"/>
      <c r="B143" s="17"/>
      <c r="C143" s="11" t="str">
        <f aca="false">IF(B143="","",IFERROR(INDEX(Students!$B$4:$B$203,MATCH(B143,Students!$A$4:$A$203,0)),""))</f>
        <v/>
      </c>
      <c r="D143" s="11" t="str">
        <f aca="false">IF(B143="","",IFERROR(INDEX(Students!$H$4:$H$203,MATCH(B143,Students!$A$4:$A$203,0)),""))</f>
        <v/>
      </c>
      <c r="E143" s="18"/>
      <c r="F143" s="18"/>
      <c r="G143" s="18"/>
      <c r="H143" s="18"/>
      <c r="I143" s="18"/>
      <c r="J143" s="18"/>
      <c r="K143" s="18"/>
      <c r="L143" s="18"/>
    </row>
    <row r="144" customFormat="false" ht="15" hidden="false" customHeight="true" outlineLevel="0" collapsed="false">
      <c r="A144" s="19"/>
      <c r="B144" s="17"/>
      <c r="C144" s="11" t="str">
        <f aca="false">IF(B144="","",IFERROR(INDEX(Students!$B$4:$B$203,MATCH(B144,Students!$A$4:$A$203,0)),""))</f>
        <v/>
      </c>
      <c r="D144" s="11" t="str">
        <f aca="false">IF(B144="","",IFERROR(INDEX(Students!$H$4:$H$203,MATCH(B144,Students!$A$4:$A$203,0)),""))</f>
        <v/>
      </c>
      <c r="E144" s="18"/>
      <c r="F144" s="18"/>
      <c r="G144" s="18"/>
      <c r="H144" s="18"/>
      <c r="I144" s="18"/>
      <c r="J144" s="18"/>
      <c r="K144" s="18"/>
      <c r="L144" s="18"/>
    </row>
    <row r="145" customFormat="false" ht="15" hidden="false" customHeight="true" outlineLevel="0" collapsed="false">
      <c r="A145" s="19"/>
      <c r="B145" s="17"/>
      <c r="C145" s="11" t="str">
        <f aca="false">IF(B145="","",IFERROR(INDEX(Students!$B$4:$B$203,MATCH(B145,Students!$A$4:$A$203,0)),""))</f>
        <v/>
      </c>
      <c r="D145" s="11" t="str">
        <f aca="false">IF(B145="","",IFERROR(INDEX(Students!$H$4:$H$203,MATCH(B145,Students!$A$4:$A$203,0)),""))</f>
        <v/>
      </c>
      <c r="E145" s="18"/>
      <c r="F145" s="18"/>
      <c r="G145" s="18"/>
      <c r="H145" s="18"/>
      <c r="I145" s="18"/>
      <c r="J145" s="18"/>
      <c r="K145" s="18"/>
      <c r="L145" s="18"/>
    </row>
    <row r="146" customFormat="false" ht="15" hidden="false" customHeight="true" outlineLevel="0" collapsed="false">
      <c r="A146" s="19"/>
      <c r="B146" s="17"/>
      <c r="C146" s="11" t="str">
        <f aca="false">IF(B146="","",IFERROR(INDEX(Students!$B$4:$B$203,MATCH(B146,Students!$A$4:$A$203,0)),""))</f>
        <v/>
      </c>
      <c r="D146" s="11" t="str">
        <f aca="false">IF(B146="","",IFERROR(INDEX(Students!$H$4:$H$203,MATCH(B146,Students!$A$4:$A$203,0)),""))</f>
        <v/>
      </c>
      <c r="E146" s="18"/>
      <c r="F146" s="18"/>
      <c r="G146" s="18"/>
      <c r="H146" s="18"/>
      <c r="I146" s="18"/>
      <c r="J146" s="18"/>
      <c r="K146" s="18"/>
      <c r="L146" s="18"/>
    </row>
    <row r="147" customFormat="false" ht="15" hidden="false" customHeight="true" outlineLevel="0" collapsed="false">
      <c r="A147" s="19"/>
      <c r="B147" s="17"/>
      <c r="C147" s="11" t="str">
        <f aca="false">IF(B147="","",IFERROR(INDEX(Students!$B$4:$B$203,MATCH(B147,Students!$A$4:$A$203,0)),""))</f>
        <v/>
      </c>
      <c r="D147" s="11" t="str">
        <f aca="false">IF(B147="","",IFERROR(INDEX(Students!$H$4:$H$203,MATCH(B147,Students!$A$4:$A$203,0)),""))</f>
        <v/>
      </c>
      <c r="E147" s="18"/>
      <c r="F147" s="18"/>
      <c r="G147" s="18"/>
      <c r="H147" s="18"/>
      <c r="I147" s="18"/>
      <c r="J147" s="18"/>
      <c r="K147" s="18"/>
      <c r="L147" s="18"/>
    </row>
    <row r="148" customFormat="false" ht="15" hidden="false" customHeight="true" outlineLevel="0" collapsed="false">
      <c r="A148" s="19"/>
      <c r="B148" s="17"/>
      <c r="C148" s="11" t="str">
        <f aca="false">IF(B148="","",IFERROR(INDEX(Students!$B$4:$B$203,MATCH(B148,Students!$A$4:$A$203,0)),""))</f>
        <v/>
      </c>
      <c r="D148" s="11" t="str">
        <f aca="false">IF(B148="","",IFERROR(INDEX(Students!$H$4:$H$203,MATCH(B148,Students!$A$4:$A$203,0)),""))</f>
        <v/>
      </c>
      <c r="E148" s="18"/>
      <c r="F148" s="18"/>
      <c r="G148" s="18"/>
      <c r="H148" s="18"/>
      <c r="I148" s="18"/>
      <c r="J148" s="18"/>
      <c r="K148" s="18"/>
      <c r="L148" s="18"/>
    </row>
    <row r="149" customFormat="false" ht="15" hidden="false" customHeight="true" outlineLevel="0" collapsed="false">
      <c r="A149" s="19"/>
      <c r="B149" s="17"/>
      <c r="C149" s="11" t="str">
        <f aca="false">IF(B149="","",IFERROR(INDEX(Students!$B$4:$B$203,MATCH(B149,Students!$A$4:$A$203,0)),""))</f>
        <v/>
      </c>
      <c r="D149" s="11" t="str">
        <f aca="false">IF(B149="","",IFERROR(INDEX(Students!$H$4:$H$203,MATCH(B149,Students!$A$4:$A$203,0)),""))</f>
        <v/>
      </c>
      <c r="E149" s="18"/>
      <c r="F149" s="18"/>
      <c r="G149" s="18"/>
      <c r="H149" s="18"/>
      <c r="I149" s="18"/>
      <c r="J149" s="18"/>
      <c r="K149" s="18"/>
      <c r="L149" s="18"/>
    </row>
    <row r="150" customFormat="false" ht="15" hidden="false" customHeight="true" outlineLevel="0" collapsed="false">
      <c r="A150" s="19"/>
      <c r="B150" s="17"/>
      <c r="C150" s="11" t="str">
        <f aca="false">IF(B150="","",IFERROR(INDEX(Students!$B$4:$B$203,MATCH(B150,Students!$A$4:$A$203,0)),""))</f>
        <v/>
      </c>
      <c r="D150" s="11" t="str">
        <f aca="false">IF(B150="","",IFERROR(INDEX(Students!$H$4:$H$203,MATCH(B150,Students!$A$4:$A$203,0)),""))</f>
        <v/>
      </c>
      <c r="E150" s="18"/>
      <c r="F150" s="18"/>
      <c r="G150" s="18"/>
      <c r="H150" s="18"/>
      <c r="I150" s="18"/>
      <c r="J150" s="18"/>
      <c r="K150" s="18"/>
      <c r="L150" s="18"/>
    </row>
    <row r="151" customFormat="false" ht="15" hidden="false" customHeight="true" outlineLevel="0" collapsed="false">
      <c r="A151" s="19"/>
      <c r="B151" s="17"/>
      <c r="C151" s="11" t="str">
        <f aca="false">IF(B151="","",IFERROR(INDEX(Students!$B$4:$B$203,MATCH(B151,Students!$A$4:$A$203,0)),""))</f>
        <v/>
      </c>
      <c r="D151" s="11" t="str">
        <f aca="false">IF(B151="","",IFERROR(INDEX(Students!$H$4:$H$203,MATCH(B151,Students!$A$4:$A$203,0)),""))</f>
        <v/>
      </c>
      <c r="E151" s="18"/>
      <c r="F151" s="18"/>
      <c r="G151" s="18"/>
      <c r="H151" s="18"/>
      <c r="I151" s="18"/>
      <c r="J151" s="18"/>
      <c r="K151" s="18"/>
      <c r="L151" s="18"/>
    </row>
    <row r="152" customFormat="false" ht="15" hidden="false" customHeight="true" outlineLevel="0" collapsed="false">
      <c r="A152" s="19"/>
      <c r="B152" s="17"/>
      <c r="C152" s="11" t="str">
        <f aca="false">IF(B152="","",IFERROR(INDEX(Students!$B$4:$B$203,MATCH(B152,Students!$A$4:$A$203,0)),""))</f>
        <v/>
      </c>
      <c r="D152" s="11" t="str">
        <f aca="false">IF(B152="","",IFERROR(INDEX(Students!$H$4:$H$203,MATCH(B152,Students!$A$4:$A$203,0)),""))</f>
        <v/>
      </c>
      <c r="E152" s="18"/>
      <c r="F152" s="18"/>
      <c r="G152" s="18"/>
      <c r="H152" s="18"/>
      <c r="I152" s="18"/>
      <c r="J152" s="18"/>
      <c r="K152" s="18"/>
      <c r="L152" s="18"/>
    </row>
    <row r="153" customFormat="false" ht="15" hidden="false" customHeight="true" outlineLevel="0" collapsed="false">
      <c r="A153" s="19"/>
      <c r="B153" s="17"/>
      <c r="C153" s="11" t="str">
        <f aca="false">IF(B153="","",IFERROR(INDEX(Students!$B$4:$B$203,MATCH(B153,Students!$A$4:$A$203,0)),""))</f>
        <v/>
      </c>
      <c r="D153" s="11" t="str">
        <f aca="false">IF(B153="","",IFERROR(INDEX(Students!$H$4:$H$203,MATCH(B153,Students!$A$4:$A$203,0)),""))</f>
        <v/>
      </c>
      <c r="E153" s="18"/>
      <c r="F153" s="18"/>
      <c r="G153" s="18"/>
      <c r="H153" s="18"/>
      <c r="I153" s="18"/>
      <c r="J153" s="18"/>
      <c r="K153" s="18"/>
      <c r="L153" s="18"/>
    </row>
    <row r="154" customFormat="false" ht="15" hidden="false" customHeight="true" outlineLevel="0" collapsed="false">
      <c r="A154" s="19"/>
      <c r="B154" s="17"/>
      <c r="C154" s="11" t="str">
        <f aca="false">IF(B154="","",IFERROR(INDEX(Students!$B$4:$B$203,MATCH(B154,Students!$A$4:$A$203,0)),""))</f>
        <v/>
      </c>
      <c r="D154" s="11" t="str">
        <f aca="false">IF(B154="","",IFERROR(INDEX(Students!$H$4:$H$203,MATCH(B154,Students!$A$4:$A$203,0)),""))</f>
        <v/>
      </c>
      <c r="E154" s="18"/>
      <c r="F154" s="18"/>
      <c r="G154" s="18"/>
      <c r="H154" s="18"/>
      <c r="I154" s="18"/>
      <c r="J154" s="18"/>
      <c r="K154" s="18"/>
      <c r="L154" s="18"/>
    </row>
    <row r="155" customFormat="false" ht="15" hidden="false" customHeight="true" outlineLevel="0" collapsed="false">
      <c r="A155" s="19"/>
      <c r="B155" s="17"/>
      <c r="C155" s="11" t="str">
        <f aca="false">IF(B155="","",IFERROR(INDEX(Students!$B$4:$B$203,MATCH(B155,Students!$A$4:$A$203,0)),""))</f>
        <v/>
      </c>
      <c r="D155" s="11" t="str">
        <f aca="false">IF(B155="","",IFERROR(INDEX(Students!$H$4:$H$203,MATCH(B155,Students!$A$4:$A$203,0)),""))</f>
        <v/>
      </c>
      <c r="E155" s="18"/>
      <c r="F155" s="18"/>
      <c r="G155" s="18"/>
      <c r="H155" s="18"/>
      <c r="I155" s="18"/>
      <c r="J155" s="18"/>
      <c r="K155" s="18"/>
      <c r="L155" s="18"/>
    </row>
    <row r="156" customFormat="false" ht="15" hidden="false" customHeight="true" outlineLevel="0" collapsed="false">
      <c r="A156" s="19"/>
      <c r="B156" s="17"/>
      <c r="C156" s="11" t="str">
        <f aca="false">IF(B156="","",IFERROR(INDEX(Students!$B$4:$B$203,MATCH(B156,Students!$A$4:$A$203,0)),""))</f>
        <v/>
      </c>
      <c r="D156" s="11" t="str">
        <f aca="false">IF(B156="","",IFERROR(INDEX(Students!$H$4:$H$203,MATCH(B156,Students!$A$4:$A$203,0)),""))</f>
        <v/>
      </c>
      <c r="E156" s="18"/>
      <c r="F156" s="18"/>
      <c r="G156" s="18"/>
      <c r="H156" s="18"/>
      <c r="I156" s="18"/>
      <c r="J156" s="18"/>
      <c r="K156" s="18"/>
      <c r="L156" s="18"/>
    </row>
    <row r="157" customFormat="false" ht="15" hidden="false" customHeight="true" outlineLevel="0" collapsed="false">
      <c r="A157" s="19"/>
      <c r="B157" s="17"/>
      <c r="C157" s="11" t="str">
        <f aca="false">IF(B157="","",IFERROR(INDEX(Students!$B$4:$B$203,MATCH(B157,Students!$A$4:$A$203,0)),""))</f>
        <v/>
      </c>
      <c r="D157" s="11" t="str">
        <f aca="false">IF(B157="","",IFERROR(INDEX(Students!$H$4:$H$203,MATCH(B157,Students!$A$4:$A$203,0)),""))</f>
        <v/>
      </c>
      <c r="E157" s="18"/>
      <c r="F157" s="18"/>
      <c r="G157" s="18"/>
      <c r="H157" s="18"/>
      <c r="I157" s="18"/>
      <c r="J157" s="18"/>
      <c r="K157" s="18"/>
      <c r="L157" s="18"/>
    </row>
    <row r="158" customFormat="false" ht="15" hidden="false" customHeight="true" outlineLevel="0" collapsed="false">
      <c r="A158" s="19"/>
      <c r="B158" s="17"/>
      <c r="C158" s="11" t="str">
        <f aca="false">IF(B158="","",IFERROR(INDEX(Students!$B$4:$B$203,MATCH(B158,Students!$A$4:$A$203,0)),""))</f>
        <v/>
      </c>
      <c r="D158" s="11" t="str">
        <f aca="false">IF(B158="","",IFERROR(INDEX(Students!$H$4:$H$203,MATCH(B158,Students!$A$4:$A$203,0)),""))</f>
        <v/>
      </c>
      <c r="E158" s="18"/>
      <c r="F158" s="18"/>
      <c r="G158" s="18"/>
      <c r="H158" s="18"/>
      <c r="I158" s="18"/>
      <c r="J158" s="18"/>
      <c r="K158" s="18"/>
      <c r="L158" s="18"/>
    </row>
    <row r="159" customFormat="false" ht="15" hidden="false" customHeight="true" outlineLevel="0" collapsed="false">
      <c r="A159" s="19"/>
      <c r="B159" s="17"/>
      <c r="C159" s="11" t="str">
        <f aca="false">IF(B159="","",IFERROR(INDEX(Students!$B$4:$B$203,MATCH(B159,Students!$A$4:$A$203,0)),""))</f>
        <v/>
      </c>
      <c r="D159" s="11" t="str">
        <f aca="false">IF(B159="","",IFERROR(INDEX(Students!$H$4:$H$203,MATCH(B159,Students!$A$4:$A$203,0)),""))</f>
        <v/>
      </c>
      <c r="E159" s="18"/>
      <c r="F159" s="18"/>
      <c r="G159" s="18"/>
      <c r="H159" s="18"/>
      <c r="I159" s="18"/>
      <c r="J159" s="18"/>
      <c r="K159" s="18"/>
      <c r="L159" s="18"/>
    </row>
    <row r="160" customFormat="false" ht="15" hidden="false" customHeight="true" outlineLevel="0" collapsed="false">
      <c r="A160" s="19"/>
      <c r="B160" s="17"/>
      <c r="C160" s="11" t="str">
        <f aca="false">IF(B160="","",IFERROR(INDEX(Students!$B$4:$B$203,MATCH(B160,Students!$A$4:$A$203,0)),""))</f>
        <v/>
      </c>
      <c r="D160" s="11" t="str">
        <f aca="false">IF(B160="","",IFERROR(INDEX(Students!$H$4:$H$203,MATCH(B160,Students!$A$4:$A$203,0)),""))</f>
        <v/>
      </c>
      <c r="E160" s="18"/>
      <c r="F160" s="18"/>
      <c r="G160" s="18"/>
      <c r="H160" s="18"/>
      <c r="I160" s="18"/>
      <c r="J160" s="18"/>
      <c r="K160" s="18"/>
      <c r="L160" s="18"/>
    </row>
    <row r="161" customFormat="false" ht="15" hidden="false" customHeight="true" outlineLevel="0" collapsed="false">
      <c r="A161" s="19"/>
      <c r="B161" s="17"/>
      <c r="C161" s="11" t="str">
        <f aca="false">IF(B161="","",IFERROR(INDEX(Students!$B$4:$B$203,MATCH(B161,Students!$A$4:$A$203,0)),""))</f>
        <v/>
      </c>
      <c r="D161" s="11" t="str">
        <f aca="false">IF(B161="","",IFERROR(INDEX(Students!$H$4:$H$203,MATCH(B161,Students!$A$4:$A$203,0)),""))</f>
        <v/>
      </c>
      <c r="E161" s="18"/>
      <c r="F161" s="18"/>
      <c r="G161" s="18"/>
      <c r="H161" s="18"/>
      <c r="I161" s="18"/>
      <c r="J161" s="18"/>
      <c r="K161" s="18"/>
      <c r="L161" s="18"/>
    </row>
    <row r="162" customFormat="false" ht="15" hidden="false" customHeight="true" outlineLevel="0" collapsed="false">
      <c r="A162" s="19"/>
      <c r="B162" s="17"/>
      <c r="C162" s="11" t="str">
        <f aca="false">IF(B162="","",IFERROR(INDEX(Students!$B$4:$B$203,MATCH(B162,Students!$A$4:$A$203,0)),""))</f>
        <v/>
      </c>
      <c r="D162" s="11" t="str">
        <f aca="false">IF(B162="","",IFERROR(INDEX(Students!$H$4:$H$203,MATCH(B162,Students!$A$4:$A$203,0)),""))</f>
        <v/>
      </c>
      <c r="E162" s="18"/>
      <c r="F162" s="18"/>
      <c r="G162" s="18"/>
      <c r="H162" s="18"/>
      <c r="I162" s="18"/>
      <c r="J162" s="18"/>
      <c r="K162" s="18"/>
      <c r="L162" s="18"/>
    </row>
    <row r="163" customFormat="false" ht="15" hidden="false" customHeight="true" outlineLevel="0" collapsed="false">
      <c r="A163" s="19"/>
      <c r="B163" s="17"/>
      <c r="C163" s="11" t="str">
        <f aca="false">IF(B163="","",IFERROR(INDEX(Students!$B$4:$B$203,MATCH(B163,Students!$A$4:$A$203,0)),""))</f>
        <v/>
      </c>
      <c r="D163" s="11" t="str">
        <f aca="false">IF(B163="","",IFERROR(INDEX(Students!$H$4:$H$203,MATCH(B163,Students!$A$4:$A$203,0)),""))</f>
        <v/>
      </c>
      <c r="E163" s="18"/>
      <c r="F163" s="18"/>
      <c r="G163" s="18"/>
      <c r="H163" s="18"/>
      <c r="I163" s="18"/>
      <c r="J163" s="18"/>
      <c r="K163" s="18"/>
      <c r="L163" s="18"/>
    </row>
    <row r="164" customFormat="false" ht="15" hidden="false" customHeight="true" outlineLevel="0" collapsed="false">
      <c r="A164" s="19"/>
      <c r="B164" s="17"/>
      <c r="C164" s="11" t="str">
        <f aca="false">IF(B164="","",IFERROR(INDEX(Students!$B$4:$B$203,MATCH(B164,Students!$A$4:$A$203,0)),""))</f>
        <v/>
      </c>
      <c r="D164" s="11" t="str">
        <f aca="false">IF(B164="","",IFERROR(INDEX(Students!$H$4:$H$203,MATCH(B164,Students!$A$4:$A$203,0)),""))</f>
        <v/>
      </c>
      <c r="E164" s="18"/>
      <c r="F164" s="18"/>
      <c r="G164" s="18"/>
      <c r="H164" s="18"/>
      <c r="I164" s="18"/>
      <c r="J164" s="18"/>
      <c r="K164" s="18"/>
      <c r="L164" s="18"/>
    </row>
    <row r="165" customFormat="false" ht="15" hidden="false" customHeight="true" outlineLevel="0" collapsed="false">
      <c r="A165" s="19"/>
      <c r="B165" s="17"/>
      <c r="C165" s="11" t="str">
        <f aca="false">IF(B165="","",IFERROR(INDEX(Students!$B$4:$B$203,MATCH(B165,Students!$A$4:$A$203,0)),""))</f>
        <v/>
      </c>
      <c r="D165" s="11" t="str">
        <f aca="false">IF(B165="","",IFERROR(INDEX(Students!$H$4:$H$203,MATCH(B165,Students!$A$4:$A$203,0)),""))</f>
        <v/>
      </c>
      <c r="E165" s="18"/>
      <c r="F165" s="18"/>
      <c r="G165" s="18"/>
      <c r="H165" s="18"/>
      <c r="I165" s="18"/>
      <c r="J165" s="18"/>
      <c r="K165" s="18"/>
      <c r="L165" s="18"/>
    </row>
    <row r="166" customFormat="false" ht="15" hidden="false" customHeight="true" outlineLevel="0" collapsed="false">
      <c r="A166" s="19"/>
      <c r="B166" s="17"/>
      <c r="C166" s="11" t="str">
        <f aca="false">IF(B166="","",IFERROR(INDEX(Students!$B$4:$B$203,MATCH(B166,Students!$A$4:$A$203,0)),""))</f>
        <v/>
      </c>
      <c r="D166" s="11" t="str">
        <f aca="false">IF(B166="","",IFERROR(INDEX(Students!$H$4:$H$203,MATCH(B166,Students!$A$4:$A$203,0)),""))</f>
        <v/>
      </c>
      <c r="E166" s="18"/>
      <c r="F166" s="18"/>
      <c r="G166" s="18"/>
      <c r="H166" s="18"/>
      <c r="I166" s="18"/>
      <c r="J166" s="18"/>
      <c r="K166" s="18"/>
      <c r="L166" s="18"/>
    </row>
    <row r="167" customFormat="false" ht="15" hidden="false" customHeight="true" outlineLevel="0" collapsed="false">
      <c r="A167" s="19"/>
      <c r="B167" s="17"/>
      <c r="C167" s="11" t="str">
        <f aca="false">IF(B167="","",IFERROR(INDEX(Students!$B$4:$B$203,MATCH(B167,Students!$A$4:$A$203,0)),""))</f>
        <v/>
      </c>
      <c r="D167" s="11" t="str">
        <f aca="false">IF(B167="","",IFERROR(INDEX(Students!$H$4:$H$203,MATCH(B167,Students!$A$4:$A$203,0)),""))</f>
        <v/>
      </c>
      <c r="E167" s="18"/>
      <c r="F167" s="18"/>
      <c r="G167" s="18"/>
      <c r="H167" s="18"/>
      <c r="I167" s="18"/>
      <c r="J167" s="18"/>
      <c r="K167" s="18"/>
      <c r="L167" s="18"/>
    </row>
    <row r="168" customFormat="false" ht="15" hidden="false" customHeight="true" outlineLevel="0" collapsed="false">
      <c r="A168" s="19"/>
      <c r="B168" s="17"/>
      <c r="C168" s="11" t="str">
        <f aca="false">IF(B168="","",IFERROR(INDEX(Students!$B$4:$B$203,MATCH(B168,Students!$A$4:$A$203,0)),""))</f>
        <v/>
      </c>
      <c r="D168" s="11" t="str">
        <f aca="false">IF(B168="","",IFERROR(INDEX(Students!$H$4:$H$203,MATCH(B168,Students!$A$4:$A$203,0)),""))</f>
        <v/>
      </c>
      <c r="E168" s="18"/>
      <c r="F168" s="18"/>
      <c r="G168" s="18"/>
      <c r="H168" s="18"/>
      <c r="I168" s="18"/>
      <c r="J168" s="18"/>
      <c r="K168" s="18"/>
      <c r="L168" s="18"/>
    </row>
    <row r="169" customFormat="false" ht="15" hidden="false" customHeight="true" outlineLevel="0" collapsed="false">
      <c r="A169" s="19"/>
      <c r="B169" s="17"/>
      <c r="C169" s="11" t="str">
        <f aca="false">IF(B169="","",IFERROR(INDEX(Students!$B$4:$B$203,MATCH(B169,Students!$A$4:$A$203,0)),""))</f>
        <v/>
      </c>
      <c r="D169" s="11" t="str">
        <f aca="false">IF(B169="","",IFERROR(INDEX(Students!$H$4:$H$203,MATCH(B169,Students!$A$4:$A$203,0)),""))</f>
        <v/>
      </c>
      <c r="E169" s="18"/>
      <c r="F169" s="18"/>
      <c r="G169" s="18"/>
      <c r="H169" s="18"/>
      <c r="I169" s="18"/>
      <c r="J169" s="18"/>
      <c r="K169" s="18"/>
      <c r="L169" s="18"/>
    </row>
    <row r="170" customFormat="false" ht="15" hidden="false" customHeight="true" outlineLevel="0" collapsed="false">
      <c r="A170" s="19"/>
      <c r="B170" s="17"/>
      <c r="C170" s="11" t="str">
        <f aca="false">IF(B170="","",IFERROR(INDEX(Students!$B$4:$B$203,MATCH(B170,Students!$A$4:$A$203,0)),""))</f>
        <v/>
      </c>
      <c r="D170" s="11" t="str">
        <f aca="false">IF(B170="","",IFERROR(INDEX(Students!$H$4:$H$203,MATCH(B170,Students!$A$4:$A$203,0)),""))</f>
        <v/>
      </c>
      <c r="E170" s="18"/>
      <c r="F170" s="18"/>
      <c r="G170" s="18"/>
      <c r="H170" s="18"/>
      <c r="I170" s="18"/>
      <c r="J170" s="18"/>
      <c r="K170" s="18"/>
      <c r="L170" s="18"/>
    </row>
    <row r="171" customFormat="false" ht="15" hidden="false" customHeight="true" outlineLevel="0" collapsed="false">
      <c r="A171" s="19"/>
      <c r="B171" s="17"/>
      <c r="C171" s="11" t="str">
        <f aca="false">IF(B171="","",IFERROR(INDEX(Students!$B$4:$B$203,MATCH(B171,Students!$A$4:$A$203,0)),""))</f>
        <v/>
      </c>
      <c r="D171" s="11" t="str">
        <f aca="false">IF(B171="","",IFERROR(INDEX(Students!$H$4:$H$203,MATCH(B171,Students!$A$4:$A$203,0)),""))</f>
        <v/>
      </c>
      <c r="E171" s="18"/>
      <c r="F171" s="18"/>
      <c r="G171" s="18"/>
      <c r="H171" s="18"/>
      <c r="I171" s="18"/>
      <c r="J171" s="18"/>
      <c r="K171" s="18"/>
      <c r="L171" s="18"/>
    </row>
    <row r="172" customFormat="false" ht="15" hidden="false" customHeight="true" outlineLevel="0" collapsed="false">
      <c r="A172" s="19"/>
      <c r="B172" s="17"/>
      <c r="C172" s="11" t="str">
        <f aca="false">IF(B172="","",IFERROR(INDEX(Students!$B$4:$B$203,MATCH(B172,Students!$A$4:$A$203,0)),""))</f>
        <v/>
      </c>
      <c r="D172" s="11" t="str">
        <f aca="false">IF(B172="","",IFERROR(INDEX(Students!$H$4:$H$203,MATCH(B172,Students!$A$4:$A$203,0)),""))</f>
        <v/>
      </c>
      <c r="E172" s="18"/>
      <c r="F172" s="18"/>
      <c r="G172" s="18"/>
      <c r="H172" s="18"/>
      <c r="I172" s="18"/>
      <c r="J172" s="18"/>
      <c r="K172" s="18"/>
      <c r="L172" s="18"/>
    </row>
    <row r="173" customFormat="false" ht="15" hidden="false" customHeight="true" outlineLevel="0" collapsed="false">
      <c r="A173" s="19"/>
      <c r="B173" s="17"/>
      <c r="C173" s="11" t="str">
        <f aca="false">IF(B173="","",IFERROR(INDEX(Students!$B$4:$B$203,MATCH(B173,Students!$A$4:$A$203,0)),""))</f>
        <v/>
      </c>
      <c r="D173" s="11" t="str">
        <f aca="false">IF(B173="","",IFERROR(INDEX(Students!$H$4:$H$203,MATCH(B173,Students!$A$4:$A$203,0)),""))</f>
        <v/>
      </c>
      <c r="E173" s="18"/>
      <c r="F173" s="18"/>
      <c r="G173" s="18"/>
      <c r="H173" s="18"/>
      <c r="I173" s="18"/>
      <c r="J173" s="18"/>
      <c r="K173" s="18"/>
      <c r="L173" s="18"/>
    </row>
    <row r="174" customFormat="false" ht="15" hidden="false" customHeight="true" outlineLevel="0" collapsed="false">
      <c r="A174" s="19"/>
      <c r="B174" s="17"/>
      <c r="C174" s="11" t="str">
        <f aca="false">IF(B174="","",IFERROR(INDEX(Students!$B$4:$B$203,MATCH(B174,Students!$A$4:$A$203,0)),""))</f>
        <v/>
      </c>
      <c r="D174" s="11" t="str">
        <f aca="false">IF(B174="","",IFERROR(INDEX(Students!$H$4:$H$203,MATCH(B174,Students!$A$4:$A$203,0)),""))</f>
        <v/>
      </c>
      <c r="E174" s="18"/>
      <c r="F174" s="18"/>
      <c r="G174" s="18"/>
      <c r="H174" s="18"/>
      <c r="I174" s="18"/>
      <c r="J174" s="18"/>
      <c r="K174" s="18"/>
      <c r="L174" s="18"/>
    </row>
    <row r="175" customFormat="false" ht="15" hidden="false" customHeight="true" outlineLevel="0" collapsed="false">
      <c r="A175" s="19"/>
      <c r="B175" s="17"/>
      <c r="C175" s="11" t="str">
        <f aca="false">IF(B175="","",IFERROR(INDEX(Students!$B$4:$B$203,MATCH(B175,Students!$A$4:$A$203,0)),""))</f>
        <v/>
      </c>
      <c r="D175" s="11" t="str">
        <f aca="false">IF(B175="","",IFERROR(INDEX(Students!$H$4:$H$203,MATCH(B175,Students!$A$4:$A$203,0)),""))</f>
        <v/>
      </c>
      <c r="E175" s="18"/>
      <c r="F175" s="18"/>
      <c r="G175" s="18"/>
      <c r="H175" s="18"/>
      <c r="I175" s="18"/>
      <c r="J175" s="18"/>
      <c r="K175" s="18"/>
      <c r="L175" s="18"/>
    </row>
    <row r="176" customFormat="false" ht="15" hidden="false" customHeight="true" outlineLevel="0" collapsed="false">
      <c r="A176" s="19"/>
      <c r="B176" s="17"/>
      <c r="C176" s="11" t="str">
        <f aca="false">IF(B176="","",IFERROR(INDEX(Students!$B$4:$B$203,MATCH(B176,Students!$A$4:$A$203,0)),""))</f>
        <v/>
      </c>
      <c r="D176" s="11" t="str">
        <f aca="false">IF(B176="","",IFERROR(INDEX(Students!$H$4:$H$203,MATCH(B176,Students!$A$4:$A$203,0)),""))</f>
        <v/>
      </c>
      <c r="E176" s="18"/>
      <c r="F176" s="18"/>
      <c r="G176" s="18"/>
      <c r="H176" s="18"/>
      <c r="I176" s="18"/>
      <c r="J176" s="18"/>
      <c r="K176" s="18"/>
      <c r="L176" s="18"/>
    </row>
    <row r="177" customFormat="false" ht="15" hidden="false" customHeight="true" outlineLevel="0" collapsed="false">
      <c r="A177" s="19"/>
      <c r="B177" s="17"/>
      <c r="C177" s="11" t="str">
        <f aca="false">IF(B177="","",IFERROR(INDEX(Students!$B$4:$B$203,MATCH(B177,Students!$A$4:$A$203,0)),""))</f>
        <v/>
      </c>
      <c r="D177" s="11" t="str">
        <f aca="false">IF(B177="","",IFERROR(INDEX(Students!$H$4:$H$203,MATCH(B177,Students!$A$4:$A$203,0)),""))</f>
        <v/>
      </c>
      <c r="E177" s="18"/>
      <c r="F177" s="18"/>
      <c r="G177" s="18"/>
      <c r="H177" s="18"/>
      <c r="I177" s="18"/>
      <c r="J177" s="18"/>
      <c r="K177" s="18"/>
      <c r="L177" s="18"/>
    </row>
    <row r="178" customFormat="false" ht="15" hidden="false" customHeight="true" outlineLevel="0" collapsed="false">
      <c r="A178" s="19"/>
      <c r="B178" s="17"/>
      <c r="C178" s="11" t="str">
        <f aca="false">IF(B178="","",IFERROR(INDEX(Students!$B$4:$B$203,MATCH(B178,Students!$A$4:$A$203,0)),""))</f>
        <v/>
      </c>
      <c r="D178" s="11" t="str">
        <f aca="false">IF(B178="","",IFERROR(INDEX(Students!$H$4:$H$203,MATCH(B178,Students!$A$4:$A$203,0)),""))</f>
        <v/>
      </c>
      <c r="E178" s="18"/>
      <c r="F178" s="18"/>
      <c r="G178" s="18"/>
      <c r="H178" s="18"/>
      <c r="I178" s="18"/>
      <c r="J178" s="18"/>
      <c r="K178" s="18"/>
      <c r="L178" s="18"/>
    </row>
    <row r="179" customFormat="false" ht="15" hidden="false" customHeight="true" outlineLevel="0" collapsed="false">
      <c r="A179" s="19"/>
      <c r="B179" s="17"/>
      <c r="C179" s="11" t="str">
        <f aca="false">IF(B179="","",IFERROR(INDEX(Students!$B$4:$B$203,MATCH(B179,Students!$A$4:$A$203,0)),""))</f>
        <v/>
      </c>
      <c r="D179" s="11" t="str">
        <f aca="false">IF(B179="","",IFERROR(INDEX(Students!$H$4:$H$203,MATCH(B179,Students!$A$4:$A$203,0)),""))</f>
        <v/>
      </c>
      <c r="E179" s="18"/>
      <c r="F179" s="18"/>
      <c r="G179" s="18"/>
      <c r="H179" s="18"/>
      <c r="I179" s="18"/>
      <c r="J179" s="18"/>
      <c r="K179" s="18"/>
      <c r="L179" s="18"/>
    </row>
    <row r="180" customFormat="false" ht="15" hidden="false" customHeight="true" outlineLevel="0" collapsed="false">
      <c r="A180" s="19"/>
      <c r="B180" s="17"/>
      <c r="C180" s="11" t="str">
        <f aca="false">IF(B180="","",IFERROR(INDEX(Students!$B$4:$B$203,MATCH(B180,Students!$A$4:$A$203,0)),""))</f>
        <v/>
      </c>
      <c r="D180" s="11" t="str">
        <f aca="false">IF(B180="","",IFERROR(INDEX(Students!$H$4:$H$203,MATCH(B180,Students!$A$4:$A$203,0)),""))</f>
        <v/>
      </c>
      <c r="E180" s="18"/>
      <c r="F180" s="18"/>
      <c r="G180" s="18"/>
      <c r="H180" s="18"/>
      <c r="I180" s="18"/>
      <c r="J180" s="18"/>
      <c r="K180" s="18"/>
      <c r="L180" s="18"/>
    </row>
    <row r="181" customFormat="false" ht="15" hidden="false" customHeight="true" outlineLevel="0" collapsed="false">
      <c r="A181" s="19"/>
      <c r="B181" s="17"/>
      <c r="C181" s="11" t="str">
        <f aca="false">IF(B181="","",IFERROR(INDEX(Students!$B$4:$B$203,MATCH(B181,Students!$A$4:$A$203,0)),""))</f>
        <v/>
      </c>
      <c r="D181" s="11" t="str">
        <f aca="false">IF(B181="","",IFERROR(INDEX(Students!$H$4:$H$203,MATCH(B181,Students!$A$4:$A$203,0)),""))</f>
        <v/>
      </c>
      <c r="E181" s="18"/>
      <c r="F181" s="18"/>
      <c r="G181" s="18"/>
      <c r="H181" s="18"/>
      <c r="I181" s="18"/>
      <c r="J181" s="18"/>
      <c r="K181" s="18"/>
      <c r="L181" s="18"/>
    </row>
    <row r="182" customFormat="false" ht="15" hidden="false" customHeight="true" outlineLevel="0" collapsed="false">
      <c r="A182" s="19"/>
      <c r="B182" s="17"/>
      <c r="C182" s="11" t="str">
        <f aca="false">IF(B182="","",IFERROR(INDEX(Students!$B$4:$B$203,MATCH(B182,Students!$A$4:$A$203,0)),""))</f>
        <v/>
      </c>
      <c r="D182" s="11" t="str">
        <f aca="false">IF(B182="","",IFERROR(INDEX(Students!$H$4:$H$203,MATCH(B182,Students!$A$4:$A$203,0)),""))</f>
        <v/>
      </c>
      <c r="E182" s="18"/>
      <c r="F182" s="18"/>
      <c r="G182" s="18"/>
      <c r="H182" s="18"/>
      <c r="I182" s="18"/>
      <c r="J182" s="18"/>
      <c r="K182" s="18"/>
      <c r="L182" s="18"/>
    </row>
    <row r="183" customFormat="false" ht="15" hidden="false" customHeight="true" outlineLevel="0" collapsed="false">
      <c r="A183" s="19"/>
      <c r="B183" s="17"/>
      <c r="C183" s="11" t="str">
        <f aca="false">IF(B183="","",IFERROR(INDEX(Students!$B$4:$B$203,MATCH(B183,Students!$A$4:$A$203,0)),""))</f>
        <v/>
      </c>
      <c r="D183" s="11" t="str">
        <f aca="false">IF(B183="","",IFERROR(INDEX(Students!$H$4:$H$203,MATCH(B183,Students!$A$4:$A$203,0)),""))</f>
        <v/>
      </c>
      <c r="E183" s="18"/>
      <c r="F183" s="18"/>
      <c r="G183" s="18"/>
      <c r="H183" s="18"/>
      <c r="I183" s="18"/>
      <c r="J183" s="18"/>
      <c r="K183" s="18"/>
      <c r="L183" s="18"/>
    </row>
    <row r="184" customFormat="false" ht="15" hidden="false" customHeight="true" outlineLevel="0" collapsed="false">
      <c r="A184" s="19"/>
      <c r="B184" s="17"/>
      <c r="C184" s="11" t="str">
        <f aca="false">IF(B184="","",IFERROR(INDEX(Students!$B$4:$B$203,MATCH(B184,Students!$A$4:$A$203,0)),""))</f>
        <v/>
      </c>
      <c r="D184" s="11" t="str">
        <f aca="false">IF(B184="","",IFERROR(INDEX(Students!$H$4:$H$203,MATCH(B184,Students!$A$4:$A$203,0)),""))</f>
        <v/>
      </c>
      <c r="E184" s="18"/>
      <c r="F184" s="18"/>
      <c r="G184" s="18"/>
      <c r="H184" s="18"/>
      <c r="I184" s="18"/>
      <c r="J184" s="18"/>
      <c r="K184" s="18"/>
      <c r="L184" s="18"/>
    </row>
    <row r="185" customFormat="false" ht="15" hidden="false" customHeight="true" outlineLevel="0" collapsed="false">
      <c r="A185" s="19"/>
      <c r="B185" s="17"/>
      <c r="C185" s="11" t="str">
        <f aca="false">IF(B185="","",IFERROR(INDEX(Students!$B$4:$B$203,MATCH(B185,Students!$A$4:$A$203,0)),""))</f>
        <v/>
      </c>
      <c r="D185" s="11" t="str">
        <f aca="false">IF(B185="","",IFERROR(INDEX(Students!$H$4:$H$203,MATCH(B185,Students!$A$4:$A$203,0)),""))</f>
        <v/>
      </c>
      <c r="E185" s="18"/>
      <c r="F185" s="18"/>
      <c r="G185" s="18"/>
      <c r="H185" s="18"/>
      <c r="I185" s="18"/>
      <c r="J185" s="18"/>
      <c r="K185" s="18"/>
      <c r="L185" s="18"/>
    </row>
    <row r="186" customFormat="false" ht="15" hidden="false" customHeight="true" outlineLevel="0" collapsed="false">
      <c r="A186" s="19"/>
      <c r="B186" s="17"/>
      <c r="C186" s="11" t="str">
        <f aca="false">IF(B186="","",IFERROR(INDEX(Students!$B$4:$B$203,MATCH(B186,Students!$A$4:$A$203,0)),""))</f>
        <v/>
      </c>
      <c r="D186" s="11" t="str">
        <f aca="false">IF(B186="","",IFERROR(INDEX(Students!$H$4:$H$203,MATCH(B186,Students!$A$4:$A$203,0)),""))</f>
        <v/>
      </c>
      <c r="E186" s="18"/>
      <c r="F186" s="18"/>
      <c r="G186" s="18"/>
      <c r="H186" s="18"/>
      <c r="I186" s="18"/>
      <c r="J186" s="18"/>
      <c r="K186" s="18"/>
      <c r="L186" s="18"/>
    </row>
    <row r="187" customFormat="false" ht="15" hidden="false" customHeight="true" outlineLevel="0" collapsed="false">
      <c r="A187" s="19"/>
      <c r="B187" s="17"/>
      <c r="C187" s="11" t="str">
        <f aca="false">IF(B187="","",IFERROR(INDEX(Students!$B$4:$B$203,MATCH(B187,Students!$A$4:$A$203,0)),""))</f>
        <v/>
      </c>
      <c r="D187" s="11" t="str">
        <f aca="false">IF(B187="","",IFERROR(INDEX(Students!$H$4:$H$203,MATCH(B187,Students!$A$4:$A$203,0)),""))</f>
        <v/>
      </c>
      <c r="E187" s="18"/>
      <c r="F187" s="18"/>
      <c r="G187" s="18"/>
      <c r="H187" s="18"/>
      <c r="I187" s="18"/>
      <c r="J187" s="18"/>
      <c r="K187" s="18"/>
      <c r="L187" s="18"/>
    </row>
    <row r="188" customFormat="false" ht="15" hidden="false" customHeight="true" outlineLevel="0" collapsed="false">
      <c r="A188" s="19"/>
      <c r="B188" s="17"/>
      <c r="C188" s="11" t="str">
        <f aca="false">IF(B188="","",IFERROR(INDEX(Students!$B$4:$B$203,MATCH(B188,Students!$A$4:$A$203,0)),""))</f>
        <v/>
      </c>
      <c r="D188" s="11" t="str">
        <f aca="false">IF(B188="","",IFERROR(INDEX(Students!$H$4:$H$203,MATCH(B188,Students!$A$4:$A$203,0)),""))</f>
        <v/>
      </c>
      <c r="E188" s="18"/>
      <c r="F188" s="18"/>
      <c r="G188" s="18"/>
      <c r="H188" s="18"/>
      <c r="I188" s="18"/>
      <c r="J188" s="18"/>
      <c r="K188" s="18"/>
      <c r="L188" s="18"/>
    </row>
    <row r="189" customFormat="false" ht="15" hidden="false" customHeight="true" outlineLevel="0" collapsed="false">
      <c r="A189" s="19"/>
      <c r="B189" s="17"/>
      <c r="C189" s="11" t="str">
        <f aca="false">IF(B189="","",IFERROR(INDEX(Students!$B$4:$B$203,MATCH(B189,Students!$A$4:$A$203,0)),""))</f>
        <v/>
      </c>
      <c r="D189" s="11" t="str">
        <f aca="false">IF(B189="","",IFERROR(INDEX(Students!$H$4:$H$203,MATCH(B189,Students!$A$4:$A$203,0)),""))</f>
        <v/>
      </c>
      <c r="E189" s="18"/>
      <c r="F189" s="18"/>
      <c r="G189" s="18"/>
      <c r="H189" s="18"/>
      <c r="I189" s="18"/>
      <c r="J189" s="18"/>
      <c r="K189" s="18"/>
      <c r="L189" s="18"/>
    </row>
    <row r="190" customFormat="false" ht="15" hidden="false" customHeight="true" outlineLevel="0" collapsed="false">
      <c r="A190" s="19"/>
      <c r="B190" s="17"/>
      <c r="C190" s="11" t="str">
        <f aca="false">IF(B190="","",IFERROR(INDEX(Students!$B$4:$B$203,MATCH(B190,Students!$A$4:$A$203,0)),""))</f>
        <v/>
      </c>
      <c r="D190" s="11" t="str">
        <f aca="false">IF(B190="","",IFERROR(INDEX(Students!$H$4:$H$203,MATCH(B190,Students!$A$4:$A$203,0)),""))</f>
        <v/>
      </c>
      <c r="E190" s="18"/>
      <c r="F190" s="18"/>
      <c r="G190" s="18"/>
      <c r="H190" s="18"/>
      <c r="I190" s="18"/>
      <c r="J190" s="18"/>
      <c r="K190" s="18"/>
      <c r="L190" s="18"/>
    </row>
    <row r="191" customFormat="false" ht="15" hidden="false" customHeight="true" outlineLevel="0" collapsed="false">
      <c r="A191" s="19"/>
      <c r="B191" s="17"/>
      <c r="C191" s="11" t="str">
        <f aca="false">IF(B191="","",IFERROR(INDEX(Students!$B$4:$B$203,MATCH(B191,Students!$A$4:$A$203,0)),""))</f>
        <v/>
      </c>
      <c r="D191" s="11" t="str">
        <f aca="false">IF(B191="","",IFERROR(INDEX(Students!$H$4:$H$203,MATCH(B191,Students!$A$4:$A$203,0)),""))</f>
        <v/>
      </c>
      <c r="E191" s="18"/>
      <c r="F191" s="18"/>
      <c r="G191" s="18"/>
      <c r="H191" s="18"/>
      <c r="I191" s="18"/>
      <c r="J191" s="18"/>
      <c r="K191" s="18"/>
      <c r="L191" s="18"/>
    </row>
    <row r="192" customFormat="false" ht="15" hidden="false" customHeight="true" outlineLevel="0" collapsed="false">
      <c r="A192" s="19"/>
      <c r="B192" s="17"/>
      <c r="C192" s="11" t="str">
        <f aca="false">IF(B192="","",IFERROR(INDEX(Students!$B$4:$B$203,MATCH(B192,Students!$A$4:$A$203,0)),""))</f>
        <v/>
      </c>
      <c r="D192" s="11" t="str">
        <f aca="false">IF(B192="","",IFERROR(INDEX(Students!$H$4:$H$203,MATCH(B192,Students!$A$4:$A$203,0)),""))</f>
        <v/>
      </c>
      <c r="E192" s="18"/>
      <c r="F192" s="18"/>
      <c r="G192" s="18"/>
      <c r="H192" s="18"/>
      <c r="I192" s="18"/>
      <c r="J192" s="18"/>
      <c r="K192" s="18"/>
      <c r="L192" s="18"/>
    </row>
    <row r="193" customFormat="false" ht="15" hidden="false" customHeight="true" outlineLevel="0" collapsed="false">
      <c r="A193" s="19"/>
      <c r="B193" s="17"/>
      <c r="C193" s="11" t="str">
        <f aca="false">IF(B193="","",IFERROR(INDEX(Students!$B$4:$B$203,MATCH(B193,Students!$A$4:$A$203,0)),""))</f>
        <v/>
      </c>
      <c r="D193" s="11" t="str">
        <f aca="false">IF(B193="","",IFERROR(INDEX(Students!$H$4:$H$203,MATCH(B193,Students!$A$4:$A$203,0)),""))</f>
        <v/>
      </c>
      <c r="E193" s="18"/>
      <c r="F193" s="18"/>
      <c r="G193" s="18"/>
      <c r="H193" s="18"/>
      <c r="I193" s="18"/>
      <c r="J193" s="18"/>
      <c r="K193" s="18"/>
      <c r="L193" s="18"/>
    </row>
    <row r="194" customFormat="false" ht="15" hidden="false" customHeight="true" outlineLevel="0" collapsed="false">
      <c r="A194" s="19"/>
      <c r="B194" s="17"/>
      <c r="C194" s="11" t="str">
        <f aca="false">IF(B194="","",IFERROR(INDEX(Students!$B$4:$B$203,MATCH(B194,Students!$A$4:$A$203,0)),""))</f>
        <v/>
      </c>
      <c r="D194" s="11" t="str">
        <f aca="false">IF(B194="","",IFERROR(INDEX(Students!$H$4:$H$203,MATCH(B194,Students!$A$4:$A$203,0)),""))</f>
        <v/>
      </c>
      <c r="E194" s="18"/>
      <c r="F194" s="18"/>
      <c r="G194" s="18"/>
      <c r="H194" s="18"/>
      <c r="I194" s="18"/>
      <c r="J194" s="18"/>
      <c r="K194" s="18"/>
      <c r="L194" s="18"/>
    </row>
    <row r="195" customFormat="false" ht="15" hidden="false" customHeight="true" outlineLevel="0" collapsed="false">
      <c r="A195" s="19"/>
      <c r="B195" s="17"/>
      <c r="C195" s="11" t="str">
        <f aca="false">IF(B195="","",IFERROR(INDEX(Students!$B$4:$B$203,MATCH(B195,Students!$A$4:$A$203,0)),""))</f>
        <v/>
      </c>
      <c r="D195" s="11" t="str">
        <f aca="false">IF(B195="","",IFERROR(INDEX(Students!$H$4:$H$203,MATCH(B195,Students!$A$4:$A$203,0)),""))</f>
        <v/>
      </c>
      <c r="E195" s="18"/>
      <c r="F195" s="18"/>
      <c r="G195" s="18"/>
      <c r="H195" s="18"/>
      <c r="I195" s="18"/>
      <c r="J195" s="18"/>
      <c r="K195" s="18"/>
      <c r="L195" s="18"/>
    </row>
    <row r="196" customFormat="false" ht="15" hidden="false" customHeight="true" outlineLevel="0" collapsed="false">
      <c r="A196" s="19"/>
      <c r="B196" s="17"/>
      <c r="C196" s="11" t="str">
        <f aca="false">IF(B196="","",IFERROR(INDEX(Students!$B$4:$B$203,MATCH(B196,Students!$A$4:$A$203,0)),""))</f>
        <v/>
      </c>
      <c r="D196" s="11" t="str">
        <f aca="false">IF(B196="","",IFERROR(INDEX(Students!$H$4:$H$203,MATCH(B196,Students!$A$4:$A$203,0)),""))</f>
        <v/>
      </c>
      <c r="E196" s="18"/>
      <c r="F196" s="18"/>
      <c r="G196" s="18"/>
      <c r="H196" s="18"/>
      <c r="I196" s="18"/>
      <c r="J196" s="18"/>
      <c r="K196" s="18"/>
      <c r="L196" s="18"/>
    </row>
    <row r="197" customFormat="false" ht="15" hidden="false" customHeight="true" outlineLevel="0" collapsed="false">
      <c r="A197" s="19"/>
      <c r="B197" s="17"/>
      <c r="C197" s="11" t="str">
        <f aca="false">IF(B197="","",IFERROR(INDEX(Students!$B$4:$B$203,MATCH(B197,Students!$A$4:$A$203,0)),""))</f>
        <v/>
      </c>
      <c r="D197" s="11" t="str">
        <f aca="false">IF(B197="","",IFERROR(INDEX(Students!$H$4:$H$203,MATCH(B197,Students!$A$4:$A$203,0)),""))</f>
        <v/>
      </c>
      <c r="E197" s="18"/>
      <c r="F197" s="18"/>
      <c r="G197" s="18"/>
      <c r="H197" s="18"/>
      <c r="I197" s="18"/>
      <c r="J197" s="18"/>
      <c r="K197" s="18"/>
      <c r="L197" s="18"/>
    </row>
    <row r="198" customFormat="false" ht="15" hidden="false" customHeight="true" outlineLevel="0" collapsed="false">
      <c r="A198" s="19"/>
      <c r="B198" s="17"/>
      <c r="C198" s="11" t="str">
        <f aca="false">IF(B198="","",IFERROR(INDEX(Students!$B$4:$B$203,MATCH(B198,Students!$A$4:$A$203,0)),""))</f>
        <v/>
      </c>
      <c r="D198" s="11" t="str">
        <f aca="false">IF(B198="","",IFERROR(INDEX(Students!$H$4:$H$203,MATCH(B198,Students!$A$4:$A$203,0)),""))</f>
        <v/>
      </c>
      <c r="E198" s="18"/>
      <c r="F198" s="18"/>
      <c r="G198" s="18"/>
      <c r="H198" s="18"/>
      <c r="I198" s="18"/>
      <c r="J198" s="18"/>
      <c r="K198" s="18"/>
      <c r="L198" s="18"/>
    </row>
    <row r="199" customFormat="false" ht="15" hidden="false" customHeight="true" outlineLevel="0" collapsed="false">
      <c r="A199" s="19"/>
      <c r="B199" s="17"/>
      <c r="C199" s="11" t="str">
        <f aca="false">IF(B199="","",IFERROR(INDEX(Students!$B$4:$B$203,MATCH(B199,Students!$A$4:$A$203,0)),""))</f>
        <v/>
      </c>
      <c r="D199" s="11" t="str">
        <f aca="false">IF(B199="","",IFERROR(INDEX(Students!$H$4:$H$203,MATCH(B199,Students!$A$4:$A$203,0)),""))</f>
        <v/>
      </c>
      <c r="E199" s="18"/>
      <c r="F199" s="18"/>
      <c r="G199" s="18"/>
      <c r="H199" s="18"/>
      <c r="I199" s="18"/>
      <c r="J199" s="18"/>
      <c r="K199" s="18"/>
      <c r="L199" s="18"/>
    </row>
    <row r="200" customFormat="false" ht="15" hidden="false" customHeight="true" outlineLevel="0" collapsed="false">
      <c r="A200" s="19"/>
      <c r="B200" s="17"/>
      <c r="C200" s="11" t="str">
        <f aca="false">IF(B200="","",IFERROR(INDEX(Students!$B$4:$B$203,MATCH(B200,Students!$A$4:$A$203,0)),""))</f>
        <v/>
      </c>
      <c r="D200" s="11" t="str">
        <f aca="false">IF(B200="","",IFERROR(INDEX(Students!$H$4:$H$203,MATCH(B200,Students!$A$4:$A$203,0)),""))</f>
        <v/>
      </c>
      <c r="E200" s="18"/>
      <c r="F200" s="18"/>
      <c r="G200" s="18"/>
      <c r="H200" s="18"/>
      <c r="I200" s="18"/>
      <c r="J200" s="18"/>
      <c r="K200" s="18"/>
      <c r="L200" s="18"/>
    </row>
    <row r="201" customFormat="false" ht="15" hidden="false" customHeight="true" outlineLevel="0" collapsed="false">
      <c r="A201" s="19"/>
      <c r="B201" s="17"/>
      <c r="C201" s="11" t="str">
        <f aca="false">IF(B201="","",IFERROR(INDEX(Students!$B$4:$B$203,MATCH(B201,Students!$A$4:$A$203,0)),""))</f>
        <v/>
      </c>
      <c r="D201" s="11" t="str">
        <f aca="false">IF(B201="","",IFERROR(INDEX(Students!$H$4:$H$203,MATCH(B201,Students!$A$4:$A$203,0)),""))</f>
        <v/>
      </c>
      <c r="E201" s="18"/>
      <c r="F201" s="18"/>
      <c r="G201" s="18"/>
      <c r="H201" s="18"/>
      <c r="I201" s="18"/>
      <c r="J201" s="18"/>
      <c r="K201" s="18"/>
      <c r="L201" s="18"/>
    </row>
    <row r="202" customFormat="false" ht="15" hidden="false" customHeight="true" outlineLevel="0" collapsed="false">
      <c r="A202" s="19"/>
      <c r="B202" s="17"/>
      <c r="C202" s="11" t="str">
        <f aca="false">IF(B202="","",IFERROR(INDEX(Students!$B$4:$B$203,MATCH(B202,Students!$A$4:$A$203,0)),""))</f>
        <v/>
      </c>
      <c r="D202" s="11" t="str">
        <f aca="false">IF(B202="","",IFERROR(INDEX(Students!$H$4:$H$203,MATCH(B202,Students!$A$4:$A$203,0)),""))</f>
        <v/>
      </c>
      <c r="E202" s="18"/>
      <c r="F202" s="18"/>
      <c r="G202" s="18"/>
      <c r="H202" s="18"/>
      <c r="I202" s="18"/>
      <c r="J202" s="18"/>
      <c r="K202" s="18"/>
      <c r="L202" s="18"/>
    </row>
    <row r="203" customFormat="false" ht="15" hidden="false" customHeight="true" outlineLevel="0" collapsed="false">
      <c r="A203" s="19"/>
      <c r="B203" s="17"/>
      <c r="C203" s="11" t="str">
        <f aca="false">IF(B203="","",IFERROR(INDEX(Students!$B$4:$B$203,MATCH(B203,Students!$A$4:$A$203,0)),""))</f>
        <v/>
      </c>
      <c r="D203" s="11" t="str">
        <f aca="false">IF(B203="","",IFERROR(INDEX(Students!$H$4:$H$203,MATCH(B203,Students!$A$4:$A$203,0)),""))</f>
        <v/>
      </c>
      <c r="E203" s="18"/>
      <c r="F203" s="18"/>
      <c r="G203" s="18"/>
      <c r="H203" s="18"/>
      <c r="I203" s="18"/>
      <c r="J203" s="18"/>
      <c r="K203" s="18"/>
      <c r="L203" s="18"/>
    </row>
    <row r="204" customFormat="false" ht="15" hidden="false" customHeight="true" outlineLevel="0" collapsed="false">
      <c r="A204" s="19"/>
      <c r="B204" s="17"/>
      <c r="C204" s="11" t="str">
        <f aca="false">IF(B204="","",IFERROR(INDEX(Students!$B$4:$B$203,MATCH(B204,Students!$A$4:$A$203,0)),""))</f>
        <v/>
      </c>
      <c r="D204" s="11" t="str">
        <f aca="false">IF(B204="","",IFERROR(INDEX(Students!$H$4:$H$203,MATCH(B204,Students!$A$4:$A$203,0)),""))</f>
        <v/>
      </c>
      <c r="E204" s="18"/>
      <c r="F204" s="18"/>
      <c r="G204" s="18"/>
      <c r="H204" s="18"/>
      <c r="I204" s="18"/>
      <c r="J204" s="18"/>
      <c r="K204" s="18"/>
      <c r="L204" s="18"/>
    </row>
    <row r="205" customFormat="false" ht="15" hidden="false" customHeight="true" outlineLevel="0" collapsed="false">
      <c r="A205" s="19"/>
      <c r="B205" s="17"/>
      <c r="C205" s="11" t="str">
        <f aca="false">IF(B205="","",IFERROR(INDEX(Students!$B$4:$B$203,MATCH(B205,Students!$A$4:$A$203,0)),""))</f>
        <v/>
      </c>
      <c r="D205" s="11" t="str">
        <f aca="false">IF(B205="","",IFERROR(INDEX(Students!$H$4:$H$203,MATCH(B205,Students!$A$4:$A$203,0)),""))</f>
        <v/>
      </c>
      <c r="E205" s="18"/>
      <c r="F205" s="18"/>
      <c r="G205" s="18"/>
      <c r="H205" s="18"/>
      <c r="I205" s="18"/>
      <c r="J205" s="18"/>
      <c r="K205" s="18"/>
      <c r="L205" s="18"/>
    </row>
    <row r="206" customFormat="false" ht="15" hidden="false" customHeight="true" outlineLevel="0" collapsed="false">
      <c r="A206" s="19"/>
      <c r="B206" s="17"/>
      <c r="C206" s="11" t="str">
        <f aca="false">IF(B206="","",IFERROR(INDEX(Students!$B$4:$B$203,MATCH(B206,Students!$A$4:$A$203,0)),""))</f>
        <v/>
      </c>
      <c r="D206" s="11" t="str">
        <f aca="false">IF(B206="","",IFERROR(INDEX(Students!$H$4:$H$203,MATCH(B206,Students!$A$4:$A$203,0)),""))</f>
        <v/>
      </c>
      <c r="E206" s="18"/>
      <c r="F206" s="18"/>
      <c r="G206" s="18"/>
      <c r="H206" s="18"/>
      <c r="I206" s="18"/>
      <c r="J206" s="18"/>
      <c r="K206" s="18"/>
      <c r="L206" s="18"/>
    </row>
    <row r="207" customFormat="false" ht="15" hidden="false" customHeight="true" outlineLevel="0" collapsed="false">
      <c r="A207" s="19"/>
      <c r="B207" s="17"/>
      <c r="C207" s="11" t="str">
        <f aca="false">IF(B207="","",IFERROR(INDEX(Students!$B$4:$B$203,MATCH(B207,Students!$A$4:$A$203,0)),""))</f>
        <v/>
      </c>
      <c r="D207" s="11" t="str">
        <f aca="false">IF(B207="","",IFERROR(INDEX(Students!$H$4:$H$203,MATCH(B207,Students!$A$4:$A$203,0)),""))</f>
        <v/>
      </c>
      <c r="E207" s="18"/>
      <c r="F207" s="18"/>
      <c r="G207" s="18"/>
      <c r="H207" s="18"/>
      <c r="I207" s="18"/>
      <c r="J207" s="18"/>
      <c r="K207" s="18"/>
      <c r="L207" s="18"/>
    </row>
    <row r="208" customFormat="false" ht="15" hidden="false" customHeight="true" outlineLevel="0" collapsed="false">
      <c r="A208" s="19"/>
      <c r="B208" s="17"/>
      <c r="C208" s="11" t="str">
        <f aca="false">IF(B208="","",IFERROR(INDEX(Students!$B$4:$B$203,MATCH(B208,Students!$A$4:$A$203,0)),""))</f>
        <v/>
      </c>
      <c r="D208" s="11" t="str">
        <f aca="false">IF(B208="","",IFERROR(INDEX(Students!$H$4:$H$203,MATCH(B208,Students!$A$4:$A$203,0)),""))</f>
        <v/>
      </c>
      <c r="E208" s="18"/>
      <c r="F208" s="18"/>
      <c r="G208" s="18"/>
      <c r="H208" s="18"/>
      <c r="I208" s="18"/>
      <c r="J208" s="18"/>
      <c r="K208" s="18"/>
      <c r="L208" s="18"/>
    </row>
    <row r="209" customFormat="false" ht="15" hidden="false" customHeight="true" outlineLevel="0" collapsed="false">
      <c r="A209" s="19"/>
      <c r="B209" s="17"/>
      <c r="C209" s="11" t="str">
        <f aca="false">IF(B209="","",IFERROR(INDEX(Students!$B$4:$B$203,MATCH(B209,Students!$A$4:$A$203,0)),""))</f>
        <v/>
      </c>
      <c r="D209" s="11" t="str">
        <f aca="false">IF(B209="","",IFERROR(INDEX(Students!$H$4:$H$203,MATCH(B209,Students!$A$4:$A$203,0)),""))</f>
        <v/>
      </c>
      <c r="E209" s="18"/>
      <c r="F209" s="18"/>
      <c r="G209" s="18"/>
      <c r="H209" s="18"/>
      <c r="I209" s="18"/>
      <c r="J209" s="18"/>
      <c r="K209" s="18"/>
      <c r="L209" s="18"/>
    </row>
    <row r="210" customFormat="false" ht="15" hidden="false" customHeight="true" outlineLevel="0" collapsed="false">
      <c r="A210" s="19"/>
      <c r="B210" s="17"/>
      <c r="C210" s="11" t="str">
        <f aca="false">IF(B210="","",IFERROR(INDEX(Students!$B$4:$B$203,MATCH(B210,Students!$A$4:$A$203,0)),""))</f>
        <v/>
      </c>
      <c r="D210" s="11" t="str">
        <f aca="false">IF(B210="","",IFERROR(INDEX(Students!$H$4:$H$203,MATCH(B210,Students!$A$4:$A$203,0)),""))</f>
        <v/>
      </c>
      <c r="E210" s="18"/>
      <c r="F210" s="18"/>
      <c r="G210" s="18"/>
      <c r="H210" s="18"/>
      <c r="I210" s="18"/>
      <c r="J210" s="18"/>
      <c r="K210" s="18"/>
      <c r="L210" s="18"/>
    </row>
    <row r="211" customFormat="false" ht="15" hidden="false" customHeight="true" outlineLevel="0" collapsed="false">
      <c r="A211" s="19"/>
      <c r="B211" s="17"/>
      <c r="C211" s="11" t="str">
        <f aca="false">IF(B211="","",IFERROR(INDEX(Students!$B$4:$B$203,MATCH(B211,Students!$A$4:$A$203,0)),""))</f>
        <v/>
      </c>
      <c r="D211" s="11" t="str">
        <f aca="false">IF(B211="","",IFERROR(INDEX(Students!$H$4:$H$203,MATCH(B211,Students!$A$4:$A$203,0)),""))</f>
        <v/>
      </c>
      <c r="E211" s="18"/>
      <c r="F211" s="18"/>
      <c r="G211" s="18"/>
      <c r="H211" s="18"/>
      <c r="I211" s="18"/>
      <c r="J211" s="18"/>
      <c r="K211" s="18"/>
      <c r="L211" s="18"/>
    </row>
    <row r="212" customFormat="false" ht="15" hidden="false" customHeight="true" outlineLevel="0" collapsed="false">
      <c r="A212" s="19"/>
      <c r="B212" s="17"/>
      <c r="C212" s="11" t="str">
        <f aca="false">IF(B212="","",IFERROR(INDEX(Students!$B$4:$B$203,MATCH(B212,Students!$A$4:$A$203,0)),""))</f>
        <v/>
      </c>
      <c r="D212" s="11" t="str">
        <f aca="false">IF(B212="","",IFERROR(INDEX(Students!$H$4:$H$203,MATCH(B212,Students!$A$4:$A$203,0)),""))</f>
        <v/>
      </c>
      <c r="E212" s="18"/>
      <c r="F212" s="18"/>
      <c r="G212" s="18"/>
      <c r="H212" s="18"/>
      <c r="I212" s="18"/>
      <c r="J212" s="18"/>
      <c r="K212" s="18"/>
      <c r="L212" s="18"/>
    </row>
    <row r="213" customFormat="false" ht="15" hidden="false" customHeight="true" outlineLevel="0" collapsed="false">
      <c r="A213" s="19"/>
      <c r="B213" s="17"/>
      <c r="C213" s="11" t="str">
        <f aca="false">IF(B213="","",IFERROR(INDEX(Students!$B$4:$B$203,MATCH(B213,Students!$A$4:$A$203,0)),""))</f>
        <v/>
      </c>
      <c r="D213" s="11" t="str">
        <f aca="false">IF(B213="","",IFERROR(INDEX(Students!$H$4:$H$203,MATCH(B213,Students!$A$4:$A$203,0)),""))</f>
        <v/>
      </c>
      <c r="E213" s="18"/>
      <c r="F213" s="18"/>
      <c r="G213" s="18"/>
      <c r="H213" s="18"/>
      <c r="I213" s="18"/>
      <c r="J213" s="18"/>
      <c r="K213" s="18"/>
      <c r="L213" s="18"/>
    </row>
    <row r="214" customFormat="false" ht="15" hidden="false" customHeight="true" outlineLevel="0" collapsed="false">
      <c r="A214" s="19"/>
      <c r="B214" s="17"/>
      <c r="C214" s="11" t="str">
        <f aca="false">IF(B214="","",IFERROR(INDEX(Students!$B$4:$B$203,MATCH(B214,Students!$A$4:$A$203,0)),""))</f>
        <v/>
      </c>
      <c r="D214" s="11" t="str">
        <f aca="false">IF(B214="","",IFERROR(INDEX(Students!$H$4:$H$203,MATCH(B214,Students!$A$4:$A$203,0)),""))</f>
        <v/>
      </c>
      <c r="E214" s="18"/>
      <c r="F214" s="18"/>
      <c r="G214" s="18"/>
      <c r="H214" s="18"/>
      <c r="I214" s="18"/>
      <c r="J214" s="18"/>
      <c r="K214" s="18"/>
      <c r="L214" s="18"/>
    </row>
    <row r="215" customFormat="false" ht="15" hidden="false" customHeight="true" outlineLevel="0" collapsed="false">
      <c r="A215" s="19"/>
      <c r="B215" s="17"/>
      <c r="C215" s="11" t="str">
        <f aca="false">IF(B215="","",IFERROR(INDEX(Students!$B$4:$B$203,MATCH(B215,Students!$A$4:$A$203,0)),""))</f>
        <v/>
      </c>
      <c r="D215" s="11" t="str">
        <f aca="false">IF(B215="","",IFERROR(INDEX(Students!$H$4:$H$203,MATCH(B215,Students!$A$4:$A$203,0)),""))</f>
        <v/>
      </c>
      <c r="E215" s="18"/>
      <c r="F215" s="18"/>
      <c r="G215" s="18"/>
      <c r="H215" s="18"/>
      <c r="I215" s="18"/>
      <c r="J215" s="18"/>
      <c r="K215" s="18"/>
      <c r="L215" s="18"/>
    </row>
    <row r="216" customFormat="false" ht="15" hidden="false" customHeight="true" outlineLevel="0" collapsed="false">
      <c r="A216" s="19"/>
      <c r="B216" s="17"/>
      <c r="C216" s="11" t="str">
        <f aca="false">IF(B216="","",IFERROR(INDEX(Students!$B$4:$B$203,MATCH(B216,Students!$A$4:$A$203,0)),""))</f>
        <v/>
      </c>
      <c r="D216" s="11" t="str">
        <f aca="false">IF(B216="","",IFERROR(INDEX(Students!$H$4:$H$203,MATCH(B216,Students!$A$4:$A$203,0)),""))</f>
        <v/>
      </c>
      <c r="E216" s="18"/>
      <c r="F216" s="18"/>
      <c r="G216" s="18"/>
      <c r="H216" s="18"/>
      <c r="I216" s="18"/>
      <c r="J216" s="18"/>
      <c r="K216" s="18"/>
      <c r="L216" s="18"/>
    </row>
    <row r="217" customFormat="false" ht="15" hidden="false" customHeight="true" outlineLevel="0" collapsed="false">
      <c r="A217" s="19"/>
      <c r="B217" s="17"/>
      <c r="C217" s="11" t="str">
        <f aca="false">IF(B217="","",IFERROR(INDEX(Students!$B$4:$B$203,MATCH(B217,Students!$A$4:$A$203,0)),""))</f>
        <v/>
      </c>
      <c r="D217" s="11" t="str">
        <f aca="false">IF(B217="","",IFERROR(INDEX(Students!$H$4:$H$203,MATCH(B217,Students!$A$4:$A$203,0)),""))</f>
        <v/>
      </c>
      <c r="E217" s="18"/>
      <c r="F217" s="18"/>
      <c r="G217" s="18"/>
      <c r="H217" s="18"/>
      <c r="I217" s="18"/>
      <c r="J217" s="18"/>
      <c r="K217" s="18"/>
      <c r="L217" s="18"/>
    </row>
    <row r="218" customFormat="false" ht="15" hidden="false" customHeight="true" outlineLevel="0" collapsed="false">
      <c r="A218" s="19"/>
      <c r="B218" s="17"/>
      <c r="C218" s="11" t="str">
        <f aca="false">IF(B218="","",IFERROR(INDEX(Students!$B$4:$B$203,MATCH(B218,Students!$A$4:$A$203,0)),""))</f>
        <v/>
      </c>
      <c r="D218" s="11" t="str">
        <f aca="false">IF(B218="","",IFERROR(INDEX(Students!$H$4:$H$203,MATCH(B218,Students!$A$4:$A$203,0)),""))</f>
        <v/>
      </c>
      <c r="E218" s="18"/>
      <c r="F218" s="18"/>
      <c r="G218" s="18"/>
      <c r="H218" s="18"/>
      <c r="I218" s="18"/>
      <c r="J218" s="18"/>
      <c r="K218" s="18"/>
      <c r="L218" s="18"/>
    </row>
    <row r="219" customFormat="false" ht="15" hidden="false" customHeight="true" outlineLevel="0" collapsed="false">
      <c r="A219" s="19"/>
      <c r="B219" s="17"/>
      <c r="C219" s="11" t="str">
        <f aca="false">IF(B219="","",IFERROR(INDEX(Students!$B$4:$B$203,MATCH(B219,Students!$A$4:$A$203,0)),""))</f>
        <v/>
      </c>
      <c r="D219" s="11" t="str">
        <f aca="false">IF(B219="","",IFERROR(INDEX(Students!$H$4:$H$203,MATCH(B219,Students!$A$4:$A$203,0)),""))</f>
        <v/>
      </c>
      <c r="E219" s="18"/>
      <c r="F219" s="18"/>
      <c r="G219" s="18"/>
      <c r="H219" s="18"/>
      <c r="I219" s="18"/>
      <c r="J219" s="18"/>
      <c r="K219" s="18"/>
      <c r="L219" s="18"/>
    </row>
    <row r="220" customFormat="false" ht="15" hidden="false" customHeight="true" outlineLevel="0" collapsed="false">
      <c r="A220" s="19"/>
      <c r="B220" s="17"/>
      <c r="C220" s="11" t="str">
        <f aca="false">IF(B220="","",IFERROR(INDEX(Students!$B$4:$B$203,MATCH(B220,Students!$A$4:$A$203,0)),""))</f>
        <v/>
      </c>
      <c r="D220" s="11" t="str">
        <f aca="false">IF(B220="","",IFERROR(INDEX(Students!$H$4:$H$203,MATCH(B220,Students!$A$4:$A$203,0)),""))</f>
        <v/>
      </c>
      <c r="E220" s="18"/>
      <c r="F220" s="18"/>
      <c r="G220" s="18"/>
      <c r="H220" s="18"/>
      <c r="I220" s="18"/>
      <c r="J220" s="18"/>
      <c r="K220" s="18"/>
      <c r="L220" s="18"/>
    </row>
    <row r="221" customFormat="false" ht="15" hidden="false" customHeight="true" outlineLevel="0" collapsed="false">
      <c r="A221" s="19"/>
      <c r="B221" s="17"/>
      <c r="C221" s="11" t="str">
        <f aca="false">IF(B221="","",IFERROR(INDEX(Students!$B$4:$B$203,MATCH(B221,Students!$A$4:$A$203,0)),""))</f>
        <v/>
      </c>
      <c r="D221" s="11" t="str">
        <f aca="false">IF(B221="","",IFERROR(INDEX(Students!$H$4:$H$203,MATCH(B221,Students!$A$4:$A$203,0)),""))</f>
        <v/>
      </c>
      <c r="E221" s="18"/>
      <c r="F221" s="18"/>
      <c r="G221" s="18"/>
      <c r="H221" s="18"/>
      <c r="I221" s="18"/>
      <c r="J221" s="18"/>
      <c r="K221" s="18"/>
      <c r="L221" s="18"/>
    </row>
    <row r="222" customFormat="false" ht="15" hidden="false" customHeight="true" outlineLevel="0" collapsed="false">
      <c r="A222" s="19"/>
      <c r="B222" s="17"/>
      <c r="C222" s="11" t="str">
        <f aca="false">IF(B222="","",IFERROR(INDEX(Students!$B$4:$B$203,MATCH(B222,Students!$A$4:$A$203,0)),""))</f>
        <v/>
      </c>
      <c r="D222" s="11" t="str">
        <f aca="false">IF(B222="","",IFERROR(INDEX(Students!$H$4:$H$203,MATCH(B222,Students!$A$4:$A$203,0)),""))</f>
        <v/>
      </c>
      <c r="E222" s="18"/>
      <c r="F222" s="18"/>
      <c r="G222" s="18"/>
      <c r="H222" s="18"/>
      <c r="I222" s="18"/>
      <c r="J222" s="18"/>
      <c r="K222" s="18"/>
      <c r="L222" s="18"/>
    </row>
    <row r="223" customFormat="false" ht="15" hidden="false" customHeight="true" outlineLevel="0" collapsed="false">
      <c r="A223" s="19"/>
      <c r="B223" s="17"/>
      <c r="C223" s="11" t="str">
        <f aca="false">IF(B223="","",IFERROR(INDEX(Students!$B$4:$B$203,MATCH(B223,Students!$A$4:$A$203,0)),""))</f>
        <v/>
      </c>
      <c r="D223" s="11" t="str">
        <f aca="false">IF(B223="","",IFERROR(INDEX(Students!$H$4:$H$203,MATCH(B223,Students!$A$4:$A$203,0)),""))</f>
        <v/>
      </c>
      <c r="E223" s="18"/>
      <c r="F223" s="18"/>
      <c r="G223" s="18"/>
      <c r="H223" s="18"/>
      <c r="I223" s="18"/>
      <c r="J223" s="18"/>
      <c r="K223" s="18"/>
      <c r="L223" s="18"/>
    </row>
    <row r="224" customFormat="false" ht="15" hidden="false" customHeight="true" outlineLevel="0" collapsed="false">
      <c r="A224" s="19"/>
      <c r="B224" s="17"/>
      <c r="C224" s="11" t="str">
        <f aca="false">IF(B224="","",IFERROR(INDEX(Students!$B$4:$B$203,MATCH(B224,Students!$A$4:$A$203,0)),""))</f>
        <v/>
      </c>
      <c r="D224" s="11" t="str">
        <f aca="false">IF(B224="","",IFERROR(INDEX(Students!$H$4:$H$203,MATCH(B224,Students!$A$4:$A$203,0)),""))</f>
        <v/>
      </c>
      <c r="E224" s="18"/>
      <c r="F224" s="18"/>
      <c r="G224" s="18"/>
      <c r="H224" s="18"/>
      <c r="I224" s="18"/>
      <c r="J224" s="18"/>
      <c r="K224" s="18"/>
      <c r="L224" s="18"/>
    </row>
    <row r="225" customFormat="false" ht="15" hidden="false" customHeight="true" outlineLevel="0" collapsed="false">
      <c r="A225" s="19"/>
      <c r="B225" s="17"/>
      <c r="C225" s="11" t="str">
        <f aca="false">IF(B225="","",IFERROR(INDEX(Students!$B$4:$B$203,MATCH(B225,Students!$A$4:$A$203,0)),""))</f>
        <v/>
      </c>
      <c r="D225" s="11" t="str">
        <f aca="false">IF(B225="","",IFERROR(INDEX(Students!$H$4:$H$203,MATCH(B225,Students!$A$4:$A$203,0)),""))</f>
        <v/>
      </c>
      <c r="E225" s="18"/>
      <c r="F225" s="18"/>
      <c r="G225" s="18"/>
      <c r="H225" s="18"/>
      <c r="I225" s="18"/>
      <c r="J225" s="18"/>
      <c r="K225" s="18"/>
      <c r="L225" s="18"/>
    </row>
    <row r="226" customFormat="false" ht="15" hidden="false" customHeight="true" outlineLevel="0" collapsed="false">
      <c r="A226" s="19"/>
      <c r="B226" s="17"/>
      <c r="C226" s="11" t="str">
        <f aca="false">IF(B226="","",IFERROR(INDEX(Students!$B$4:$B$203,MATCH(B226,Students!$A$4:$A$203,0)),""))</f>
        <v/>
      </c>
      <c r="D226" s="11" t="str">
        <f aca="false">IF(B226="","",IFERROR(INDEX(Students!$H$4:$H$203,MATCH(B226,Students!$A$4:$A$203,0)),""))</f>
        <v/>
      </c>
      <c r="E226" s="18"/>
      <c r="F226" s="18"/>
      <c r="G226" s="18"/>
      <c r="H226" s="18"/>
      <c r="I226" s="18"/>
      <c r="J226" s="18"/>
      <c r="K226" s="18"/>
      <c r="L226" s="18"/>
    </row>
    <row r="227" customFormat="false" ht="15" hidden="false" customHeight="true" outlineLevel="0" collapsed="false">
      <c r="A227" s="19"/>
      <c r="B227" s="17"/>
      <c r="C227" s="11" t="str">
        <f aca="false">IF(B227="","",IFERROR(INDEX(Students!$B$4:$B$203,MATCH(B227,Students!$A$4:$A$203,0)),""))</f>
        <v/>
      </c>
      <c r="D227" s="11" t="str">
        <f aca="false">IF(B227="","",IFERROR(INDEX(Students!$H$4:$H$203,MATCH(B227,Students!$A$4:$A$203,0)),""))</f>
        <v/>
      </c>
      <c r="E227" s="18"/>
      <c r="F227" s="18"/>
      <c r="G227" s="18"/>
      <c r="H227" s="18"/>
      <c r="I227" s="18"/>
      <c r="J227" s="18"/>
      <c r="K227" s="18"/>
      <c r="L227" s="18"/>
    </row>
    <row r="228" customFormat="false" ht="15" hidden="false" customHeight="true" outlineLevel="0" collapsed="false">
      <c r="A228" s="19"/>
      <c r="B228" s="17"/>
      <c r="C228" s="11" t="str">
        <f aca="false">IF(B228="","",IFERROR(INDEX(Students!$B$4:$B$203,MATCH(B228,Students!$A$4:$A$203,0)),""))</f>
        <v/>
      </c>
      <c r="D228" s="11" t="str">
        <f aca="false">IF(B228="","",IFERROR(INDEX(Students!$H$4:$H$203,MATCH(B228,Students!$A$4:$A$203,0)),""))</f>
        <v/>
      </c>
      <c r="E228" s="18"/>
      <c r="F228" s="18"/>
      <c r="G228" s="18"/>
      <c r="H228" s="18"/>
      <c r="I228" s="18"/>
      <c r="J228" s="18"/>
      <c r="K228" s="18"/>
      <c r="L228" s="18"/>
    </row>
    <row r="229" customFormat="false" ht="15" hidden="false" customHeight="true" outlineLevel="0" collapsed="false">
      <c r="A229" s="19"/>
      <c r="B229" s="17"/>
      <c r="C229" s="11" t="str">
        <f aca="false">IF(B229="","",IFERROR(INDEX(Students!$B$4:$B$203,MATCH(B229,Students!$A$4:$A$203,0)),""))</f>
        <v/>
      </c>
      <c r="D229" s="11" t="str">
        <f aca="false">IF(B229="","",IFERROR(INDEX(Students!$H$4:$H$203,MATCH(B229,Students!$A$4:$A$203,0)),""))</f>
        <v/>
      </c>
      <c r="E229" s="18"/>
      <c r="F229" s="18"/>
      <c r="G229" s="18"/>
      <c r="H229" s="18"/>
      <c r="I229" s="18"/>
      <c r="J229" s="18"/>
      <c r="K229" s="18"/>
      <c r="L229" s="18"/>
    </row>
    <row r="230" customFormat="false" ht="15" hidden="false" customHeight="true" outlineLevel="0" collapsed="false">
      <c r="A230" s="19"/>
      <c r="B230" s="17"/>
      <c r="C230" s="11" t="str">
        <f aca="false">IF(B230="","",IFERROR(INDEX(Students!$B$4:$B$203,MATCH(B230,Students!$A$4:$A$203,0)),""))</f>
        <v/>
      </c>
      <c r="D230" s="11" t="str">
        <f aca="false">IF(B230="","",IFERROR(INDEX(Students!$H$4:$H$203,MATCH(B230,Students!$A$4:$A$203,0)),""))</f>
        <v/>
      </c>
      <c r="E230" s="18"/>
      <c r="F230" s="18"/>
      <c r="G230" s="18"/>
      <c r="H230" s="18"/>
      <c r="I230" s="18"/>
      <c r="J230" s="18"/>
      <c r="K230" s="18"/>
      <c r="L230" s="18"/>
    </row>
    <row r="231" customFormat="false" ht="15" hidden="false" customHeight="true" outlineLevel="0" collapsed="false">
      <c r="A231" s="19"/>
      <c r="B231" s="17"/>
      <c r="C231" s="11" t="str">
        <f aca="false">IF(B231="","",IFERROR(INDEX(Students!$B$4:$B$203,MATCH(B231,Students!$A$4:$A$203,0)),""))</f>
        <v/>
      </c>
      <c r="D231" s="11" t="str">
        <f aca="false">IF(B231="","",IFERROR(INDEX(Students!$H$4:$H$203,MATCH(B231,Students!$A$4:$A$203,0)),""))</f>
        <v/>
      </c>
      <c r="E231" s="18"/>
      <c r="F231" s="18"/>
      <c r="G231" s="18"/>
      <c r="H231" s="18"/>
      <c r="I231" s="18"/>
      <c r="J231" s="18"/>
      <c r="K231" s="18"/>
      <c r="L231" s="18"/>
    </row>
    <row r="232" customFormat="false" ht="15" hidden="false" customHeight="true" outlineLevel="0" collapsed="false">
      <c r="A232" s="19"/>
      <c r="B232" s="17"/>
      <c r="C232" s="11" t="str">
        <f aca="false">IF(B232="","",IFERROR(INDEX(Students!$B$4:$B$203,MATCH(B232,Students!$A$4:$A$203,0)),""))</f>
        <v/>
      </c>
      <c r="D232" s="11" t="str">
        <f aca="false">IF(B232="","",IFERROR(INDEX(Students!$H$4:$H$203,MATCH(B232,Students!$A$4:$A$203,0)),""))</f>
        <v/>
      </c>
      <c r="E232" s="18"/>
      <c r="F232" s="18"/>
      <c r="G232" s="18"/>
      <c r="H232" s="18"/>
      <c r="I232" s="18"/>
      <c r="J232" s="18"/>
      <c r="K232" s="18"/>
      <c r="L232" s="18"/>
    </row>
    <row r="233" customFormat="false" ht="15" hidden="false" customHeight="true" outlineLevel="0" collapsed="false">
      <c r="A233" s="19"/>
      <c r="B233" s="17"/>
      <c r="C233" s="11" t="str">
        <f aca="false">IF(B233="","",IFERROR(INDEX(Students!$B$4:$B$203,MATCH(B233,Students!$A$4:$A$203,0)),""))</f>
        <v/>
      </c>
      <c r="D233" s="11" t="str">
        <f aca="false">IF(B233="","",IFERROR(INDEX(Students!$H$4:$H$203,MATCH(B233,Students!$A$4:$A$203,0)),""))</f>
        <v/>
      </c>
      <c r="E233" s="18"/>
      <c r="F233" s="18"/>
      <c r="G233" s="18"/>
      <c r="H233" s="18"/>
      <c r="I233" s="18"/>
      <c r="J233" s="18"/>
      <c r="K233" s="18"/>
      <c r="L233" s="18"/>
    </row>
    <row r="234" customFormat="false" ht="15" hidden="false" customHeight="true" outlineLevel="0" collapsed="false">
      <c r="A234" s="19"/>
      <c r="B234" s="17"/>
      <c r="C234" s="11" t="str">
        <f aca="false">IF(B234="","",IFERROR(INDEX(Students!$B$4:$B$203,MATCH(B234,Students!$A$4:$A$203,0)),""))</f>
        <v/>
      </c>
      <c r="D234" s="11" t="str">
        <f aca="false">IF(B234="","",IFERROR(INDEX(Students!$H$4:$H$203,MATCH(B234,Students!$A$4:$A$203,0)),""))</f>
        <v/>
      </c>
      <c r="E234" s="18"/>
      <c r="F234" s="18"/>
      <c r="G234" s="18"/>
      <c r="H234" s="18"/>
      <c r="I234" s="18"/>
      <c r="J234" s="18"/>
      <c r="K234" s="18"/>
      <c r="L234" s="18"/>
    </row>
    <row r="235" customFormat="false" ht="15" hidden="false" customHeight="true" outlineLevel="0" collapsed="false">
      <c r="A235" s="19"/>
      <c r="B235" s="17"/>
      <c r="C235" s="11" t="str">
        <f aca="false">IF(B235="","",IFERROR(INDEX(Students!$B$4:$B$203,MATCH(B235,Students!$A$4:$A$203,0)),""))</f>
        <v/>
      </c>
      <c r="D235" s="11" t="str">
        <f aca="false">IF(B235="","",IFERROR(INDEX(Students!$H$4:$H$203,MATCH(B235,Students!$A$4:$A$203,0)),""))</f>
        <v/>
      </c>
      <c r="E235" s="18"/>
      <c r="F235" s="18"/>
      <c r="G235" s="18"/>
      <c r="H235" s="18"/>
      <c r="I235" s="18"/>
      <c r="J235" s="18"/>
      <c r="K235" s="18"/>
      <c r="L235" s="18"/>
    </row>
    <row r="236" customFormat="false" ht="15" hidden="false" customHeight="true" outlineLevel="0" collapsed="false">
      <c r="A236" s="19"/>
      <c r="B236" s="17"/>
      <c r="C236" s="11" t="str">
        <f aca="false">IF(B236="","",IFERROR(INDEX(Students!$B$4:$B$203,MATCH(B236,Students!$A$4:$A$203,0)),""))</f>
        <v/>
      </c>
      <c r="D236" s="11" t="str">
        <f aca="false">IF(B236="","",IFERROR(INDEX(Students!$H$4:$H$203,MATCH(B236,Students!$A$4:$A$203,0)),""))</f>
        <v/>
      </c>
      <c r="E236" s="18"/>
      <c r="F236" s="18"/>
      <c r="G236" s="18"/>
      <c r="H236" s="18"/>
      <c r="I236" s="18"/>
      <c r="J236" s="18"/>
      <c r="K236" s="18"/>
      <c r="L236" s="18"/>
    </row>
    <row r="237" customFormat="false" ht="15" hidden="false" customHeight="true" outlineLevel="0" collapsed="false">
      <c r="A237" s="19"/>
      <c r="B237" s="17"/>
      <c r="C237" s="11" t="str">
        <f aca="false">IF(B237="","",IFERROR(INDEX(Students!$B$4:$B$203,MATCH(B237,Students!$A$4:$A$203,0)),""))</f>
        <v/>
      </c>
      <c r="D237" s="11" t="str">
        <f aca="false">IF(B237="","",IFERROR(INDEX(Students!$H$4:$H$203,MATCH(B237,Students!$A$4:$A$203,0)),""))</f>
        <v/>
      </c>
      <c r="E237" s="18"/>
      <c r="F237" s="18"/>
      <c r="G237" s="18"/>
      <c r="H237" s="18"/>
      <c r="I237" s="18"/>
      <c r="J237" s="18"/>
      <c r="K237" s="18"/>
      <c r="L237" s="18"/>
    </row>
    <row r="238" customFormat="false" ht="15" hidden="false" customHeight="true" outlineLevel="0" collapsed="false">
      <c r="A238" s="19"/>
      <c r="B238" s="17"/>
      <c r="C238" s="11" t="str">
        <f aca="false">IF(B238="","",IFERROR(INDEX(Students!$B$4:$B$203,MATCH(B238,Students!$A$4:$A$203,0)),""))</f>
        <v/>
      </c>
      <c r="D238" s="11" t="str">
        <f aca="false">IF(B238="","",IFERROR(INDEX(Students!$H$4:$H$203,MATCH(B238,Students!$A$4:$A$203,0)),""))</f>
        <v/>
      </c>
      <c r="E238" s="18"/>
      <c r="F238" s="18"/>
      <c r="G238" s="18"/>
      <c r="H238" s="18"/>
      <c r="I238" s="18"/>
      <c r="J238" s="18"/>
      <c r="K238" s="18"/>
      <c r="L238" s="18"/>
    </row>
    <row r="239" customFormat="false" ht="15" hidden="false" customHeight="true" outlineLevel="0" collapsed="false">
      <c r="A239" s="19"/>
      <c r="B239" s="17"/>
      <c r="C239" s="11" t="str">
        <f aca="false">IF(B239="","",IFERROR(INDEX(Students!$B$4:$B$203,MATCH(B239,Students!$A$4:$A$203,0)),""))</f>
        <v/>
      </c>
      <c r="D239" s="11" t="str">
        <f aca="false">IF(B239="","",IFERROR(INDEX(Students!$H$4:$H$203,MATCH(B239,Students!$A$4:$A$203,0)),""))</f>
        <v/>
      </c>
      <c r="E239" s="18"/>
      <c r="F239" s="18"/>
      <c r="G239" s="18"/>
      <c r="H239" s="18"/>
      <c r="I239" s="18"/>
      <c r="J239" s="18"/>
      <c r="K239" s="18"/>
      <c r="L239" s="18"/>
    </row>
    <row r="240" customFormat="false" ht="15" hidden="false" customHeight="true" outlineLevel="0" collapsed="false">
      <c r="A240" s="19"/>
      <c r="B240" s="17"/>
      <c r="C240" s="11" t="str">
        <f aca="false">IF(B240="","",IFERROR(INDEX(Students!$B$4:$B$203,MATCH(B240,Students!$A$4:$A$203,0)),""))</f>
        <v/>
      </c>
      <c r="D240" s="11" t="str">
        <f aca="false">IF(B240="","",IFERROR(INDEX(Students!$H$4:$H$203,MATCH(B240,Students!$A$4:$A$203,0)),""))</f>
        <v/>
      </c>
      <c r="E240" s="18"/>
      <c r="F240" s="18"/>
      <c r="G240" s="18"/>
      <c r="H240" s="18"/>
      <c r="I240" s="18"/>
      <c r="J240" s="18"/>
      <c r="K240" s="18"/>
      <c r="L240" s="18"/>
    </row>
    <row r="241" customFormat="false" ht="15" hidden="false" customHeight="true" outlineLevel="0" collapsed="false">
      <c r="A241" s="19"/>
      <c r="B241" s="17"/>
      <c r="C241" s="11" t="str">
        <f aca="false">IF(B241="","",IFERROR(INDEX(Students!$B$4:$B$203,MATCH(B241,Students!$A$4:$A$203,0)),""))</f>
        <v/>
      </c>
      <c r="D241" s="11" t="str">
        <f aca="false">IF(B241="","",IFERROR(INDEX(Students!$H$4:$H$203,MATCH(B241,Students!$A$4:$A$203,0)),""))</f>
        <v/>
      </c>
      <c r="E241" s="18"/>
      <c r="F241" s="18"/>
      <c r="G241" s="18"/>
      <c r="H241" s="18"/>
      <c r="I241" s="18"/>
      <c r="J241" s="18"/>
      <c r="K241" s="18"/>
      <c r="L241" s="18"/>
    </row>
    <row r="242" customFormat="false" ht="15" hidden="false" customHeight="true" outlineLevel="0" collapsed="false">
      <c r="A242" s="19"/>
      <c r="B242" s="17"/>
      <c r="C242" s="11" t="str">
        <f aca="false">IF(B242="","",IFERROR(INDEX(Students!$B$4:$B$203,MATCH(B242,Students!$A$4:$A$203,0)),""))</f>
        <v/>
      </c>
      <c r="D242" s="11" t="str">
        <f aca="false">IF(B242="","",IFERROR(INDEX(Students!$H$4:$H$203,MATCH(B242,Students!$A$4:$A$203,0)),""))</f>
        <v/>
      </c>
      <c r="E242" s="18"/>
      <c r="F242" s="18"/>
      <c r="G242" s="18"/>
      <c r="H242" s="18"/>
      <c r="I242" s="18"/>
      <c r="J242" s="18"/>
      <c r="K242" s="18"/>
      <c r="L242" s="18"/>
    </row>
    <row r="243" customFormat="false" ht="15" hidden="false" customHeight="true" outlineLevel="0" collapsed="false">
      <c r="A243" s="19"/>
      <c r="B243" s="17"/>
      <c r="C243" s="11" t="str">
        <f aca="false">IF(B243="","",IFERROR(INDEX(Students!$B$4:$B$203,MATCH(B243,Students!$A$4:$A$203,0)),""))</f>
        <v/>
      </c>
      <c r="D243" s="11" t="str">
        <f aca="false">IF(B243="","",IFERROR(INDEX(Students!$H$4:$H$203,MATCH(B243,Students!$A$4:$A$203,0)),""))</f>
        <v/>
      </c>
      <c r="E243" s="18"/>
      <c r="F243" s="18"/>
      <c r="G243" s="18"/>
      <c r="H243" s="18"/>
      <c r="I243" s="18"/>
      <c r="J243" s="18"/>
      <c r="K243" s="18"/>
      <c r="L243" s="18"/>
    </row>
    <row r="244" customFormat="false" ht="15" hidden="false" customHeight="true" outlineLevel="0" collapsed="false">
      <c r="A244" s="19"/>
      <c r="B244" s="17"/>
      <c r="C244" s="11" t="str">
        <f aca="false">IF(B244="","",IFERROR(INDEX(Students!$B$4:$B$203,MATCH(B244,Students!$A$4:$A$203,0)),""))</f>
        <v/>
      </c>
      <c r="D244" s="11" t="str">
        <f aca="false">IF(B244="","",IFERROR(INDEX(Students!$H$4:$H$203,MATCH(B244,Students!$A$4:$A$203,0)),""))</f>
        <v/>
      </c>
      <c r="E244" s="18"/>
      <c r="F244" s="18"/>
      <c r="G244" s="18"/>
      <c r="H244" s="18"/>
      <c r="I244" s="18"/>
      <c r="J244" s="18"/>
      <c r="K244" s="18"/>
      <c r="L244" s="18"/>
    </row>
    <row r="245" customFormat="false" ht="15" hidden="false" customHeight="true" outlineLevel="0" collapsed="false">
      <c r="A245" s="19"/>
      <c r="B245" s="17"/>
      <c r="C245" s="11" t="str">
        <f aca="false">IF(B245="","",IFERROR(INDEX(Students!$B$4:$B$203,MATCH(B245,Students!$A$4:$A$203,0)),""))</f>
        <v/>
      </c>
      <c r="D245" s="11" t="str">
        <f aca="false">IF(B245="","",IFERROR(INDEX(Students!$H$4:$H$203,MATCH(B245,Students!$A$4:$A$203,0)),""))</f>
        <v/>
      </c>
      <c r="E245" s="18"/>
      <c r="F245" s="18"/>
      <c r="G245" s="18"/>
      <c r="H245" s="18"/>
      <c r="I245" s="18"/>
      <c r="J245" s="18"/>
      <c r="K245" s="18"/>
      <c r="L245" s="18"/>
    </row>
    <row r="246" customFormat="false" ht="15" hidden="false" customHeight="true" outlineLevel="0" collapsed="false">
      <c r="A246" s="19"/>
      <c r="B246" s="17"/>
      <c r="C246" s="11" t="str">
        <f aca="false">IF(B246="","",IFERROR(INDEX(Students!$B$4:$B$203,MATCH(B246,Students!$A$4:$A$203,0)),""))</f>
        <v/>
      </c>
      <c r="D246" s="11" t="str">
        <f aca="false">IF(B246="","",IFERROR(INDEX(Students!$H$4:$H$203,MATCH(B246,Students!$A$4:$A$203,0)),""))</f>
        <v/>
      </c>
      <c r="E246" s="18"/>
      <c r="F246" s="18"/>
      <c r="G246" s="18"/>
      <c r="H246" s="18"/>
      <c r="I246" s="18"/>
      <c r="J246" s="18"/>
      <c r="K246" s="18"/>
      <c r="L246" s="18"/>
    </row>
    <row r="247" customFormat="false" ht="15" hidden="false" customHeight="true" outlineLevel="0" collapsed="false">
      <c r="A247" s="19"/>
      <c r="B247" s="17"/>
      <c r="C247" s="11" t="str">
        <f aca="false">IF(B247="","",IFERROR(INDEX(Students!$B$4:$B$203,MATCH(B247,Students!$A$4:$A$203,0)),""))</f>
        <v/>
      </c>
      <c r="D247" s="11" t="str">
        <f aca="false">IF(B247="","",IFERROR(INDEX(Students!$H$4:$H$203,MATCH(B247,Students!$A$4:$A$203,0)),""))</f>
        <v/>
      </c>
      <c r="E247" s="18"/>
      <c r="F247" s="18"/>
      <c r="G247" s="18"/>
      <c r="H247" s="18"/>
      <c r="I247" s="18"/>
      <c r="J247" s="18"/>
      <c r="K247" s="18"/>
      <c r="L247" s="18"/>
    </row>
    <row r="248" customFormat="false" ht="15" hidden="false" customHeight="true" outlineLevel="0" collapsed="false">
      <c r="A248" s="19"/>
      <c r="B248" s="17"/>
      <c r="C248" s="11" t="str">
        <f aca="false">IF(B248="","",IFERROR(INDEX(Students!$B$4:$B$203,MATCH(B248,Students!$A$4:$A$203,0)),""))</f>
        <v/>
      </c>
      <c r="D248" s="11" t="str">
        <f aca="false">IF(B248="","",IFERROR(INDEX(Students!$H$4:$H$203,MATCH(B248,Students!$A$4:$A$203,0)),""))</f>
        <v/>
      </c>
      <c r="E248" s="18"/>
      <c r="F248" s="18"/>
      <c r="G248" s="18"/>
      <c r="H248" s="18"/>
      <c r="I248" s="18"/>
      <c r="J248" s="18"/>
      <c r="K248" s="18"/>
      <c r="L248" s="18"/>
    </row>
    <row r="249" customFormat="false" ht="15" hidden="false" customHeight="true" outlineLevel="0" collapsed="false">
      <c r="A249" s="19"/>
      <c r="B249" s="17"/>
      <c r="C249" s="11" t="str">
        <f aca="false">IF(B249="","",IFERROR(INDEX(Students!$B$4:$B$203,MATCH(B249,Students!$A$4:$A$203,0)),""))</f>
        <v/>
      </c>
      <c r="D249" s="11" t="str">
        <f aca="false">IF(B249="","",IFERROR(INDEX(Students!$H$4:$H$203,MATCH(B249,Students!$A$4:$A$203,0)),""))</f>
        <v/>
      </c>
      <c r="E249" s="18"/>
      <c r="F249" s="18"/>
      <c r="G249" s="18"/>
      <c r="H249" s="18"/>
      <c r="I249" s="18"/>
      <c r="J249" s="18"/>
      <c r="K249" s="18"/>
      <c r="L249" s="18"/>
    </row>
    <row r="250" customFormat="false" ht="15" hidden="false" customHeight="true" outlineLevel="0" collapsed="false">
      <c r="A250" s="19"/>
      <c r="B250" s="17"/>
      <c r="C250" s="11" t="str">
        <f aca="false">IF(B250="","",IFERROR(INDEX(Students!$B$4:$B$203,MATCH(B250,Students!$A$4:$A$203,0)),""))</f>
        <v/>
      </c>
      <c r="D250" s="11" t="str">
        <f aca="false">IF(B250="","",IFERROR(INDEX(Students!$H$4:$H$203,MATCH(B250,Students!$A$4:$A$203,0)),""))</f>
        <v/>
      </c>
      <c r="E250" s="18"/>
      <c r="F250" s="18"/>
      <c r="G250" s="18"/>
      <c r="H250" s="18"/>
      <c r="I250" s="18"/>
      <c r="J250" s="18"/>
      <c r="K250" s="18"/>
      <c r="L250" s="18"/>
    </row>
    <row r="251" customFormat="false" ht="15" hidden="false" customHeight="true" outlineLevel="0" collapsed="false">
      <c r="A251" s="19"/>
      <c r="B251" s="17"/>
      <c r="C251" s="11" t="str">
        <f aca="false">IF(B251="","",IFERROR(INDEX(Students!$B$4:$B$203,MATCH(B251,Students!$A$4:$A$203,0)),""))</f>
        <v/>
      </c>
      <c r="D251" s="11" t="str">
        <f aca="false">IF(B251="","",IFERROR(INDEX(Students!$H$4:$H$203,MATCH(B251,Students!$A$4:$A$203,0)),""))</f>
        <v/>
      </c>
      <c r="E251" s="18"/>
      <c r="F251" s="18"/>
      <c r="G251" s="18"/>
      <c r="H251" s="18"/>
      <c r="I251" s="18"/>
      <c r="J251" s="18"/>
      <c r="K251" s="18"/>
      <c r="L251" s="18"/>
    </row>
    <row r="252" customFormat="false" ht="15" hidden="false" customHeight="true" outlineLevel="0" collapsed="false">
      <c r="A252" s="19"/>
      <c r="B252" s="17"/>
      <c r="C252" s="11" t="str">
        <f aca="false">IF(B252="","",IFERROR(INDEX(Students!$B$4:$B$203,MATCH(B252,Students!$A$4:$A$203,0)),""))</f>
        <v/>
      </c>
      <c r="D252" s="11" t="str">
        <f aca="false">IF(B252="","",IFERROR(INDEX(Students!$H$4:$H$203,MATCH(B252,Students!$A$4:$A$203,0)),""))</f>
        <v/>
      </c>
      <c r="E252" s="18"/>
      <c r="F252" s="18"/>
      <c r="G252" s="18"/>
      <c r="H252" s="18"/>
      <c r="I252" s="18"/>
      <c r="J252" s="18"/>
      <c r="K252" s="18"/>
      <c r="L252" s="18"/>
    </row>
    <row r="253" customFormat="false" ht="15" hidden="false" customHeight="true" outlineLevel="0" collapsed="false">
      <c r="A253" s="19"/>
      <c r="B253" s="17"/>
      <c r="C253" s="11" t="str">
        <f aca="false">IF(B253="","",IFERROR(INDEX(Students!$B$4:$B$203,MATCH(B253,Students!$A$4:$A$203,0)),""))</f>
        <v/>
      </c>
      <c r="D253" s="11" t="str">
        <f aca="false">IF(B253="","",IFERROR(INDEX(Students!$H$4:$H$203,MATCH(B253,Students!$A$4:$A$203,0)),""))</f>
        <v/>
      </c>
      <c r="E253" s="18"/>
      <c r="F253" s="18"/>
      <c r="G253" s="18"/>
      <c r="H253" s="18"/>
      <c r="I253" s="18"/>
      <c r="J253" s="18"/>
      <c r="K253" s="18"/>
      <c r="L253" s="18"/>
    </row>
    <row r="254" customFormat="false" ht="15" hidden="false" customHeight="true" outlineLevel="0" collapsed="false">
      <c r="A254" s="19"/>
      <c r="B254" s="17"/>
      <c r="C254" s="11" t="str">
        <f aca="false">IF(B254="","",IFERROR(INDEX(Students!$B$4:$B$203,MATCH(B254,Students!$A$4:$A$203,0)),""))</f>
        <v/>
      </c>
      <c r="D254" s="11" t="str">
        <f aca="false">IF(B254="","",IFERROR(INDEX(Students!$H$4:$H$203,MATCH(B254,Students!$A$4:$A$203,0)),""))</f>
        <v/>
      </c>
      <c r="E254" s="18"/>
      <c r="F254" s="18"/>
      <c r="G254" s="18"/>
      <c r="H254" s="18"/>
      <c r="I254" s="18"/>
      <c r="J254" s="18"/>
      <c r="K254" s="18"/>
      <c r="L254" s="18"/>
    </row>
    <row r="255" customFormat="false" ht="15" hidden="false" customHeight="true" outlineLevel="0" collapsed="false">
      <c r="A255" s="19"/>
      <c r="B255" s="17"/>
      <c r="C255" s="11" t="str">
        <f aca="false">IF(B255="","",IFERROR(INDEX(Students!$B$4:$B$203,MATCH(B255,Students!$A$4:$A$203,0)),""))</f>
        <v/>
      </c>
      <c r="D255" s="11" t="str">
        <f aca="false">IF(B255="","",IFERROR(INDEX(Students!$H$4:$H$203,MATCH(B255,Students!$A$4:$A$203,0)),""))</f>
        <v/>
      </c>
      <c r="E255" s="18"/>
      <c r="F255" s="18"/>
      <c r="G255" s="18"/>
      <c r="H255" s="18"/>
      <c r="I255" s="18"/>
      <c r="J255" s="18"/>
      <c r="K255" s="18"/>
      <c r="L255" s="18"/>
    </row>
    <row r="256" customFormat="false" ht="15" hidden="false" customHeight="true" outlineLevel="0" collapsed="false">
      <c r="A256" s="19"/>
      <c r="B256" s="17"/>
      <c r="C256" s="11" t="str">
        <f aca="false">IF(B256="","",IFERROR(INDEX(Students!$B$4:$B$203,MATCH(B256,Students!$A$4:$A$203,0)),""))</f>
        <v/>
      </c>
      <c r="D256" s="11" t="str">
        <f aca="false">IF(B256="","",IFERROR(INDEX(Students!$H$4:$H$203,MATCH(B256,Students!$A$4:$A$203,0)),""))</f>
        <v/>
      </c>
      <c r="E256" s="18"/>
      <c r="F256" s="18"/>
      <c r="G256" s="18"/>
      <c r="H256" s="18"/>
      <c r="I256" s="18"/>
      <c r="J256" s="18"/>
      <c r="K256" s="18"/>
      <c r="L256" s="18"/>
    </row>
    <row r="257" customFormat="false" ht="15" hidden="false" customHeight="true" outlineLevel="0" collapsed="false">
      <c r="A257" s="19"/>
      <c r="B257" s="17"/>
      <c r="C257" s="11" t="str">
        <f aca="false">IF(B257="","",IFERROR(INDEX(Students!$B$4:$B$203,MATCH(B257,Students!$A$4:$A$203,0)),""))</f>
        <v/>
      </c>
      <c r="D257" s="11" t="str">
        <f aca="false">IF(B257="","",IFERROR(INDEX(Students!$H$4:$H$203,MATCH(B257,Students!$A$4:$A$203,0)),""))</f>
        <v/>
      </c>
      <c r="E257" s="18"/>
      <c r="F257" s="18"/>
      <c r="G257" s="18"/>
      <c r="H257" s="18"/>
      <c r="I257" s="18"/>
      <c r="J257" s="18"/>
      <c r="K257" s="18"/>
      <c r="L257" s="18"/>
    </row>
    <row r="258" customFormat="false" ht="15" hidden="false" customHeight="true" outlineLevel="0" collapsed="false">
      <c r="A258" s="19"/>
      <c r="B258" s="17"/>
      <c r="C258" s="11" t="str">
        <f aca="false">IF(B258="","",IFERROR(INDEX(Students!$B$4:$B$203,MATCH(B258,Students!$A$4:$A$203,0)),""))</f>
        <v/>
      </c>
      <c r="D258" s="11" t="str">
        <f aca="false">IF(B258="","",IFERROR(INDEX(Students!$H$4:$H$203,MATCH(B258,Students!$A$4:$A$203,0)),""))</f>
        <v/>
      </c>
      <c r="E258" s="18"/>
      <c r="F258" s="18"/>
      <c r="G258" s="18"/>
      <c r="H258" s="18"/>
      <c r="I258" s="18"/>
      <c r="J258" s="18"/>
      <c r="K258" s="18"/>
      <c r="L258" s="18"/>
    </row>
    <row r="259" customFormat="false" ht="15" hidden="false" customHeight="true" outlineLevel="0" collapsed="false">
      <c r="A259" s="19"/>
      <c r="B259" s="17"/>
      <c r="C259" s="11" t="str">
        <f aca="false">IF(B259="","",IFERROR(INDEX(Students!$B$4:$B$203,MATCH(B259,Students!$A$4:$A$203,0)),""))</f>
        <v/>
      </c>
      <c r="D259" s="11" t="str">
        <f aca="false">IF(B259="","",IFERROR(INDEX(Students!$H$4:$H$203,MATCH(B259,Students!$A$4:$A$203,0)),""))</f>
        <v/>
      </c>
      <c r="E259" s="18"/>
      <c r="F259" s="18"/>
      <c r="G259" s="18"/>
      <c r="H259" s="18"/>
      <c r="I259" s="18"/>
      <c r="J259" s="18"/>
      <c r="K259" s="18"/>
      <c r="L259" s="18"/>
    </row>
    <row r="260" customFormat="false" ht="15" hidden="false" customHeight="true" outlineLevel="0" collapsed="false">
      <c r="A260" s="19"/>
      <c r="B260" s="17"/>
      <c r="C260" s="11" t="str">
        <f aca="false">IF(B260="","",IFERROR(INDEX(Students!$B$4:$B$203,MATCH(B260,Students!$A$4:$A$203,0)),""))</f>
        <v/>
      </c>
      <c r="D260" s="11" t="str">
        <f aca="false">IF(B260="","",IFERROR(INDEX(Students!$H$4:$H$203,MATCH(B260,Students!$A$4:$A$203,0)),""))</f>
        <v/>
      </c>
      <c r="E260" s="18"/>
      <c r="F260" s="18"/>
      <c r="G260" s="18"/>
      <c r="H260" s="18"/>
      <c r="I260" s="18"/>
      <c r="J260" s="18"/>
      <c r="K260" s="18"/>
      <c r="L260" s="18"/>
    </row>
    <row r="261" customFormat="false" ht="15" hidden="false" customHeight="true" outlineLevel="0" collapsed="false">
      <c r="A261" s="19"/>
      <c r="B261" s="17"/>
      <c r="C261" s="11" t="str">
        <f aca="false">IF(B261="","",IFERROR(INDEX(Students!$B$4:$B$203,MATCH(B261,Students!$A$4:$A$203,0)),""))</f>
        <v/>
      </c>
      <c r="D261" s="11" t="str">
        <f aca="false">IF(B261="","",IFERROR(INDEX(Students!$H$4:$H$203,MATCH(B261,Students!$A$4:$A$203,0)),""))</f>
        <v/>
      </c>
      <c r="E261" s="18"/>
      <c r="F261" s="18"/>
      <c r="G261" s="18"/>
      <c r="H261" s="18"/>
      <c r="I261" s="18"/>
      <c r="J261" s="18"/>
      <c r="K261" s="18"/>
      <c r="L261" s="18"/>
    </row>
    <row r="262" customFormat="false" ht="15" hidden="false" customHeight="true" outlineLevel="0" collapsed="false">
      <c r="A262" s="19"/>
      <c r="B262" s="17"/>
      <c r="C262" s="11" t="str">
        <f aca="false">IF(B262="","",IFERROR(INDEX(Students!$B$4:$B$203,MATCH(B262,Students!$A$4:$A$203,0)),""))</f>
        <v/>
      </c>
      <c r="D262" s="11" t="str">
        <f aca="false">IF(B262="","",IFERROR(INDEX(Students!$H$4:$H$203,MATCH(B262,Students!$A$4:$A$203,0)),""))</f>
        <v/>
      </c>
      <c r="E262" s="18"/>
      <c r="F262" s="18"/>
      <c r="G262" s="18"/>
      <c r="H262" s="18"/>
      <c r="I262" s="18"/>
      <c r="J262" s="18"/>
      <c r="K262" s="18"/>
      <c r="L262" s="18"/>
    </row>
    <row r="263" customFormat="false" ht="15" hidden="false" customHeight="true" outlineLevel="0" collapsed="false">
      <c r="A263" s="19"/>
      <c r="B263" s="17"/>
      <c r="C263" s="11" t="str">
        <f aca="false">IF(B263="","",IFERROR(INDEX(Students!$B$4:$B$203,MATCH(B263,Students!$A$4:$A$203,0)),""))</f>
        <v/>
      </c>
      <c r="D263" s="11" t="str">
        <f aca="false">IF(B263="","",IFERROR(INDEX(Students!$H$4:$H$203,MATCH(B263,Students!$A$4:$A$203,0)),""))</f>
        <v/>
      </c>
      <c r="E263" s="18"/>
      <c r="F263" s="18"/>
      <c r="G263" s="18"/>
      <c r="H263" s="18"/>
      <c r="I263" s="18"/>
      <c r="J263" s="18"/>
      <c r="K263" s="18"/>
      <c r="L263" s="18"/>
    </row>
    <row r="264" customFormat="false" ht="15" hidden="false" customHeight="true" outlineLevel="0" collapsed="false">
      <c r="A264" s="19"/>
      <c r="B264" s="17"/>
      <c r="C264" s="11" t="str">
        <f aca="false">IF(B264="","",IFERROR(INDEX(Students!$B$4:$B$203,MATCH(B264,Students!$A$4:$A$203,0)),""))</f>
        <v/>
      </c>
      <c r="D264" s="11" t="str">
        <f aca="false">IF(B264="","",IFERROR(INDEX(Students!$H$4:$H$203,MATCH(B264,Students!$A$4:$A$203,0)),""))</f>
        <v/>
      </c>
      <c r="E264" s="18"/>
      <c r="F264" s="18"/>
      <c r="G264" s="18"/>
      <c r="H264" s="18"/>
      <c r="I264" s="18"/>
      <c r="J264" s="18"/>
      <c r="K264" s="18"/>
      <c r="L264" s="18"/>
    </row>
    <row r="265" customFormat="false" ht="15" hidden="false" customHeight="true" outlineLevel="0" collapsed="false">
      <c r="A265" s="19"/>
      <c r="B265" s="17"/>
      <c r="C265" s="11" t="str">
        <f aca="false">IF(B265="","",IFERROR(INDEX(Students!$B$4:$B$203,MATCH(B265,Students!$A$4:$A$203,0)),""))</f>
        <v/>
      </c>
      <c r="D265" s="11" t="str">
        <f aca="false">IF(B265="","",IFERROR(INDEX(Students!$H$4:$H$203,MATCH(B265,Students!$A$4:$A$203,0)),""))</f>
        <v/>
      </c>
      <c r="E265" s="18"/>
      <c r="F265" s="18"/>
      <c r="G265" s="18"/>
      <c r="H265" s="18"/>
      <c r="I265" s="18"/>
      <c r="J265" s="18"/>
      <c r="K265" s="18"/>
      <c r="L265" s="18"/>
    </row>
    <row r="266" customFormat="false" ht="15" hidden="false" customHeight="true" outlineLevel="0" collapsed="false">
      <c r="A266" s="19"/>
      <c r="B266" s="17"/>
      <c r="C266" s="11" t="str">
        <f aca="false">IF(B266="","",IFERROR(INDEX(Students!$B$4:$B$203,MATCH(B266,Students!$A$4:$A$203,0)),""))</f>
        <v/>
      </c>
      <c r="D266" s="11" t="str">
        <f aca="false">IF(B266="","",IFERROR(INDEX(Students!$H$4:$H$203,MATCH(B266,Students!$A$4:$A$203,0)),""))</f>
        <v/>
      </c>
      <c r="E266" s="18"/>
      <c r="F266" s="18"/>
      <c r="G266" s="18"/>
      <c r="H266" s="18"/>
      <c r="I266" s="18"/>
      <c r="J266" s="18"/>
      <c r="K266" s="18"/>
      <c r="L266" s="18"/>
    </row>
    <row r="267" customFormat="false" ht="15" hidden="false" customHeight="true" outlineLevel="0" collapsed="false">
      <c r="A267" s="19"/>
      <c r="B267" s="17"/>
      <c r="C267" s="11" t="str">
        <f aca="false">IF(B267="","",IFERROR(INDEX(Students!$B$4:$B$203,MATCH(B267,Students!$A$4:$A$203,0)),""))</f>
        <v/>
      </c>
      <c r="D267" s="11" t="str">
        <f aca="false">IF(B267="","",IFERROR(INDEX(Students!$H$4:$H$203,MATCH(B267,Students!$A$4:$A$203,0)),""))</f>
        <v/>
      </c>
      <c r="E267" s="18"/>
      <c r="F267" s="18"/>
      <c r="G267" s="18"/>
      <c r="H267" s="18"/>
      <c r="I267" s="18"/>
      <c r="J267" s="18"/>
      <c r="K267" s="18"/>
      <c r="L267" s="18"/>
    </row>
    <row r="268" customFormat="false" ht="15" hidden="false" customHeight="true" outlineLevel="0" collapsed="false">
      <c r="A268" s="19"/>
      <c r="B268" s="17"/>
      <c r="C268" s="11" t="str">
        <f aca="false">IF(B268="","",IFERROR(INDEX(Students!$B$4:$B$203,MATCH(B268,Students!$A$4:$A$203,0)),""))</f>
        <v/>
      </c>
      <c r="D268" s="11" t="str">
        <f aca="false">IF(B268="","",IFERROR(INDEX(Students!$H$4:$H$203,MATCH(B268,Students!$A$4:$A$203,0)),""))</f>
        <v/>
      </c>
      <c r="E268" s="18"/>
      <c r="F268" s="18"/>
      <c r="G268" s="18"/>
      <c r="H268" s="18"/>
      <c r="I268" s="18"/>
      <c r="J268" s="18"/>
      <c r="K268" s="18"/>
      <c r="L268" s="18"/>
    </row>
    <row r="269" customFormat="false" ht="15" hidden="false" customHeight="true" outlineLevel="0" collapsed="false">
      <c r="A269" s="19"/>
      <c r="B269" s="17"/>
      <c r="C269" s="11" t="str">
        <f aca="false">IF(B269="","",IFERROR(INDEX(Students!$B$4:$B$203,MATCH(B269,Students!$A$4:$A$203,0)),""))</f>
        <v/>
      </c>
      <c r="D269" s="11" t="str">
        <f aca="false">IF(B269="","",IFERROR(INDEX(Students!$H$4:$H$203,MATCH(B269,Students!$A$4:$A$203,0)),""))</f>
        <v/>
      </c>
      <c r="E269" s="18"/>
      <c r="F269" s="18"/>
      <c r="G269" s="18"/>
      <c r="H269" s="18"/>
      <c r="I269" s="18"/>
      <c r="J269" s="18"/>
      <c r="K269" s="18"/>
      <c r="L269" s="18"/>
    </row>
    <row r="270" customFormat="false" ht="15" hidden="false" customHeight="true" outlineLevel="0" collapsed="false">
      <c r="A270" s="19"/>
      <c r="B270" s="17"/>
      <c r="C270" s="11" t="str">
        <f aca="false">IF(B270="","",IFERROR(INDEX(Students!$B$4:$B$203,MATCH(B270,Students!$A$4:$A$203,0)),""))</f>
        <v/>
      </c>
      <c r="D270" s="11" t="str">
        <f aca="false">IF(B270="","",IFERROR(INDEX(Students!$H$4:$H$203,MATCH(B270,Students!$A$4:$A$203,0)),""))</f>
        <v/>
      </c>
      <c r="E270" s="18"/>
      <c r="F270" s="18"/>
      <c r="G270" s="18"/>
      <c r="H270" s="18"/>
      <c r="I270" s="18"/>
      <c r="J270" s="18"/>
      <c r="K270" s="18"/>
      <c r="L270" s="18"/>
    </row>
    <row r="271" customFormat="false" ht="15" hidden="false" customHeight="true" outlineLevel="0" collapsed="false">
      <c r="A271" s="19"/>
      <c r="B271" s="17"/>
      <c r="C271" s="11" t="str">
        <f aca="false">IF(B271="","",IFERROR(INDEX(Students!$B$4:$B$203,MATCH(B271,Students!$A$4:$A$203,0)),""))</f>
        <v/>
      </c>
      <c r="D271" s="11" t="str">
        <f aca="false">IF(B271="","",IFERROR(INDEX(Students!$H$4:$H$203,MATCH(B271,Students!$A$4:$A$203,0)),""))</f>
        <v/>
      </c>
      <c r="E271" s="18"/>
      <c r="F271" s="18"/>
      <c r="G271" s="18"/>
      <c r="H271" s="18"/>
      <c r="I271" s="18"/>
      <c r="J271" s="18"/>
      <c r="K271" s="18"/>
      <c r="L271" s="18"/>
    </row>
    <row r="272" customFormat="false" ht="15" hidden="false" customHeight="true" outlineLevel="0" collapsed="false">
      <c r="A272" s="19"/>
      <c r="B272" s="17"/>
      <c r="C272" s="11" t="str">
        <f aca="false">IF(B272="","",IFERROR(INDEX(Students!$B$4:$B$203,MATCH(B272,Students!$A$4:$A$203,0)),""))</f>
        <v/>
      </c>
      <c r="D272" s="11" t="str">
        <f aca="false">IF(B272="","",IFERROR(INDEX(Students!$H$4:$H$203,MATCH(B272,Students!$A$4:$A$203,0)),""))</f>
        <v/>
      </c>
      <c r="E272" s="18"/>
      <c r="F272" s="18"/>
      <c r="G272" s="18"/>
      <c r="H272" s="18"/>
      <c r="I272" s="18"/>
      <c r="J272" s="18"/>
      <c r="K272" s="18"/>
      <c r="L272" s="18"/>
    </row>
    <row r="273" customFormat="false" ht="15" hidden="false" customHeight="true" outlineLevel="0" collapsed="false">
      <c r="A273" s="19"/>
      <c r="B273" s="17"/>
      <c r="C273" s="11" t="str">
        <f aca="false">IF(B273="","",IFERROR(INDEX(Students!$B$4:$B$203,MATCH(B273,Students!$A$4:$A$203,0)),""))</f>
        <v/>
      </c>
      <c r="D273" s="11" t="str">
        <f aca="false">IF(B273="","",IFERROR(INDEX(Students!$H$4:$H$203,MATCH(B273,Students!$A$4:$A$203,0)),""))</f>
        <v/>
      </c>
      <c r="E273" s="18"/>
      <c r="F273" s="18"/>
      <c r="G273" s="18"/>
      <c r="H273" s="18"/>
      <c r="I273" s="18"/>
      <c r="J273" s="18"/>
      <c r="K273" s="18"/>
      <c r="L273" s="18"/>
    </row>
    <row r="274" customFormat="false" ht="15" hidden="false" customHeight="true" outlineLevel="0" collapsed="false">
      <c r="A274" s="19"/>
      <c r="B274" s="17"/>
      <c r="C274" s="11" t="str">
        <f aca="false">IF(B274="","",IFERROR(INDEX(Students!$B$4:$B$203,MATCH(B274,Students!$A$4:$A$203,0)),""))</f>
        <v/>
      </c>
      <c r="D274" s="11" t="str">
        <f aca="false">IF(B274="","",IFERROR(INDEX(Students!$H$4:$H$203,MATCH(B274,Students!$A$4:$A$203,0)),""))</f>
        <v/>
      </c>
      <c r="E274" s="18"/>
      <c r="F274" s="18"/>
      <c r="G274" s="18"/>
      <c r="H274" s="18"/>
      <c r="I274" s="18"/>
      <c r="J274" s="18"/>
      <c r="K274" s="18"/>
      <c r="L274" s="18"/>
    </row>
    <row r="275" customFormat="false" ht="15" hidden="false" customHeight="true" outlineLevel="0" collapsed="false">
      <c r="A275" s="19"/>
      <c r="B275" s="17"/>
      <c r="C275" s="11" t="str">
        <f aca="false">IF(B275="","",IFERROR(INDEX(Students!$B$4:$B$203,MATCH(B275,Students!$A$4:$A$203,0)),""))</f>
        <v/>
      </c>
      <c r="D275" s="11" t="str">
        <f aca="false">IF(B275="","",IFERROR(INDEX(Students!$H$4:$H$203,MATCH(B275,Students!$A$4:$A$203,0)),""))</f>
        <v/>
      </c>
      <c r="E275" s="18"/>
      <c r="F275" s="18"/>
      <c r="G275" s="18"/>
      <c r="H275" s="18"/>
      <c r="I275" s="18"/>
      <c r="J275" s="18"/>
      <c r="K275" s="18"/>
      <c r="L275" s="18"/>
    </row>
    <row r="276" customFormat="false" ht="15" hidden="false" customHeight="true" outlineLevel="0" collapsed="false">
      <c r="A276" s="19"/>
      <c r="B276" s="17"/>
      <c r="C276" s="11" t="str">
        <f aca="false">IF(B276="","",IFERROR(INDEX(Students!$B$4:$B$203,MATCH(B276,Students!$A$4:$A$203,0)),""))</f>
        <v/>
      </c>
      <c r="D276" s="11" t="str">
        <f aca="false">IF(B276="","",IFERROR(INDEX(Students!$H$4:$H$203,MATCH(B276,Students!$A$4:$A$203,0)),""))</f>
        <v/>
      </c>
      <c r="E276" s="18"/>
      <c r="F276" s="18"/>
      <c r="G276" s="18"/>
      <c r="H276" s="18"/>
      <c r="I276" s="18"/>
      <c r="J276" s="18"/>
      <c r="K276" s="18"/>
      <c r="L276" s="18"/>
    </row>
    <row r="277" customFormat="false" ht="15" hidden="false" customHeight="true" outlineLevel="0" collapsed="false">
      <c r="A277" s="19"/>
      <c r="B277" s="17"/>
      <c r="C277" s="11" t="str">
        <f aca="false">IF(B277="","",IFERROR(INDEX(Students!$B$4:$B$203,MATCH(B277,Students!$A$4:$A$203,0)),""))</f>
        <v/>
      </c>
      <c r="D277" s="11" t="str">
        <f aca="false">IF(B277="","",IFERROR(INDEX(Students!$H$4:$H$203,MATCH(B277,Students!$A$4:$A$203,0)),""))</f>
        <v/>
      </c>
      <c r="E277" s="18"/>
      <c r="F277" s="18"/>
      <c r="G277" s="18"/>
      <c r="H277" s="18"/>
      <c r="I277" s="18"/>
      <c r="J277" s="18"/>
      <c r="K277" s="18"/>
      <c r="L277" s="18"/>
    </row>
    <row r="278" customFormat="false" ht="15" hidden="false" customHeight="true" outlineLevel="0" collapsed="false">
      <c r="A278" s="19"/>
      <c r="B278" s="17"/>
      <c r="C278" s="11" t="str">
        <f aca="false">IF(B278="","",IFERROR(INDEX(Students!$B$4:$B$203,MATCH(B278,Students!$A$4:$A$203,0)),""))</f>
        <v/>
      </c>
      <c r="D278" s="11" t="str">
        <f aca="false">IF(B278="","",IFERROR(INDEX(Students!$H$4:$H$203,MATCH(B278,Students!$A$4:$A$203,0)),""))</f>
        <v/>
      </c>
      <c r="E278" s="18"/>
      <c r="F278" s="18"/>
      <c r="G278" s="18"/>
      <c r="H278" s="18"/>
      <c r="I278" s="18"/>
      <c r="J278" s="18"/>
      <c r="K278" s="18"/>
      <c r="L278" s="18"/>
    </row>
    <row r="279" customFormat="false" ht="15" hidden="false" customHeight="true" outlineLevel="0" collapsed="false">
      <c r="A279" s="19"/>
      <c r="B279" s="17"/>
      <c r="C279" s="11" t="str">
        <f aca="false">IF(B279="","",IFERROR(INDEX(Students!$B$4:$B$203,MATCH(B279,Students!$A$4:$A$203,0)),""))</f>
        <v/>
      </c>
      <c r="D279" s="11" t="str">
        <f aca="false">IF(B279="","",IFERROR(INDEX(Students!$H$4:$H$203,MATCH(B279,Students!$A$4:$A$203,0)),""))</f>
        <v/>
      </c>
      <c r="E279" s="18"/>
      <c r="F279" s="18"/>
      <c r="G279" s="18"/>
      <c r="H279" s="18"/>
      <c r="I279" s="18"/>
      <c r="J279" s="18"/>
      <c r="K279" s="18"/>
      <c r="L279" s="18"/>
    </row>
    <row r="280" customFormat="false" ht="15" hidden="false" customHeight="true" outlineLevel="0" collapsed="false">
      <c r="A280" s="19"/>
      <c r="B280" s="17"/>
      <c r="C280" s="11" t="str">
        <f aca="false">IF(B280="","",IFERROR(INDEX(Students!$B$4:$B$203,MATCH(B280,Students!$A$4:$A$203,0)),""))</f>
        <v/>
      </c>
      <c r="D280" s="11" t="str">
        <f aca="false">IF(B280="","",IFERROR(INDEX(Students!$H$4:$H$203,MATCH(B280,Students!$A$4:$A$203,0)),""))</f>
        <v/>
      </c>
      <c r="E280" s="18"/>
      <c r="F280" s="18"/>
      <c r="G280" s="18"/>
      <c r="H280" s="18"/>
      <c r="I280" s="18"/>
      <c r="J280" s="18"/>
      <c r="K280" s="18"/>
      <c r="L280" s="18"/>
    </row>
    <row r="281" customFormat="false" ht="15" hidden="false" customHeight="true" outlineLevel="0" collapsed="false">
      <c r="A281" s="19"/>
      <c r="B281" s="17"/>
      <c r="C281" s="11" t="str">
        <f aca="false">IF(B281="","",IFERROR(INDEX(Students!$B$4:$B$203,MATCH(B281,Students!$A$4:$A$203,0)),""))</f>
        <v/>
      </c>
      <c r="D281" s="11" t="str">
        <f aca="false">IF(B281="","",IFERROR(INDEX(Students!$H$4:$H$203,MATCH(B281,Students!$A$4:$A$203,0)),""))</f>
        <v/>
      </c>
      <c r="E281" s="18"/>
      <c r="F281" s="18"/>
      <c r="G281" s="18"/>
      <c r="H281" s="18"/>
      <c r="I281" s="18"/>
      <c r="J281" s="18"/>
      <c r="K281" s="18"/>
      <c r="L281" s="18"/>
    </row>
    <row r="282" customFormat="false" ht="15" hidden="false" customHeight="true" outlineLevel="0" collapsed="false">
      <c r="A282" s="19"/>
      <c r="B282" s="17"/>
      <c r="C282" s="11" t="str">
        <f aca="false">IF(B282="","",IFERROR(INDEX(Students!$B$4:$B$203,MATCH(B282,Students!$A$4:$A$203,0)),""))</f>
        <v/>
      </c>
      <c r="D282" s="11" t="str">
        <f aca="false">IF(B282="","",IFERROR(INDEX(Students!$H$4:$H$203,MATCH(B282,Students!$A$4:$A$203,0)),""))</f>
        <v/>
      </c>
      <c r="E282" s="18"/>
      <c r="F282" s="18"/>
      <c r="G282" s="18"/>
      <c r="H282" s="18"/>
      <c r="I282" s="18"/>
      <c r="J282" s="18"/>
      <c r="K282" s="18"/>
      <c r="L282" s="18"/>
    </row>
    <row r="283" customFormat="false" ht="15" hidden="false" customHeight="true" outlineLevel="0" collapsed="false">
      <c r="A283" s="19"/>
      <c r="B283" s="17"/>
      <c r="C283" s="11" t="str">
        <f aca="false">IF(B283="","",IFERROR(INDEX(Students!$B$4:$B$203,MATCH(B283,Students!$A$4:$A$203,0)),""))</f>
        <v/>
      </c>
      <c r="D283" s="11" t="str">
        <f aca="false">IF(B283="","",IFERROR(INDEX(Students!$H$4:$H$203,MATCH(B283,Students!$A$4:$A$203,0)),""))</f>
        <v/>
      </c>
      <c r="E283" s="18"/>
      <c r="F283" s="18"/>
      <c r="G283" s="18"/>
      <c r="H283" s="18"/>
      <c r="I283" s="18"/>
      <c r="J283" s="18"/>
      <c r="K283" s="18"/>
      <c r="L283" s="18"/>
    </row>
    <row r="284" customFormat="false" ht="15" hidden="false" customHeight="true" outlineLevel="0" collapsed="false">
      <c r="A284" s="19"/>
      <c r="B284" s="17"/>
      <c r="C284" s="11" t="str">
        <f aca="false">IF(B284="","",IFERROR(INDEX(Students!$B$4:$B$203,MATCH(B284,Students!$A$4:$A$203,0)),""))</f>
        <v/>
      </c>
      <c r="D284" s="11" t="str">
        <f aca="false">IF(B284="","",IFERROR(INDEX(Students!$H$4:$H$203,MATCH(B284,Students!$A$4:$A$203,0)),""))</f>
        <v/>
      </c>
      <c r="E284" s="18"/>
      <c r="F284" s="18"/>
      <c r="G284" s="18"/>
      <c r="H284" s="18"/>
      <c r="I284" s="18"/>
      <c r="J284" s="18"/>
      <c r="K284" s="18"/>
      <c r="L284" s="18"/>
    </row>
    <row r="285" customFormat="false" ht="15" hidden="false" customHeight="true" outlineLevel="0" collapsed="false">
      <c r="A285" s="19"/>
      <c r="B285" s="17"/>
      <c r="C285" s="11" t="str">
        <f aca="false">IF(B285="","",IFERROR(INDEX(Students!$B$4:$B$203,MATCH(B285,Students!$A$4:$A$203,0)),""))</f>
        <v/>
      </c>
      <c r="D285" s="11" t="str">
        <f aca="false">IF(B285="","",IFERROR(INDEX(Students!$H$4:$H$203,MATCH(B285,Students!$A$4:$A$203,0)),""))</f>
        <v/>
      </c>
      <c r="E285" s="18"/>
      <c r="F285" s="18"/>
      <c r="G285" s="18"/>
      <c r="H285" s="18"/>
      <c r="I285" s="18"/>
      <c r="J285" s="18"/>
      <c r="K285" s="18"/>
      <c r="L285" s="18"/>
    </row>
    <row r="286" customFormat="false" ht="15" hidden="false" customHeight="true" outlineLevel="0" collapsed="false">
      <c r="A286" s="19"/>
      <c r="B286" s="17"/>
      <c r="C286" s="11" t="str">
        <f aca="false">IF(B286="","",IFERROR(INDEX(Students!$B$4:$B$203,MATCH(B286,Students!$A$4:$A$203,0)),""))</f>
        <v/>
      </c>
      <c r="D286" s="11" t="str">
        <f aca="false">IF(B286="","",IFERROR(INDEX(Students!$H$4:$H$203,MATCH(B286,Students!$A$4:$A$203,0)),""))</f>
        <v/>
      </c>
      <c r="E286" s="18"/>
      <c r="F286" s="18"/>
      <c r="G286" s="18"/>
      <c r="H286" s="18"/>
      <c r="I286" s="18"/>
      <c r="J286" s="18"/>
      <c r="K286" s="18"/>
      <c r="L286" s="18"/>
    </row>
    <row r="287" customFormat="false" ht="15" hidden="false" customHeight="true" outlineLevel="0" collapsed="false">
      <c r="A287" s="19"/>
      <c r="B287" s="17"/>
      <c r="C287" s="11" t="str">
        <f aca="false">IF(B287="","",IFERROR(INDEX(Students!$B$4:$B$203,MATCH(B287,Students!$A$4:$A$203,0)),""))</f>
        <v/>
      </c>
      <c r="D287" s="11" t="str">
        <f aca="false">IF(B287="","",IFERROR(INDEX(Students!$H$4:$H$203,MATCH(B287,Students!$A$4:$A$203,0)),""))</f>
        <v/>
      </c>
      <c r="E287" s="18"/>
      <c r="F287" s="18"/>
      <c r="G287" s="18"/>
      <c r="H287" s="18"/>
      <c r="I287" s="18"/>
      <c r="J287" s="18"/>
      <c r="K287" s="18"/>
      <c r="L287" s="18"/>
    </row>
    <row r="288" customFormat="false" ht="15" hidden="false" customHeight="true" outlineLevel="0" collapsed="false">
      <c r="A288" s="19"/>
      <c r="B288" s="17"/>
      <c r="C288" s="11" t="str">
        <f aca="false">IF(B288="","",IFERROR(INDEX(Students!$B$4:$B$203,MATCH(B288,Students!$A$4:$A$203,0)),""))</f>
        <v/>
      </c>
      <c r="D288" s="11" t="str">
        <f aca="false">IF(B288="","",IFERROR(INDEX(Students!$H$4:$H$203,MATCH(B288,Students!$A$4:$A$203,0)),""))</f>
        <v/>
      </c>
      <c r="E288" s="18"/>
      <c r="F288" s="18"/>
      <c r="G288" s="18"/>
      <c r="H288" s="18"/>
      <c r="I288" s="18"/>
      <c r="J288" s="18"/>
      <c r="K288" s="18"/>
      <c r="L288" s="18"/>
    </row>
    <row r="289" customFormat="false" ht="15" hidden="false" customHeight="true" outlineLevel="0" collapsed="false">
      <c r="A289" s="19"/>
      <c r="B289" s="17"/>
      <c r="C289" s="11" t="str">
        <f aca="false">IF(B289="","",IFERROR(INDEX(Students!$B$4:$B$203,MATCH(B289,Students!$A$4:$A$203,0)),""))</f>
        <v/>
      </c>
      <c r="D289" s="11" t="str">
        <f aca="false">IF(B289="","",IFERROR(INDEX(Students!$H$4:$H$203,MATCH(B289,Students!$A$4:$A$203,0)),""))</f>
        <v/>
      </c>
      <c r="E289" s="18"/>
      <c r="F289" s="18"/>
      <c r="G289" s="18"/>
      <c r="H289" s="18"/>
      <c r="I289" s="18"/>
      <c r="J289" s="18"/>
      <c r="K289" s="18"/>
      <c r="L289" s="18"/>
    </row>
    <row r="290" customFormat="false" ht="15" hidden="false" customHeight="true" outlineLevel="0" collapsed="false">
      <c r="A290" s="19"/>
      <c r="B290" s="17"/>
      <c r="C290" s="11" t="str">
        <f aca="false">IF(B290="","",IFERROR(INDEX(Students!$B$4:$B$203,MATCH(B290,Students!$A$4:$A$203,0)),""))</f>
        <v/>
      </c>
      <c r="D290" s="11" t="str">
        <f aca="false">IF(B290="","",IFERROR(INDEX(Students!$H$4:$H$203,MATCH(B290,Students!$A$4:$A$203,0)),""))</f>
        <v/>
      </c>
      <c r="E290" s="18"/>
      <c r="F290" s="18"/>
      <c r="G290" s="18"/>
      <c r="H290" s="18"/>
      <c r="I290" s="18"/>
      <c r="J290" s="18"/>
      <c r="K290" s="18"/>
      <c r="L290" s="18"/>
    </row>
    <row r="291" customFormat="false" ht="15" hidden="false" customHeight="true" outlineLevel="0" collapsed="false">
      <c r="A291" s="19"/>
      <c r="B291" s="17"/>
      <c r="C291" s="11" t="str">
        <f aca="false">IF(B291="","",IFERROR(INDEX(Students!$B$4:$B$203,MATCH(B291,Students!$A$4:$A$203,0)),""))</f>
        <v/>
      </c>
      <c r="D291" s="11" t="str">
        <f aca="false">IF(B291="","",IFERROR(INDEX(Students!$H$4:$H$203,MATCH(B291,Students!$A$4:$A$203,0)),""))</f>
        <v/>
      </c>
      <c r="E291" s="18"/>
      <c r="F291" s="18"/>
      <c r="G291" s="18"/>
      <c r="H291" s="18"/>
      <c r="I291" s="18"/>
      <c r="J291" s="18"/>
      <c r="K291" s="18"/>
      <c r="L291" s="18"/>
    </row>
    <row r="292" customFormat="false" ht="15" hidden="false" customHeight="true" outlineLevel="0" collapsed="false">
      <c r="A292" s="19"/>
      <c r="B292" s="17"/>
      <c r="C292" s="11" t="str">
        <f aca="false">IF(B292="","",IFERROR(INDEX(Students!$B$4:$B$203,MATCH(B292,Students!$A$4:$A$203,0)),""))</f>
        <v/>
      </c>
      <c r="D292" s="11" t="str">
        <f aca="false">IF(B292="","",IFERROR(INDEX(Students!$H$4:$H$203,MATCH(B292,Students!$A$4:$A$203,0)),""))</f>
        <v/>
      </c>
      <c r="E292" s="18"/>
      <c r="F292" s="18"/>
      <c r="G292" s="18"/>
      <c r="H292" s="18"/>
      <c r="I292" s="18"/>
      <c r="J292" s="18"/>
      <c r="K292" s="18"/>
      <c r="L292" s="18"/>
    </row>
    <row r="293" customFormat="false" ht="15" hidden="false" customHeight="true" outlineLevel="0" collapsed="false">
      <c r="A293" s="19"/>
      <c r="B293" s="17"/>
      <c r="C293" s="11" t="str">
        <f aca="false">IF(B293="","",IFERROR(INDEX(Students!$B$4:$B$203,MATCH(B293,Students!$A$4:$A$203,0)),""))</f>
        <v/>
      </c>
      <c r="D293" s="11" t="str">
        <f aca="false">IF(B293="","",IFERROR(INDEX(Students!$H$4:$H$203,MATCH(B293,Students!$A$4:$A$203,0)),""))</f>
        <v/>
      </c>
      <c r="E293" s="18"/>
      <c r="F293" s="18"/>
      <c r="G293" s="18"/>
      <c r="H293" s="18"/>
      <c r="I293" s="18"/>
      <c r="J293" s="18"/>
      <c r="K293" s="18"/>
      <c r="L293" s="18"/>
    </row>
    <row r="294" customFormat="false" ht="15" hidden="false" customHeight="true" outlineLevel="0" collapsed="false">
      <c r="A294" s="19"/>
      <c r="B294" s="17"/>
      <c r="C294" s="11" t="str">
        <f aca="false">IF(B294="","",IFERROR(INDEX(Students!$B$4:$B$203,MATCH(B294,Students!$A$4:$A$203,0)),""))</f>
        <v/>
      </c>
      <c r="D294" s="11" t="str">
        <f aca="false">IF(B294="","",IFERROR(INDEX(Students!$H$4:$H$203,MATCH(B294,Students!$A$4:$A$203,0)),""))</f>
        <v/>
      </c>
      <c r="E294" s="18"/>
      <c r="F294" s="18"/>
      <c r="G294" s="18"/>
      <c r="H294" s="18"/>
      <c r="I294" s="18"/>
      <c r="J294" s="18"/>
      <c r="K294" s="18"/>
      <c r="L294" s="18"/>
    </row>
    <row r="295" customFormat="false" ht="15" hidden="false" customHeight="true" outlineLevel="0" collapsed="false">
      <c r="A295" s="19"/>
      <c r="B295" s="17"/>
      <c r="C295" s="11" t="str">
        <f aca="false">IF(B295="","",IFERROR(INDEX(Students!$B$4:$B$203,MATCH(B295,Students!$A$4:$A$203,0)),""))</f>
        <v/>
      </c>
      <c r="D295" s="11" t="str">
        <f aca="false">IF(B295="","",IFERROR(INDEX(Students!$H$4:$H$203,MATCH(B295,Students!$A$4:$A$203,0)),""))</f>
        <v/>
      </c>
      <c r="E295" s="18"/>
      <c r="F295" s="18"/>
      <c r="G295" s="18"/>
      <c r="H295" s="18"/>
      <c r="I295" s="18"/>
      <c r="J295" s="18"/>
      <c r="K295" s="18"/>
      <c r="L295" s="18"/>
    </row>
    <row r="296" customFormat="false" ht="15" hidden="false" customHeight="true" outlineLevel="0" collapsed="false">
      <c r="A296" s="19"/>
      <c r="B296" s="17"/>
      <c r="C296" s="11" t="str">
        <f aca="false">IF(B296="","",IFERROR(INDEX(Students!$B$4:$B$203,MATCH(B296,Students!$A$4:$A$203,0)),""))</f>
        <v/>
      </c>
      <c r="D296" s="11" t="str">
        <f aca="false">IF(B296="","",IFERROR(INDEX(Students!$H$4:$H$203,MATCH(B296,Students!$A$4:$A$203,0)),""))</f>
        <v/>
      </c>
      <c r="E296" s="18"/>
      <c r="F296" s="18"/>
      <c r="G296" s="18"/>
      <c r="H296" s="18"/>
      <c r="I296" s="18"/>
      <c r="J296" s="18"/>
      <c r="K296" s="18"/>
      <c r="L296" s="18"/>
    </row>
    <row r="297" customFormat="false" ht="15" hidden="false" customHeight="true" outlineLevel="0" collapsed="false">
      <c r="A297" s="19"/>
      <c r="B297" s="17"/>
      <c r="C297" s="11" t="str">
        <f aca="false">IF(B297="","",IFERROR(INDEX(Students!$B$4:$B$203,MATCH(B297,Students!$A$4:$A$203,0)),""))</f>
        <v/>
      </c>
      <c r="D297" s="11" t="str">
        <f aca="false">IF(B297="","",IFERROR(INDEX(Students!$H$4:$H$203,MATCH(B297,Students!$A$4:$A$203,0)),""))</f>
        <v/>
      </c>
      <c r="E297" s="18"/>
      <c r="F297" s="18"/>
      <c r="G297" s="18"/>
      <c r="H297" s="18"/>
      <c r="I297" s="18"/>
      <c r="J297" s="18"/>
      <c r="K297" s="18"/>
      <c r="L297" s="18"/>
    </row>
    <row r="298" customFormat="false" ht="15" hidden="false" customHeight="true" outlineLevel="0" collapsed="false">
      <c r="A298" s="19"/>
      <c r="B298" s="17"/>
      <c r="C298" s="11" t="str">
        <f aca="false">IF(B298="","",IFERROR(INDEX(Students!$B$4:$B$203,MATCH(B298,Students!$A$4:$A$203,0)),""))</f>
        <v/>
      </c>
      <c r="D298" s="11" t="str">
        <f aca="false">IF(B298="","",IFERROR(INDEX(Students!$H$4:$H$203,MATCH(B298,Students!$A$4:$A$203,0)),""))</f>
        <v/>
      </c>
      <c r="E298" s="18"/>
      <c r="F298" s="18"/>
      <c r="G298" s="18"/>
      <c r="H298" s="18"/>
      <c r="I298" s="18"/>
      <c r="J298" s="18"/>
      <c r="K298" s="18"/>
      <c r="L298" s="18"/>
    </row>
    <row r="299" customFormat="false" ht="15" hidden="false" customHeight="true" outlineLevel="0" collapsed="false">
      <c r="A299" s="19"/>
      <c r="B299" s="17"/>
      <c r="C299" s="11" t="str">
        <f aca="false">IF(B299="","",IFERROR(INDEX(Students!$B$4:$B$203,MATCH(B299,Students!$A$4:$A$203,0)),""))</f>
        <v/>
      </c>
      <c r="D299" s="11" t="str">
        <f aca="false">IF(B299="","",IFERROR(INDEX(Students!$H$4:$H$203,MATCH(B299,Students!$A$4:$A$203,0)),""))</f>
        <v/>
      </c>
      <c r="E299" s="18"/>
      <c r="F299" s="18"/>
      <c r="G299" s="18"/>
      <c r="H299" s="18"/>
      <c r="I299" s="18"/>
      <c r="J299" s="18"/>
      <c r="K299" s="18"/>
      <c r="L299" s="18"/>
    </row>
    <row r="300" customFormat="false" ht="15" hidden="false" customHeight="true" outlineLevel="0" collapsed="false">
      <c r="A300" s="19"/>
      <c r="B300" s="17"/>
      <c r="C300" s="11" t="str">
        <f aca="false">IF(B300="","",IFERROR(INDEX(Students!$B$4:$B$203,MATCH(B300,Students!$A$4:$A$203,0)),""))</f>
        <v/>
      </c>
      <c r="D300" s="11" t="str">
        <f aca="false">IF(B300="","",IFERROR(INDEX(Students!$H$4:$H$203,MATCH(B300,Students!$A$4:$A$203,0)),""))</f>
        <v/>
      </c>
      <c r="E300" s="18"/>
      <c r="F300" s="18"/>
      <c r="G300" s="18"/>
      <c r="H300" s="18"/>
      <c r="I300" s="18"/>
      <c r="J300" s="18"/>
      <c r="K300" s="18"/>
      <c r="L300" s="18"/>
    </row>
    <row r="301" customFormat="false" ht="15" hidden="false" customHeight="true" outlineLevel="0" collapsed="false">
      <c r="A301" s="19"/>
      <c r="B301" s="17"/>
      <c r="C301" s="11" t="str">
        <f aca="false">IF(B301="","",IFERROR(INDEX(Students!$B$4:$B$203,MATCH(B301,Students!$A$4:$A$203,0)),""))</f>
        <v/>
      </c>
      <c r="D301" s="11" t="str">
        <f aca="false">IF(B301="","",IFERROR(INDEX(Students!$H$4:$H$203,MATCH(B301,Students!$A$4:$A$203,0)),""))</f>
        <v/>
      </c>
      <c r="E301" s="18"/>
      <c r="F301" s="18"/>
      <c r="G301" s="18"/>
      <c r="H301" s="18"/>
      <c r="I301" s="18"/>
      <c r="J301" s="18"/>
      <c r="K301" s="18"/>
      <c r="L301" s="18"/>
    </row>
    <row r="302" customFormat="false" ht="15" hidden="false" customHeight="true" outlineLevel="0" collapsed="false">
      <c r="A302" s="19"/>
      <c r="B302" s="17"/>
      <c r="C302" s="11" t="str">
        <f aca="false">IF(B302="","",IFERROR(INDEX(Students!$B$4:$B$203,MATCH(B302,Students!$A$4:$A$203,0)),""))</f>
        <v/>
      </c>
      <c r="D302" s="11" t="str">
        <f aca="false">IF(B302="","",IFERROR(INDEX(Students!$H$4:$H$203,MATCH(B302,Students!$A$4:$A$203,0)),""))</f>
        <v/>
      </c>
      <c r="E302" s="18"/>
      <c r="F302" s="18"/>
      <c r="G302" s="18"/>
      <c r="H302" s="18"/>
      <c r="I302" s="18"/>
      <c r="J302" s="18"/>
      <c r="K302" s="18"/>
      <c r="L302" s="18"/>
    </row>
    <row r="303" customFormat="false" ht="15" hidden="false" customHeight="true" outlineLevel="0" collapsed="false">
      <c r="A303" s="19"/>
      <c r="B303" s="17"/>
      <c r="C303" s="11" t="str">
        <f aca="false">IF(B303="","",IFERROR(INDEX(Students!$B$4:$B$203,MATCH(B303,Students!$A$4:$A$203,0)),""))</f>
        <v/>
      </c>
      <c r="D303" s="11" t="str">
        <f aca="false">IF(B303="","",IFERROR(INDEX(Students!$H$4:$H$203,MATCH(B303,Students!$A$4:$A$203,0)),""))</f>
        <v/>
      </c>
      <c r="E303" s="18"/>
      <c r="F303" s="18"/>
      <c r="G303" s="18"/>
      <c r="H303" s="18"/>
      <c r="I303" s="18"/>
      <c r="J303" s="18"/>
      <c r="K303" s="18"/>
      <c r="L303" s="18"/>
    </row>
    <row r="304" customFormat="false" ht="15" hidden="false" customHeight="true" outlineLevel="0" collapsed="false">
      <c r="A304" s="19"/>
      <c r="B304" s="17"/>
      <c r="C304" s="11" t="str">
        <f aca="false">IF(B304="","",IFERROR(INDEX(Students!$B$4:$B$203,MATCH(B304,Students!$A$4:$A$203,0)),""))</f>
        <v/>
      </c>
      <c r="D304" s="11" t="str">
        <f aca="false">IF(B304="","",IFERROR(INDEX(Students!$H$4:$H$203,MATCH(B304,Students!$A$4:$A$203,0)),""))</f>
        <v/>
      </c>
      <c r="E304" s="18"/>
      <c r="F304" s="18"/>
      <c r="G304" s="18"/>
      <c r="H304" s="18"/>
      <c r="I304" s="18"/>
      <c r="J304" s="18"/>
      <c r="K304" s="18"/>
      <c r="L304" s="18"/>
    </row>
    <row r="305" customFormat="false" ht="15" hidden="false" customHeight="true" outlineLevel="0" collapsed="false">
      <c r="A305" s="19"/>
      <c r="B305" s="17"/>
      <c r="C305" s="11" t="str">
        <f aca="false">IF(B305="","",IFERROR(INDEX(Students!$B$4:$B$203,MATCH(B305,Students!$A$4:$A$203,0)),""))</f>
        <v/>
      </c>
      <c r="D305" s="11" t="str">
        <f aca="false">IF(B305="","",IFERROR(INDEX(Students!$H$4:$H$203,MATCH(B305,Students!$A$4:$A$203,0)),""))</f>
        <v/>
      </c>
      <c r="E305" s="18"/>
      <c r="F305" s="18"/>
      <c r="G305" s="18"/>
      <c r="H305" s="18"/>
      <c r="I305" s="18"/>
      <c r="J305" s="18"/>
      <c r="K305" s="18"/>
      <c r="L305" s="18"/>
    </row>
    <row r="306" customFormat="false" ht="15" hidden="false" customHeight="true" outlineLevel="0" collapsed="false">
      <c r="A306" s="19"/>
      <c r="B306" s="17"/>
      <c r="C306" s="11" t="str">
        <f aca="false">IF(B306="","",IFERROR(INDEX(Students!$B$4:$B$203,MATCH(B306,Students!$A$4:$A$203,0)),""))</f>
        <v/>
      </c>
      <c r="D306" s="11" t="str">
        <f aca="false">IF(B306="","",IFERROR(INDEX(Students!$H$4:$H$203,MATCH(B306,Students!$A$4:$A$203,0)),""))</f>
        <v/>
      </c>
      <c r="E306" s="18"/>
      <c r="F306" s="18"/>
      <c r="G306" s="18"/>
      <c r="H306" s="18"/>
      <c r="I306" s="18"/>
      <c r="J306" s="18"/>
      <c r="K306" s="18"/>
      <c r="L306" s="18"/>
    </row>
    <row r="307" customFormat="false" ht="15" hidden="false" customHeight="true" outlineLevel="0" collapsed="false">
      <c r="A307" s="19"/>
      <c r="B307" s="17"/>
      <c r="C307" s="11" t="str">
        <f aca="false">IF(B307="","",IFERROR(INDEX(Students!$B$4:$B$203,MATCH(B307,Students!$A$4:$A$203,0)),""))</f>
        <v/>
      </c>
      <c r="D307" s="11" t="str">
        <f aca="false">IF(B307="","",IFERROR(INDEX(Students!$H$4:$H$203,MATCH(B307,Students!$A$4:$A$203,0)),""))</f>
        <v/>
      </c>
      <c r="E307" s="18"/>
      <c r="F307" s="18"/>
      <c r="G307" s="18"/>
      <c r="H307" s="18"/>
      <c r="I307" s="18"/>
      <c r="J307" s="18"/>
      <c r="K307" s="18"/>
      <c r="L307" s="18"/>
    </row>
    <row r="308" customFormat="false" ht="15" hidden="false" customHeight="true" outlineLevel="0" collapsed="false">
      <c r="A308" s="19"/>
      <c r="B308" s="17"/>
      <c r="C308" s="11" t="str">
        <f aca="false">IF(B308="","",IFERROR(INDEX(Students!$B$4:$B$203,MATCH(B308,Students!$A$4:$A$203,0)),""))</f>
        <v/>
      </c>
      <c r="D308" s="11" t="str">
        <f aca="false">IF(B308="","",IFERROR(INDEX(Students!$H$4:$H$203,MATCH(B308,Students!$A$4:$A$203,0)),""))</f>
        <v/>
      </c>
      <c r="E308" s="18"/>
      <c r="F308" s="18"/>
      <c r="G308" s="18"/>
      <c r="H308" s="18"/>
      <c r="I308" s="18"/>
      <c r="J308" s="18"/>
      <c r="K308" s="18"/>
      <c r="L308" s="18"/>
    </row>
    <row r="309" customFormat="false" ht="15" hidden="false" customHeight="true" outlineLevel="0" collapsed="false">
      <c r="A309" s="19"/>
      <c r="B309" s="17"/>
      <c r="C309" s="11" t="str">
        <f aca="false">IF(B309="","",IFERROR(INDEX(Students!$B$4:$B$203,MATCH(B309,Students!$A$4:$A$203,0)),""))</f>
        <v/>
      </c>
      <c r="D309" s="11" t="str">
        <f aca="false">IF(B309="","",IFERROR(INDEX(Students!$H$4:$H$203,MATCH(B309,Students!$A$4:$A$203,0)),""))</f>
        <v/>
      </c>
      <c r="E309" s="18"/>
      <c r="F309" s="18"/>
      <c r="G309" s="18"/>
      <c r="H309" s="18"/>
      <c r="I309" s="18"/>
      <c r="J309" s="18"/>
      <c r="K309" s="18"/>
      <c r="L309" s="18"/>
    </row>
    <row r="310" customFormat="false" ht="15" hidden="false" customHeight="true" outlineLevel="0" collapsed="false">
      <c r="A310" s="19"/>
      <c r="B310" s="17"/>
      <c r="C310" s="11" t="str">
        <f aca="false">IF(B310="","",IFERROR(INDEX(Students!$B$4:$B$203,MATCH(B310,Students!$A$4:$A$203,0)),""))</f>
        <v/>
      </c>
      <c r="D310" s="11" t="str">
        <f aca="false">IF(B310="","",IFERROR(INDEX(Students!$H$4:$H$203,MATCH(B310,Students!$A$4:$A$203,0)),""))</f>
        <v/>
      </c>
      <c r="E310" s="18"/>
      <c r="F310" s="18"/>
      <c r="G310" s="18"/>
      <c r="H310" s="18"/>
      <c r="I310" s="18"/>
      <c r="J310" s="18"/>
      <c r="K310" s="18"/>
      <c r="L310" s="18"/>
    </row>
    <row r="311" customFormat="false" ht="15" hidden="false" customHeight="true" outlineLevel="0" collapsed="false">
      <c r="A311" s="19"/>
      <c r="B311" s="17"/>
      <c r="C311" s="11" t="str">
        <f aca="false">IF(B311="","",IFERROR(INDEX(Students!$B$4:$B$203,MATCH(B311,Students!$A$4:$A$203,0)),""))</f>
        <v/>
      </c>
      <c r="D311" s="11" t="str">
        <f aca="false">IF(B311="","",IFERROR(INDEX(Students!$H$4:$H$203,MATCH(B311,Students!$A$4:$A$203,0)),""))</f>
        <v/>
      </c>
      <c r="E311" s="18"/>
      <c r="F311" s="18"/>
      <c r="G311" s="18"/>
      <c r="H311" s="18"/>
      <c r="I311" s="18"/>
      <c r="J311" s="18"/>
      <c r="K311" s="18"/>
      <c r="L311" s="18"/>
    </row>
    <row r="312" customFormat="false" ht="15" hidden="false" customHeight="true" outlineLevel="0" collapsed="false">
      <c r="A312" s="19"/>
      <c r="B312" s="17"/>
      <c r="C312" s="11" t="str">
        <f aca="false">IF(B312="","",IFERROR(INDEX(Students!$B$4:$B$203,MATCH(B312,Students!$A$4:$A$203,0)),""))</f>
        <v/>
      </c>
      <c r="D312" s="11" t="str">
        <f aca="false">IF(B312="","",IFERROR(INDEX(Students!$H$4:$H$203,MATCH(B312,Students!$A$4:$A$203,0)),""))</f>
        <v/>
      </c>
      <c r="E312" s="18"/>
      <c r="F312" s="18"/>
      <c r="G312" s="18"/>
      <c r="H312" s="18"/>
      <c r="I312" s="18"/>
      <c r="J312" s="18"/>
      <c r="K312" s="18"/>
      <c r="L312" s="18"/>
    </row>
    <row r="313" customFormat="false" ht="15" hidden="false" customHeight="true" outlineLevel="0" collapsed="false">
      <c r="A313" s="19"/>
      <c r="B313" s="17"/>
      <c r="C313" s="11" t="str">
        <f aca="false">IF(B313="","",IFERROR(INDEX(Students!$B$4:$B$203,MATCH(B313,Students!$A$4:$A$203,0)),""))</f>
        <v/>
      </c>
      <c r="D313" s="11" t="str">
        <f aca="false">IF(B313="","",IFERROR(INDEX(Students!$H$4:$H$203,MATCH(B313,Students!$A$4:$A$203,0)),""))</f>
        <v/>
      </c>
      <c r="E313" s="18"/>
      <c r="F313" s="18"/>
      <c r="G313" s="18"/>
      <c r="H313" s="18"/>
      <c r="I313" s="18"/>
      <c r="J313" s="18"/>
      <c r="K313" s="18"/>
      <c r="L313" s="18"/>
    </row>
    <row r="314" customFormat="false" ht="15" hidden="false" customHeight="true" outlineLevel="0" collapsed="false">
      <c r="A314" s="19"/>
      <c r="B314" s="17"/>
      <c r="C314" s="11" t="str">
        <f aca="false">IF(B314="","",IFERROR(INDEX(Students!$B$4:$B$203,MATCH(B314,Students!$A$4:$A$203,0)),""))</f>
        <v/>
      </c>
      <c r="D314" s="11" t="str">
        <f aca="false">IF(B314="","",IFERROR(INDEX(Students!$H$4:$H$203,MATCH(B314,Students!$A$4:$A$203,0)),""))</f>
        <v/>
      </c>
      <c r="E314" s="18"/>
      <c r="F314" s="18"/>
      <c r="G314" s="18"/>
      <c r="H314" s="18"/>
      <c r="I314" s="18"/>
      <c r="J314" s="18"/>
      <c r="K314" s="18"/>
      <c r="L314" s="18"/>
    </row>
    <row r="315" customFormat="false" ht="15" hidden="false" customHeight="true" outlineLevel="0" collapsed="false">
      <c r="A315" s="19"/>
      <c r="B315" s="17"/>
      <c r="C315" s="11" t="str">
        <f aca="false">IF(B315="","",IFERROR(INDEX(Students!$B$4:$B$203,MATCH(B315,Students!$A$4:$A$203,0)),""))</f>
        <v/>
      </c>
      <c r="D315" s="11" t="str">
        <f aca="false">IF(B315="","",IFERROR(INDEX(Students!$H$4:$H$203,MATCH(B315,Students!$A$4:$A$203,0)),""))</f>
        <v/>
      </c>
      <c r="E315" s="18"/>
      <c r="F315" s="18"/>
      <c r="G315" s="18"/>
      <c r="H315" s="18"/>
      <c r="I315" s="18"/>
      <c r="J315" s="18"/>
      <c r="K315" s="18"/>
      <c r="L315" s="18"/>
    </row>
    <row r="316" customFormat="false" ht="15" hidden="false" customHeight="true" outlineLevel="0" collapsed="false">
      <c r="A316" s="19"/>
      <c r="B316" s="17"/>
      <c r="C316" s="11" t="str">
        <f aca="false">IF(B316="","",IFERROR(INDEX(Students!$B$4:$B$203,MATCH(B316,Students!$A$4:$A$203,0)),""))</f>
        <v/>
      </c>
      <c r="D316" s="11" t="str">
        <f aca="false">IF(B316="","",IFERROR(INDEX(Students!$H$4:$H$203,MATCH(B316,Students!$A$4:$A$203,0)),""))</f>
        <v/>
      </c>
      <c r="E316" s="18"/>
      <c r="F316" s="18"/>
      <c r="G316" s="18"/>
      <c r="H316" s="18"/>
      <c r="I316" s="18"/>
      <c r="J316" s="18"/>
      <c r="K316" s="18"/>
      <c r="L316" s="18"/>
    </row>
    <row r="317" customFormat="false" ht="15" hidden="false" customHeight="true" outlineLevel="0" collapsed="false">
      <c r="A317" s="19"/>
      <c r="B317" s="17"/>
      <c r="C317" s="11" t="str">
        <f aca="false">IF(B317="","",IFERROR(INDEX(Students!$B$4:$B$203,MATCH(B317,Students!$A$4:$A$203,0)),""))</f>
        <v/>
      </c>
      <c r="D317" s="11" t="str">
        <f aca="false">IF(B317="","",IFERROR(INDEX(Students!$H$4:$H$203,MATCH(B317,Students!$A$4:$A$203,0)),""))</f>
        <v/>
      </c>
      <c r="E317" s="18"/>
      <c r="F317" s="18"/>
      <c r="G317" s="18"/>
      <c r="H317" s="18"/>
      <c r="I317" s="18"/>
      <c r="J317" s="18"/>
      <c r="K317" s="18"/>
      <c r="L317" s="18"/>
    </row>
    <row r="318" customFormat="false" ht="15" hidden="false" customHeight="true" outlineLevel="0" collapsed="false">
      <c r="A318" s="19"/>
      <c r="B318" s="17"/>
      <c r="C318" s="11" t="str">
        <f aca="false">IF(B318="","",IFERROR(INDEX(Students!$B$4:$B$203,MATCH(B318,Students!$A$4:$A$203,0)),""))</f>
        <v/>
      </c>
      <c r="D318" s="11" t="str">
        <f aca="false">IF(B318="","",IFERROR(INDEX(Students!$H$4:$H$203,MATCH(B318,Students!$A$4:$A$203,0)),""))</f>
        <v/>
      </c>
      <c r="E318" s="18"/>
      <c r="F318" s="18"/>
      <c r="G318" s="18"/>
      <c r="H318" s="18"/>
      <c r="I318" s="18"/>
      <c r="J318" s="18"/>
      <c r="K318" s="18"/>
      <c r="L318" s="18"/>
    </row>
    <row r="319" customFormat="false" ht="15" hidden="false" customHeight="true" outlineLevel="0" collapsed="false">
      <c r="A319" s="19"/>
      <c r="B319" s="17"/>
      <c r="C319" s="11" t="str">
        <f aca="false">IF(B319="","",IFERROR(INDEX(Students!$B$4:$B$203,MATCH(B319,Students!$A$4:$A$203,0)),""))</f>
        <v/>
      </c>
      <c r="D319" s="11" t="str">
        <f aca="false">IF(B319="","",IFERROR(INDEX(Students!$H$4:$H$203,MATCH(B319,Students!$A$4:$A$203,0)),""))</f>
        <v/>
      </c>
      <c r="E319" s="18"/>
      <c r="F319" s="18"/>
      <c r="G319" s="18"/>
      <c r="H319" s="18"/>
      <c r="I319" s="18"/>
      <c r="J319" s="18"/>
      <c r="K319" s="18"/>
      <c r="L319" s="18"/>
    </row>
    <row r="320" customFormat="false" ht="15" hidden="false" customHeight="true" outlineLevel="0" collapsed="false">
      <c r="A320" s="19"/>
      <c r="B320" s="17"/>
      <c r="C320" s="11" t="str">
        <f aca="false">IF(B320="","",IFERROR(INDEX(Students!$B$4:$B$203,MATCH(B320,Students!$A$4:$A$203,0)),""))</f>
        <v/>
      </c>
      <c r="D320" s="11" t="str">
        <f aca="false">IF(B320="","",IFERROR(INDEX(Students!$H$4:$H$203,MATCH(B320,Students!$A$4:$A$203,0)),""))</f>
        <v/>
      </c>
      <c r="E320" s="18"/>
      <c r="F320" s="18"/>
      <c r="G320" s="18"/>
      <c r="H320" s="18"/>
      <c r="I320" s="18"/>
      <c r="J320" s="18"/>
      <c r="K320" s="18"/>
      <c r="L320" s="18"/>
    </row>
    <row r="321" customFormat="false" ht="15" hidden="false" customHeight="true" outlineLevel="0" collapsed="false">
      <c r="A321" s="19"/>
      <c r="B321" s="17"/>
      <c r="C321" s="11" t="str">
        <f aca="false">IF(B321="","",IFERROR(INDEX(Students!$B$4:$B$203,MATCH(B321,Students!$A$4:$A$203,0)),""))</f>
        <v/>
      </c>
      <c r="D321" s="11" t="str">
        <f aca="false">IF(B321="","",IFERROR(INDEX(Students!$H$4:$H$203,MATCH(B321,Students!$A$4:$A$203,0)),""))</f>
        <v/>
      </c>
      <c r="E321" s="18"/>
      <c r="F321" s="18"/>
      <c r="G321" s="18"/>
      <c r="H321" s="18"/>
      <c r="I321" s="18"/>
      <c r="J321" s="18"/>
      <c r="K321" s="18"/>
      <c r="L321" s="18"/>
    </row>
    <row r="322" customFormat="false" ht="15" hidden="false" customHeight="true" outlineLevel="0" collapsed="false">
      <c r="A322" s="19"/>
      <c r="B322" s="17"/>
      <c r="C322" s="11" t="str">
        <f aca="false">IF(B322="","",IFERROR(INDEX(Students!$B$4:$B$203,MATCH(B322,Students!$A$4:$A$203,0)),""))</f>
        <v/>
      </c>
      <c r="D322" s="11" t="str">
        <f aca="false">IF(B322="","",IFERROR(INDEX(Students!$H$4:$H$203,MATCH(B322,Students!$A$4:$A$203,0)),""))</f>
        <v/>
      </c>
      <c r="E322" s="18"/>
      <c r="F322" s="18"/>
      <c r="G322" s="18"/>
      <c r="H322" s="18"/>
      <c r="I322" s="18"/>
      <c r="J322" s="18"/>
      <c r="K322" s="18"/>
      <c r="L322" s="18"/>
    </row>
    <row r="323" customFormat="false" ht="15" hidden="false" customHeight="true" outlineLevel="0" collapsed="false">
      <c r="A323" s="19"/>
      <c r="B323" s="17"/>
      <c r="C323" s="11" t="str">
        <f aca="false">IF(B323="","",IFERROR(INDEX(Students!$B$4:$B$203,MATCH(B323,Students!$A$4:$A$203,0)),""))</f>
        <v/>
      </c>
      <c r="D323" s="11" t="str">
        <f aca="false">IF(B323="","",IFERROR(INDEX(Students!$H$4:$H$203,MATCH(B323,Students!$A$4:$A$203,0)),""))</f>
        <v/>
      </c>
      <c r="E323" s="18"/>
      <c r="F323" s="18"/>
      <c r="G323" s="18"/>
      <c r="H323" s="18"/>
      <c r="I323" s="18"/>
      <c r="J323" s="18"/>
      <c r="K323" s="18"/>
      <c r="L323" s="18"/>
    </row>
    <row r="324" customFormat="false" ht="15" hidden="false" customHeight="true" outlineLevel="0" collapsed="false">
      <c r="A324" s="19"/>
      <c r="B324" s="17"/>
      <c r="C324" s="11" t="str">
        <f aca="false">IF(B324="","",IFERROR(INDEX(Students!$B$4:$B$203,MATCH(B324,Students!$A$4:$A$203,0)),""))</f>
        <v/>
      </c>
      <c r="D324" s="11" t="str">
        <f aca="false">IF(B324="","",IFERROR(INDEX(Students!$H$4:$H$203,MATCH(B324,Students!$A$4:$A$203,0)),""))</f>
        <v/>
      </c>
      <c r="E324" s="18"/>
      <c r="F324" s="18"/>
      <c r="G324" s="18"/>
      <c r="H324" s="18"/>
      <c r="I324" s="18"/>
      <c r="J324" s="18"/>
      <c r="K324" s="18"/>
      <c r="L324" s="18"/>
    </row>
    <row r="325" customFormat="false" ht="15" hidden="false" customHeight="true" outlineLevel="0" collapsed="false">
      <c r="A325" s="19"/>
      <c r="B325" s="17"/>
      <c r="C325" s="11" t="str">
        <f aca="false">IF(B325="","",IFERROR(INDEX(Students!$B$4:$B$203,MATCH(B325,Students!$A$4:$A$203,0)),""))</f>
        <v/>
      </c>
      <c r="D325" s="11" t="str">
        <f aca="false">IF(B325="","",IFERROR(INDEX(Students!$H$4:$H$203,MATCH(B325,Students!$A$4:$A$203,0)),""))</f>
        <v/>
      </c>
      <c r="E325" s="18"/>
      <c r="F325" s="18"/>
      <c r="G325" s="18"/>
      <c r="H325" s="18"/>
      <c r="I325" s="18"/>
      <c r="J325" s="18"/>
      <c r="K325" s="18"/>
      <c r="L325" s="18"/>
    </row>
    <row r="326" customFormat="false" ht="15" hidden="false" customHeight="true" outlineLevel="0" collapsed="false">
      <c r="A326" s="19"/>
      <c r="B326" s="17"/>
      <c r="C326" s="11" t="str">
        <f aca="false">IF(B326="","",IFERROR(INDEX(Students!$B$4:$B$203,MATCH(B326,Students!$A$4:$A$203,0)),""))</f>
        <v/>
      </c>
      <c r="D326" s="11" t="str">
        <f aca="false">IF(B326="","",IFERROR(INDEX(Students!$H$4:$H$203,MATCH(B326,Students!$A$4:$A$203,0)),""))</f>
        <v/>
      </c>
      <c r="E326" s="18"/>
      <c r="F326" s="18"/>
      <c r="G326" s="18"/>
      <c r="H326" s="18"/>
      <c r="I326" s="18"/>
      <c r="J326" s="18"/>
      <c r="K326" s="18"/>
      <c r="L326" s="18"/>
    </row>
    <row r="327" customFormat="false" ht="15" hidden="false" customHeight="true" outlineLevel="0" collapsed="false">
      <c r="A327" s="19"/>
      <c r="B327" s="17"/>
      <c r="C327" s="11" t="str">
        <f aca="false">IF(B327="","",IFERROR(INDEX(Students!$B$4:$B$203,MATCH(B327,Students!$A$4:$A$203,0)),""))</f>
        <v/>
      </c>
      <c r="D327" s="11" t="str">
        <f aca="false">IF(B327="","",IFERROR(INDEX(Students!$H$4:$H$203,MATCH(B327,Students!$A$4:$A$203,0)),""))</f>
        <v/>
      </c>
      <c r="E327" s="18"/>
      <c r="F327" s="18"/>
      <c r="G327" s="18"/>
      <c r="H327" s="18"/>
      <c r="I327" s="18"/>
      <c r="J327" s="18"/>
      <c r="K327" s="18"/>
      <c r="L327" s="18"/>
    </row>
    <row r="328" customFormat="false" ht="15" hidden="false" customHeight="true" outlineLevel="0" collapsed="false">
      <c r="A328" s="19"/>
      <c r="B328" s="17"/>
      <c r="C328" s="11" t="str">
        <f aca="false">IF(B328="","",IFERROR(INDEX(Students!$B$4:$B$203,MATCH(B328,Students!$A$4:$A$203,0)),""))</f>
        <v/>
      </c>
      <c r="D328" s="11" t="str">
        <f aca="false">IF(B328="","",IFERROR(INDEX(Students!$H$4:$H$203,MATCH(B328,Students!$A$4:$A$203,0)),""))</f>
        <v/>
      </c>
      <c r="E328" s="18"/>
      <c r="F328" s="18"/>
      <c r="G328" s="18"/>
      <c r="H328" s="18"/>
      <c r="I328" s="18"/>
      <c r="J328" s="18"/>
      <c r="K328" s="18"/>
      <c r="L328" s="18"/>
    </row>
    <row r="329" customFormat="false" ht="15" hidden="false" customHeight="true" outlineLevel="0" collapsed="false">
      <c r="A329" s="19"/>
      <c r="B329" s="17"/>
      <c r="C329" s="11" t="str">
        <f aca="false">IF(B329="","",IFERROR(INDEX(Students!$B$4:$B$203,MATCH(B329,Students!$A$4:$A$203,0)),""))</f>
        <v/>
      </c>
      <c r="D329" s="11" t="str">
        <f aca="false">IF(B329="","",IFERROR(INDEX(Students!$H$4:$H$203,MATCH(B329,Students!$A$4:$A$203,0)),""))</f>
        <v/>
      </c>
      <c r="E329" s="18"/>
      <c r="F329" s="18"/>
      <c r="G329" s="18"/>
      <c r="H329" s="18"/>
      <c r="I329" s="18"/>
      <c r="J329" s="18"/>
      <c r="K329" s="18"/>
      <c r="L329" s="18"/>
    </row>
    <row r="330" customFormat="false" ht="15" hidden="false" customHeight="true" outlineLevel="0" collapsed="false">
      <c r="A330" s="19"/>
      <c r="B330" s="17"/>
      <c r="C330" s="11" t="str">
        <f aca="false">IF(B330="","",IFERROR(INDEX(Students!$B$4:$B$203,MATCH(B330,Students!$A$4:$A$203,0)),""))</f>
        <v/>
      </c>
      <c r="D330" s="11" t="str">
        <f aca="false">IF(B330="","",IFERROR(INDEX(Students!$H$4:$H$203,MATCH(B330,Students!$A$4:$A$203,0)),""))</f>
        <v/>
      </c>
      <c r="E330" s="18"/>
      <c r="F330" s="18"/>
      <c r="G330" s="18"/>
      <c r="H330" s="18"/>
      <c r="I330" s="18"/>
      <c r="J330" s="18"/>
      <c r="K330" s="18"/>
      <c r="L330" s="18"/>
    </row>
    <row r="331" customFormat="false" ht="15" hidden="false" customHeight="true" outlineLevel="0" collapsed="false">
      <c r="A331" s="19"/>
      <c r="B331" s="17"/>
      <c r="C331" s="11" t="str">
        <f aca="false">IF(B331="","",IFERROR(INDEX(Students!$B$4:$B$203,MATCH(B331,Students!$A$4:$A$203,0)),""))</f>
        <v/>
      </c>
      <c r="D331" s="11" t="str">
        <f aca="false">IF(B331="","",IFERROR(INDEX(Students!$H$4:$H$203,MATCH(B331,Students!$A$4:$A$203,0)),""))</f>
        <v/>
      </c>
      <c r="E331" s="18"/>
      <c r="F331" s="18"/>
      <c r="G331" s="18"/>
      <c r="H331" s="18"/>
      <c r="I331" s="18"/>
      <c r="J331" s="18"/>
      <c r="K331" s="18"/>
      <c r="L331" s="18"/>
    </row>
    <row r="332" customFormat="false" ht="15" hidden="false" customHeight="true" outlineLevel="0" collapsed="false">
      <c r="A332" s="19"/>
      <c r="B332" s="17"/>
      <c r="C332" s="11" t="str">
        <f aca="false">IF(B332="","",IFERROR(INDEX(Students!$B$4:$B$203,MATCH(B332,Students!$A$4:$A$203,0)),""))</f>
        <v/>
      </c>
      <c r="D332" s="11" t="str">
        <f aca="false">IF(B332="","",IFERROR(INDEX(Students!$H$4:$H$203,MATCH(B332,Students!$A$4:$A$203,0)),""))</f>
        <v/>
      </c>
      <c r="E332" s="18"/>
      <c r="F332" s="18"/>
      <c r="G332" s="18"/>
      <c r="H332" s="18"/>
      <c r="I332" s="18"/>
      <c r="J332" s="18"/>
      <c r="K332" s="18"/>
      <c r="L332" s="18"/>
    </row>
    <row r="333" customFormat="false" ht="15" hidden="false" customHeight="true" outlineLevel="0" collapsed="false">
      <c r="A333" s="19"/>
      <c r="B333" s="17"/>
      <c r="C333" s="11" t="str">
        <f aca="false">IF(B333="","",IFERROR(INDEX(Students!$B$4:$B$203,MATCH(B333,Students!$A$4:$A$203,0)),""))</f>
        <v/>
      </c>
      <c r="D333" s="11" t="str">
        <f aca="false">IF(B333="","",IFERROR(INDEX(Students!$H$4:$H$203,MATCH(B333,Students!$A$4:$A$203,0)),""))</f>
        <v/>
      </c>
      <c r="E333" s="18"/>
      <c r="F333" s="18"/>
      <c r="G333" s="18"/>
      <c r="H333" s="18"/>
      <c r="I333" s="18"/>
      <c r="J333" s="18"/>
      <c r="K333" s="18"/>
      <c r="L333" s="18"/>
    </row>
    <row r="334" customFormat="false" ht="15" hidden="false" customHeight="true" outlineLevel="0" collapsed="false">
      <c r="A334" s="19"/>
      <c r="B334" s="17"/>
      <c r="C334" s="11" t="str">
        <f aca="false">IF(B334="","",IFERROR(INDEX(Students!$B$4:$B$203,MATCH(B334,Students!$A$4:$A$203,0)),""))</f>
        <v/>
      </c>
      <c r="D334" s="11" t="str">
        <f aca="false">IF(B334="","",IFERROR(INDEX(Students!$H$4:$H$203,MATCH(B334,Students!$A$4:$A$203,0)),""))</f>
        <v/>
      </c>
      <c r="E334" s="18"/>
      <c r="F334" s="18"/>
      <c r="G334" s="18"/>
      <c r="H334" s="18"/>
      <c r="I334" s="18"/>
      <c r="J334" s="18"/>
      <c r="K334" s="18"/>
      <c r="L334" s="18"/>
    </row>
    <row r="335" customFormat="false" ht="15" hidden="false" customHeight="true" outlineLevel="0" collapsed="false">
      <c r="A335" s="19"/>
      <c r="B335" s="17"/>
      <c r="C335" s="11" t="str">
        <f aca="false">IF(B335="","",IFERROR(INDEX(Students!$B$4:$B$203,MATCH(B335,Students!$A$4:$A$203,0)),""))</f>
        <v/>
      </c>
      <c r="D335" s="11" t="str">
        <f aca="false">IF(B335="","",IFERROR(INDEX(Students!$H$4:$H$203,MATCH(B335,Students!$A$4:$A$203,0)),""))</f>
        <v/>
      </c>
      <c r="E335" s="18"/>
      <c r="F335" s="18"/>
      <c r="G335" s="18"/>
      <c r="H335" s="18"/>
      <c r="I335" s="18"/>
      <c r="J335" s="18"/>
      <c r="K335" s="18"/>
      <c r="L335" s="18"/>
    </row>
    <row r="336" customFormat="false" ht="15" hidden="false" customHeight="true" outlineLevel="0" collapsed="false">
      <c r="A336" s="19"/>
      <c r="B336" s="17"/>
      <c r="C336" s="11" t="str">
        <f aca="false">IF(B336="","",IFERROR(INDEX(Students!$B$4:$B$203,MATCH(B336,Students!$A$4:$A$203,0)),""))</f>
        <v/>
      </c>
      <c r="D336" s="11" t="str">
        <f aca="false">IF(B336="","",IFERROR(INDEX(Students!$H$4:$H$203,MATCH(B336,Students!$A$4:$A$203,0)),""))</f>
        <v/>
      </c>
      <c r="E336" s="18"/>
      <c r="F336" s="18"/>
      <c r="G336" s="18"/>
      <c r="H336" s="18"/>
      <c r="I336" s="18"/>
      <c r="J336" s="18"/>
      <c r="K336" s="18"/>
      <c r="L336" s="18"/>
    </row>
    <row r="337" customFormat="false" ht="15" hidden="false" customHeight="true" outlineLevel="0" collapsed="false">
      <c r="A337" s="19"/>
      <c r="B337" s="17"/>
      <c r="C337" s="11" t="str">
        <f aca="false">IF(B337="","",IFERROR(INDEX(Students!$B$4:$B$203,MATCH(B337,Students!$A$4:$A$203,0)),""))</f>
        <v/>
      </c>
      <c r="D337" s="11" t="str">
        <f aca="false">IF(B337="","",IFERROR(INDEX(Students!$H$4:$H$203,MATCH(B337,Students!$A$4:$A$203,0)),""))</f>
        <v/>
      </c>
      <c r="E337" s="18"/>
      <c r="F337" s="18"/>
      <c r="G337" s="18"/>
      <c r="H337" s="18"/>
      <c r="I337" s="18"/>
      <c r="J337" s="18"/>
      <c r="K337" s="18"/>
      <c r="L337" s="18"/>
    </row>
    <row r="338" customFormat="false" ht="15" hidden="false" customHeight="true" outlineLevel="0" collapsed="false">
      <c r="A338" s="19"/>
      <c r="B338" s="17"/>
      <c r="C338" s="11" t="str">
        <f aca="false">IF(B338="","",IFERROR(INDEX(Students!$B$4:$B$203,MATCH(B338,Students!$A$4:$A$203,0)),""))</f>
        <v/>
      </c>
      <c r="D338" s="11" t="str">
        <f aca="false">IF(B338="","",IFERROR(INDEX(Students!$H$4:$H$203,MATCH(B338,Students!$A$4:$A$203,0)),""))</f>
        <v/>
      </c>
      <c r="E338" s="18"/>
      <c r="F338" s="18"/>
      <c r="G338" s="18"/>
      <c r="H338" s="18"/>
      <c r="I338" s="18"/>
      <c r="J338" s="18"/>
      <c r="K338" s="18"/>
      <c r="L338" s="18"/>
    </row>
    <row r="339" customFormat="false" ht="15" hidden="false" customHeight="true" outlineLevel="0" collapsed="false">
      <c r="A339" s="19"/>
      <c r="B339" s="17"/>
      <c r="C339" s="11" t="str">
        <f aca="false">IF(B339="","",IFERROR(INDEX(Students!$B$4:$B$203,MATCH(B339,Students!$A$4:$A$203,0)),""))</f>
        <v/>
      </c>
      <c r="D339" s="11" t="str">
        <f aca="false">IF(B339="","",IFERROR(INDEX(Students!$H$4:$H$203,MATCH(B339,Students!$A$4:$A$203,0)),""))</f>
        <v/>
      </c>
      <c r="E339" s="18"/>
      <c r="F339" s="18"/>
      <c r="G339" s="18"/>
      <c r="H339" s="18"/>
      <c r="I339" s="18"/>
      <c r="J339" s="18"/>
      <c r="K339" s="18"/>
      <c r="L339" s="18"/>
    </row>
    <row r="340" customFormat="false" ht="15" hidden="false" customHeight="true" outlineLevel="0" collapsed="false">
      <c r="A340" s="19"/>
      <c r="B340" s="17"/>
      <c r="C340" s="11" t="str">
        <f aca="false">IF(B340="","",IFERROR(INDEX(Students!$B$4:$B$203,MATCH(B340,Students!$A$4:$A$203,0)),""))</f>
        <v/>
      </c>
      <c r="D340" s="11" t="str">
        <f aca="false">IF(B340="","",IFERROR(INDEX(Students!$H$4:$H$203,MATCH(B340,Students!$A$4:$A$203,0)),""))</f>
        <v/>
      </c>
      <c r="E340" s="18"/>
      <c r="F340" s="18"/>
      <c r="G340" s="18"/>
      <c r="H340" s="18"/>
      <c r="I340" s="18"/>
      <c r="J340" s="18"/>
      <c r="K340" s="18"/>
      <c r="L340" s="18"/>
    </row>
    <row r="341" customFormat="false" ht="15" hidden="false" customHeight="true" outlineLevel="0" collapsed="false">
      <c r="A341" s="19"/>
      <c r="B341" s="17"/>
      <c r="C341" s="11" t="str">
        <f aca="false">IF(B341="","",IFERROR(INDEX(Students!$B$4:$B$203,MATCH(B341,Students!$A$4:$A$203,0)),""))</f>
        <v/>
      </c>
      <c r="D341" s="11" t="str">
        <f aca="false">IF(B341="","",IFERROR(INDEX(Students!$H$4:$H$203,MATCH(B341,Students!$A$4:$A$203,0)),""))</f>
        <v/>
      </c>
      <c r="E341" s="18"/>
      <c r="F341" s="18"/>
      <c r="G341" s="18"/>
      <c r="H341" s="18"/>
      <c r="I341" s="18"/>
      <c r="J341" s="18"/>
      <c r="K341" s="18"/>
      <c r="L341" s="18"/>
    </row>
    <row r="342" customFormat="false" ht="15" hidden="false" customHeight="true" outlineLevel="0" collapsed="false">
      <c r="A342" s="19"/>
      <c r="B342" s="17"/>
      <c r="C342" s="11" t="str">
        <f aca="false">IF(B342="","",IFERROR(INDEX(Students!$B$4:$B$203,MATCH(B342,Students!$A$4:$A$203,0)),""))</f>
        <v/>
      </c>
      <c r="D342" s="11" t="str">
        <f aca="false">IF(B342="","",IFERROR(INDEX(Students!$H$4:$H$203,MATCH(B342,Students!$A$4:$A$203,0)),""))</f>
        <v/>
      </c>
      <c r="E342" s="18"/>
      <c r="F342" s="18"/>
      <c r="G342" s="18"/>
      <c r="H342" s="18"/>
      <c r="I342" s="18"/>
      <c r="J342" s="18"/>
      <c r="K342" s="18"/>
      <c r="L342" s="18"/>
    </row>
    <row r="343" customFormat="false" ht="15" hidden="false" customHeight="true" outlineLevel="0" collapsed="false">
      <c r="A343" s="19"/>
      <c r="B343" s="17"/>
      <c r="C343" s="11" t="str">
        <f aca="false">IF(B343="","",IFERROR(INDEX(Students!$B$4:$B$203,MATCH(B343,Students!$A$4:$A$203,0)),""))</f>
        <v/>
      </c>
      <c r="D343" s="11" t="str">
        <f aca="false">IF(B343="","",IFERROR(INDEX(Students!$H$4:$H$203,MATCH(B343,Students!$A$4:$A$203,0)),""))</f>
        <v/>
      </c>
      <c r="E343" s="18"/>
      <c r="F343" s="18"/>
      <c r="G343" s="18"/>
      <c r="H343" s="18"/>
      <c r="I343" s="18"/>
      <c r="J343" s="18"/>
      <c r="K343" s="18"/>
      <c r="L343" s="18"/>
    </row>
    <row r="344" customFormat="false" ht="15" hidden="false" customHeight="true" outlineLevel="0" collapsed="false">
      <c r="A344" s="19"/>
      <c r="B344" s="17"/>
      <c r="C344" s="11" t="str">
        <f aca="false">IF(B344="","",IFERROR(INDEX(Students!$B$4:$B$203,MATCH(B344,Students!$A$4:$A$203,0)),""))</f>
        <v/>
      </c>
      <c r="D344" s="11" t="str">
        <f aca="false">IF(B344="","",IFERROR(INDEX(Students!$H$4:$H$203,MATCH(B344,Students!$A$4:$A$203,0)),""))</f>
        <v/>
      </c>
      <c r="E344" s="18"/>
      <c r="F344" s="18"/>
      <c r="G344" s="18"/>
      <c r="H344" s="18"/>
      <c r="I344" s="18"/>
      <c r="J344" s="18"/>
      <c r="K344" s="18"/>
      <c r="L344" s="18"/>
    </row>
    <row r="345" customFormat="false" ht="15" hidden="false" customHeight="true" outlineLevel="0" collapsed="false">
      <c r="A345" s="19"/>
      <c r="B345" s="17"/>
      <c r="C345" s="11" t="str">
        <f aca="false">IF(B345="","",IFERROR(INDEX(Students!$B$4:$B$203,MATCH(B345,Students!$A$4:$A$203,0)),""))</f>
        <v/>
      </c>
      <c r="D345" s="11" t="str">
        <f aca="false">IF(B345="","",IFERROR(INDEX(Students!$H$4:$H$203,MATCH(B345,Students!$A$4:$A$203,0)),""))</f>
        <v/>
      </c>
      <c r="E345" s="18"/>
      <c r="F345" s="18"/>
      <c r="G345" s="18"/>
      <c r="H345" s="18"/>
      <c r="I345" s="18"/>
      <c r="J345" s="18"/>
      <c r="K345" s="18"/>
      <c r="L345" s="18"/>
    </row>
    <row r="346" customFormat="false" ht="15" hidden="false" customHeight="true" outlineLevel="0" collapsed="false">
      <c r="A346" s="19"/>
      <c r="B346" s="17"/>
      <c r="C346" s="11" t="str">
        <f aca="false">IF(B346="","",IFERROR(INDEX(Students!$B$4:$B$203,MATCH(B346,Students!$A$4:$A$203,0)),""))</f>
        <v/>
      </c>
      <c r="D346" s="11" t="str">
        <f aca="false">IF(B346="","",IFERROR(INDEX(Students!$H$4:$H$203,MATCH(B346,Students!$A$4:$A$203,0)),""))</f>
        <v/>
      </c>
      <c r="E346" s="18"/>
      <c r="F346" s="18"/>
      <c r="G346" s="18"/>
      <c r="H346" s="18"/>
      <c r="I346" s="18"/>
      <c r="J346" s="18"/>
      <c r="K346" s="18"/>
      <c r="L346" s="18"/>
    </row>
    <row r="347" customFormat="false" ht="15" hidden="false" customHeight="true" outlineLevel="0" collapsed="false">
      <c r="A347" s="19"/>
      <c r="B347" s="17"/>
      <c r="C347" s="11" t="str">
        <f aca="false">IF(B347="","",IFERROR(INDEX(Students!$B$4:$B$203,MATCH(B347,Students!$A$4:$A$203,0)),""))</f>
        <v/>
      </c>
      <c r="D347" s="11" t="str">
        <f aca="false">IF(B347="","",IFERROR(INDEX(Students!$H$4:$H$203,MATCH(B347,Students!$A$4:$A$203,0)),""))</f>
        <v/>
      </c>
      <c r="E347" s="18"/>
      <c r="F347" s="18"/>
      <c r="G347" s="18"/>
      <c r="H347" s="18"/>
      <c r="I347" s="18"/>
      <c r="J347" s="18"/>
      <c r="K347" s="18"/>
      <c r="L347" s="18"/>
    </row>
    <row r="348" customFormat="false" ht="15" hidden="false" customHeight="true" outlineLevel="0" collapsed="false">
      <c r="A348" s="19"/>
      <c r="B348" s="17"/>
      <c r="C348" s="11" t="str">
        <f aca="false">IF(B348="","",IFERROR(INDEX(Students!$B$4:$B$203,MATCH(B348,Students!$A$4:$A$203,0)),""))</f>
        <v/>
      </c>
      <c r="D348" s="11" t="str">
        <f aca="false">IF(B348="","",IFERROR(INDEX(Students!$H$4:$H$203,MATCH(B348,Students!$A$4:$A$203,0)),""))</f>
        <v/>
      </c>
      <c r="E348" s="18"/>
      <c r="F348" s="18"/>
      <c r="G348" s="18"/>
      <c r="H348" s="18"/>
      <c r="I348" s="18"/>
      <c r="J348" s="18"/>
      <c r="K348" s="18"/>
      <c r="L348" s="18"/>
    </row>
    <row r="349" customFormat="false" ht="15" hidden="false" customHeight="true" outlineLevel="0" collapsed="false">
      <c r="A349" s="19"/>
      <c r="B349" s="17"/>
      <c r="C349" s="11" t="str">
        <f aca="false">IF(B349="","",IFERROR(INDEX(Students!$B$4:$B$203,MATCH(B349,Students!$A$4:$A$203,0)),""))</f>
        <v/>
      </c>
      <c r="D349" s="11" t="str">
        <f aca="false">IF(B349="","",IFERROR(INDEX(Students!$H$4:$H$203,MATCH(B349,Students!$A$4:$A$203,0)),""))</f>
        <v/>
      </c>
      <c r="E349" s="18"/>
      <c r="F349" s="18"/>
      <c r="G349" s="18"/>
      <c r="H349" s="18"/>
      <c r="I349" s="18"/>
      <c r="J349" s="18"/>
      <c r="K349" s="18"/>
      <c r="L349" s="18"/>
    </row>
    <row r="350" customFormat="false" ht="15" hidden="false" customHeight="true" outlineLevel="0" collapsed="false">
      <c r="A350" s="19"/>
      <c r="B350" s="17"/>
      <c r="C350" s="11" t="str">
        <f aca="false">IF(B350="","",IFERROR(INDEX(Students!$B$4:$B$203,MATCH(B350,Students!$A$4:$A$203,0)),""))</f>
        <v/>
      </c>
      <c r="D350" s="11" t="str">
        <f aca="false">IF(B350="","",IFERROR(INDEX(Students!$H$4:$H$203,MATCH(B350,Students!$A$4:$A$203,0)),""))</f>
        <v/>
      </c>
      <c r="E350" s="18"/>
      <c r="F350" s="18"/>
      <c r="G350" s="18"/>
      <c r="H350" s="18"/>
      <c r="I350" s="18"/>
      <c r="J350" s="18"/>
      <c r="K350" s="18"/>
      <c r="L350" s="18"/>
    </row>
    <row r="351" customFormat="false" ht="15" hidden="false" customHeight="true" outlineLevel="0" collapsed="false">
      <c r="A351" s="19"/>
      <c r="B351" s="17"/>
      <c r="C351" s="11" t="str">
        <f aca="false">IF(B351="","",IFERROR(INDEX(Students!$B$4:$B$203,MATCH(B351,Students!$A$4:$A$203,0)),""))</f>
        <v/>
      </c>
      <c r="D351" s="11" t="str">
        <f aca="false">IF(B351="","",IFERROR(INDEX(Students!$H$4:$H$203,MATCH(B351,Students!$A$4:$A$203,0)),""))</f>
        <v/>
      </c>
      <c r="E351" s="18"/>
      <c r="F351" s="18"/>
      <c r="G351" s="18"/>
      <c r="H351" s="18"/>
      <c r="I351" s="18"/>
      <c r="J351" s="18"/>
      <c r="K351" s="18"/>
      <c r="L351" s="18"/>
    </row>
    <row r="352" customFormat="false" ht="15" hidden="false" customHeight="true" outlineLevel="0" collapsed="false">
      <c r="A352" s="19"/>
      <c r="B352" s="17"/>
      <c r="C352" s="11" t="str">
        <f aca="false">IF(B352="","",IFERROR(INDEX(Students!$B$4:$B$203,MATCH(B352,Students!$A$4:$A$203,0)),""))</f>
        <v/>
      </c>
      <c r="D352" s="11" t="str">
        <f aca="false">IF(B352="","",IFERROR(INDEX(Students!$H$4:$H$203,MATCH(B352,Students!$A$4:$A$203,0)),""))</f>
        <v/>
      </c>
      <c r="E352" s="18"/>
      <c r="F352" s="18"/>
      <c r="G352" s="18"/>
      <c r="H352" s="18"/>
      <c r="I352" s="18"/>
      <c r="J352" s="18"/>
      <c r="K352" s="18"/>
      <c r="L352" s="18"/>
    </row>
    <row r="353" customFormat="false" ht="15" hidden="false" customHeight="true" outlineLevel="0" collapsed="false">
      <c r="A353" s="19"/>
      <c r="B353" s="17"/>
      <c r="C353" s="11" t="str">
        <f aca="false">IF(B353="","",IFERROR(INDEX(Students!$B$4:$B$203,MATCH(B353,Students!$A$4:$A$203,0)),""))</f>
        <v/>
      </c>
      <c r="D353" s="11" t="str">
        <f aca="false">IF(B353="","",IFERROR(INDEX(Students!$H$4:$H$203,MATCH(B353,Students!$A$4:$A$203,0)),""))</f>
        <v/>
      </c>
      <c r="E353" s="18"/>
      <c r="F353" s="18"/>
      <c r="G353" s="18"/>
      <c r="H353" s="18"/>
      <c r="I353" s="18"/>
      <c r="J353" s="18"/>
      <c r="K353" s="18"/>
      <c r="L353" s="18"/>
    </row>
    <row r="354" customFormat="false" ht="15" hidden="false" customHeight="true" outlineLevel="0" collapsed="false">
      <c r="A354" s="19"/>
      <c r="B354" s="17"/>
      <c r="C354" s="11" t="str">
        <f aca="false">IF(B354="","",IFERROR(INDEX(Students!$B$4:$B$203,MATCH(B354,Students!$A$4:$A$203,0)),""))</f>
        <v/>
      </c>
      <c r="D354" s="11" t="str">
        <f aca="false">IF(B354="","",IFERROR(INDEX(Students!$H$4:$H$203,MATCH(B354,Students!$A$4:$A$203,0)),""))</f>
        <v/>
      </c>
      <c r="E354" s="18"/>
      <c r="F354" s="18"/>
      <c r="G354" s="18"/>
      <c r="H354" s="18"/>
      <c r="I354" s="18"/>
      <c r="J354" s="18"/>
      <c r="K354" s="18"/>
      <c r="L354" s="18"/>
    </row>
    <row r="355" customFormat="false" ht="15" hidden="false" customHeight="true" outlineLevel="0" collapsed="false">
      <c r="A355" s="19"/>
      <c r="B355" s="17"/>
      <c r="C355" s="11" t="str">
        <f aca="false">IF(B355="","",IFERROR(INDEX(Students!$B$4:$B$203,MATCH(B355,Students!$A$4:$A$203,0)),""))</f>
        <v/>
      </c>
      <c r="D355" s="11" t="str">
        <f aca="false">IF(B355="","",IFERROR(INDEX(Students!$H$4:$H$203,MATCH(B355,Students!$A$4:$A$203,0)),""))</f>
        <v/>
      </c>
      <c r="E355" s="18"/>
      <c r="F355" s="18"/>
      <c r="G355" s="18"/>
      <c r="H355" s="18"/>
      <c r="I355" s="18"/>
      <c r="J355" s="18"/>
      <c r="K355" s="18"/>
      <c r="L355" s="18"/>
    </row>
    <row r="356" customFormat="false" ht="15" hidden="false" customHeight="true" outlineLevel="0" collapsed="false">
      <c r="A356" s="19"/>
      <c r="B356" s="17"/>
      <c r="C356" s="11" t="str">
        <f aca="false">IF(B356="","",IFERROR(INDEX(Students!$B$4:$B$203,MATCH(B356,Students!$A$4:$A$203,0)),""))</f>
        <v/>
      </c>
      <c r="D356" s="11" t="str">
        <f aca="false">IF(B356="","",IFERROR(INDEX(Students!$H$4:$H$203,MATCH(B356,Students!$A$4:$A$203,0)),""))</f>
        <v/>
      </c>
      <c r="E356" s="18"/>
      <c r="F356" s="18"/>
      <c r="G356" s="18"/>
      <c r="H356" s="18"/>
      <c r="I356" s="18"/>
      <c r="J356" s="18"/>
      <c r="K356" s="18"/>
      <c r="L356" s="18"/>
    </row>
    <row r="357" customFormat="false" ht="15" hidden="false" customHeight="true" outlineLevel="0" collapsed="false">
      <c r="A357" s="19"/>
      <c r="B357" s="17"/>
      <c r="C357" s="11" t="str">
        <f aca="false">IF(B357="","",IFERROR(INDEX(Students!$B$4:$B$203,MATCH(B357,Students!$A$4:$A$203,0)),""))</f>
        <v/>
      </c>
      <c r="D357" s="11" t="str">
        <f aca="false">IF(B357="","",IFERROR(INDEX(Students!$H$4:$H$203,MATCH(B357,Students!$A$4:$A$203,0)),""))</f>
        <v/>
      </c>
      <c r="E357" s="18"/>
      <c r="F357" s="18"/>
      <c r="G357" s="18"/>
      <c r="H357" s="18"/>
      <c r="I357" s="18"/>
      <c r="J357" s="18"/>
      <c r="K357" s="18"/>
      <c r="L357" s="18"/>
    </row>
    <row r="358" customFormat="false" ht="15" hidden="false" customHeight="true" outlineLevel="0" collapsed="false">
      <c r="A358" s="19"/>
      <c r="B358" s="17"/>
      <c r="C358" s="11" t="str">
        <f aca="false">IF(B358="","",IFERROR(INDEX(Students!$B$4:$B$203,MATCH(B358,Students!$A$4:$A$203,0)),""))</f>
        <v/>
      </c>
      <c r="D358" s="11" t="str">
        <f aca="false">IF(B358="","",IFERROR(INDEX(Students!$H$4:$H$203,MATCH(B358,Students!$A$4:$A$203,0)),""))</f>
        <v/>
      </c>
      <c r="E358" s="18"/>
      <c r="F358" s="18"/>
      <c r="G358" s="18"/>
      <c r="H358" s="18"/>
      <c r="I358" s="18"/>
      <c r="J358" s="18"/>
      <c r="K358" s="18"/>
      <c r="L358" s="18"/>
    </row>
    <row r="359" customFormat="false" ht="15" hidden="false" customHeight="true" outlineLevel="0" collapsed="false">
      <c r="A359" s="19"/>
      <c r="B359" s="17"/>
      <c r="C359" s="11" t="str">
        <f aca="false">IF(B359="","",IFERROR(INDEX(Students!$B$4:$B$203,MATCH(B359,Students!$A$4:$A$203,0)),""))</f>
        <v/>
      </c>
      <c r="D359" s="11" t="str">
        <f aca="false">IF(B359="","",IFERROR(INDEX(Students!$H$4:$H$203,MATCH(B359,Students!$A$4:$A$203,0)),""))</f>
        <v/>
      </c>
      <c r="E359" s="18"/>
      <c r="F359" s="18"/>
      <c r="G359" s="18"/>
      <c r="H359" s="18"/>
      <c r="I359" s="18"/>
      <c r="J359" s="18"/>
      <c r="K359" s="18"/>
      <c r="L359" s="18"/>
    </row>
    <row r="360" customFormat="false" ht="15" hidden="false" customHeight="true" outlineLevel="0" collapsed="false">
      <c r="A360" s="19"/>
      <c r="B360" s="17"/>
      <c r="C360" s="11" t="str">
        <f aca="false">IF(B360="","",IFERROR(INDEX(Students!$B$4:$B$203,MATCH(B360,Students!$A$4:$A$203,0)),""))</f>
        <v/>
      </c>
      <c r="D360" s="11" t="str">
        <f aca="false">IF(B360="","",IFERROR(INDEX(Students!$H$4:$H$203,MATCH(B360,Students!$A$4:$A$203,0)),""))</f>
        <v/>
      </c>
      <c r="E360" s="18"/>
      <c r="F360" s="18"/>
      <c r="G360" s="18"/>
      <c r="H360" s="18"/>
      <c r="I360" s="18"/>
      <c r="J360" s="18"/>
      <c r="K360" s="18"/>
      <c r="L360" s="18"/>
    </row>
    <row r="361" customFormat="false" ht="15" hidden="false" customHeight="true" outlineLevel="0" collapsed="false">
      <c r="A361" s="19"/>
      <c r="B361" s="17"/>
      <c r="C361" s="11" t="str">
        <f aca="false">IF(B361="","",IFERROR(INDEX(Students!$B$4:$B$203,MATCH(B361,Students!$A$4:$A$203,0)),""))</f>
        <v/>
      </c>
      <c r="D361" s="11" t="str">
        <f aca="false">IF(B361="","",IFERROR(INDEX(Students!$H$4:$H$203,MATCH(B361,Students!$A$4:$A$203,0)),""))</f>
        <v/>
      </c>
      <c r="E361" s="18"/>
      <c r="F361" s="18"/>
      <c r="G361" s="18"/>
      <c r="H361" s="18"/>
      <c r="I361" s="18"/>
      <c r="J361" s="18"/>
      <c r="K361" s="18"/>
      <c r="L361" s="18"/>
    </row>
    <row r="362" customFormat="false" ht="15" hidden="false" customHeight="true" outlineLevel="0" collapsed="false">
      <c r="A362" s="19"/>
      <c r="B362" s="17"/>
      <c r="C362" s="11" t="str">
        <f aca="false">IF(B362="","",IFERROR(INDEX(Students!$B$4:$B$203,MATCH(B362,Students!$A$4:$A$203,0)),""))</f>
        <v/>
      </c>
      <c r="D362" s="11" t="str">
        <f aca="false">IF(B362="","",IFERROR(INDEX(Students!$H$4:$H$203,MATCH(B362,Students!$A$4:$A$203,0)),""))</f>
        <v/>
      </c>
      <c r="E362" s="18"/>
      <c r="F362" s="18"/>
      <c r="G362" s="18"/>
      <c r="H362" s="18"/>
      <c r="I362" s="18"/>
      <c r="J362" s="18"/>
      <c r="K362" s="18"/>
      <c r="L362" s="18"/>
    </row>
    <row r="363" customFormat="false" ht="15" hidden="false" customHeight="true" outlineLevel="0" collapsed="false">
      <c r="A363" s="19"/>
      <c r="B363" s="17"/>
      <c r="C363" s="11" t="str">
        <f aca="false">IF(B363="","",IFERROR(INDEX(Students!$B$4:$B$203,MATCH(B363,Students!$A$4:$A$203,0)),""))</f>
        <v/>
      </c>
      <c r="D363" s="11" t="str">
        <f aca="false">IF(B363="","",IFERROR(INDEX(Students!$H$4:$H$203,MATCH(B363,Students!$A$4:$A$203,0)),""))</f>
        <v/>
      </c>
      <c r="E363" s="18"/>
      <c r="F363" s="18"/>
      <c r="G363" s="18"/>
      <c r="H363" s="18"/>
      <c r="I363" s="18"/>
      <c r="J363" s="18"/>
      <c r="K363" s="18"/>
      <c r="L363" s="18"/>
    </row>
    <row r="364" customFormat="false" ht="15" hidden="false" customHeight="true" outlineLevel="0" collapsed="false">
      <c r="A364" s="19"/>
      <c r="B364" s="17"/>
      <c r="C364" s="11" t="str">
        <f aca="false">IF(B364="","",IFERROR(INDEX(Students!$B$4:$B$203,MATCH(B364,Students!$A$4:$A$203,0)),""))</f>
        <v/>
      </c>
      <c r="D364" s="11" t="str">
        <f aca="false">IF(B364="","",IFERROR(INDEX(Students!$H$4:$H$203,MATCH(B364,Students!$A$4:$A$203,0)),""))</f>
        <v/>
      </c>
      <c r="E364" s="18"/>
      <c r="F364" s="18"/>
      <c r="G364" s="18"/>
      <c r="H364" s="18"/>
      <c r="I364" s="18"/>
      <c r="J364" s="18"/>
      <c r="K364" s="18"/>
      <c r="L364" s="18"/>
    </row>
    <row r="365" customFormat="false" ht="15" hidden="false" customHeight="true" outlineLevel="0" collapsed="false">
      <c r="A365" s="19"/>
      <c r="B365" s="17"/>
      <c r="C365" s="11" t="str">
        <f aca="false">IF(B365="","",IFERROR(INDEX(Students!$B$4:$B$203,MATCH(B365,Students!$A$4:$A$203,0)),""))</f>
        <v/>
      </c>
      <c r="D365" s="11" t="str">
        <f aca="false">IF(B365="","",IFERROR(INDEX(Students!$H$4:$H$203,MATCH(B365,Students!$A$4:$A$203,0)),""))</f>
        <v/>
      </c>
      <c r="E365" s="18"/>
      <c r="F365" s="18"/>
      <c r="G365" s="18"/>
      <c r="H365" s="18"/>
      <c r="I365" s="18"/>
      <c r="J365" s="18"/>
      <c r="K365" s="18"/>
      <c r="L365" s="18"/>
    </row>
    <row r="366" customFormat="false" ht="15" hidden="false" customHeight="true" outlineLevel="0" collapsed="false">
      <c r="A366" s="19"/>
      <c r="B366" s="17"/>
      <c r="C366" s="11" t="str">
        <f aca="false">IF(B366="","",IFERROR(INDEX(Students!$B$4:$B$203,MATCH(B366,Students!$A$4:$A$203,0)),""))</f>
        <v/>
      </c>
      <c r="D366" s="11" t="str">
        <f aca="false">IF(B366="","",IFERROR(INDEX(Students!$H$4:$H$203,MATCH(B366,Students!$A$4:$A$203,0)),""))</f>
        <v/>
      </c>
      <c r="E366" s="18"/>
      <c r="F366" s="18"/>
      <c r="G366" s="18"/>
      <c r="H366" s="18"/>
      <c r="I366" s="18"/>
      <c r="J366" s="18"/>
      <c r="K366" s="18"/>
      <c r="L366" s="18"/>
    </row>
    <row r="367" customFormat="false" ht="15" hidden="false" customHeight="true" outlineLevel="0" collapsed="false">
      <c r="A367" s="19"/>
      <c r="B367" s="17"/>
      <c r="C367" s="11" t="str">
        <f aca="false">IF(B367="","",IFERROR(INDEX(Students!$B$4:$B$203,MATCH(B367,Students!$A$4:$A$203,0)),""))</f>
        <v/>
      </c>
      <c r="D367" s="11" t="str">
        <f aca="false">IF(B367="","",IFERROR(INDEX(Students!$H$4:$H$203,MATCH(B367,Students!$A$4:$A$203,0)),""))</f>
        <v/>
      </c>
      <c r="E367" s="18"/>
      <c r="F367" s="18"/>
      <c r="G367" s="18"/>
      <c r="H367" s="18"/>
      <c r="I367" s="18"/>
      <c r="J367" s="18"/>
      <c r="K367" s="18"/>
      <c r="L367" s="18"/>
    </row>
    <row r="368" customFormat="false" ht="15" hidden="false" customHeight="true" outlineLevel="0" collapsed="false">
      <c r="A368" s="19"/>
      <c r="B368" s="17"/>
      <c r="C368" s="11" t="str">
        <f aca="false">IF(B368="","",IFERROR(INDEX(Students!$B$4:$B$203,MATCH(B368,Students!$A$4:$A$203,0)),""))</f>
        <v/>
      </c>
      <c r="D368" s="11" t="str">
        <f aca="false">IF(B368="","",IFERROR(INDEX(Students!$H$4:$H$203,MATCH(B368,Students!$A$4:$A$203,0)),""))</f>
        <v/>
      </c>
      <c r="E368" s="18"/>
      <c r="F368" s="18"/>
      <c r="G368" s="18"/>
      <c r="H368" s="18"/>
      <c r="I368" s="18"/>
      <c r="J368" s="18"/>
      <c r="K368" s="18"/>
      <c r="L368" s="18"/>
    </row>
    <row r="369" customFormat="false" ht="15" hidden="false" customHeight="true" outlineLevel="0" collapsed="false">
      <c r="A369" s="19"/>
      <c r="B369" s="17"/>
      <c r="C369" s="11" t="str">
        <f aca="false">IF(B369="","",IFERROR(INDEX(Students!$B$4:$B$203,MATCH(B369,Students!$A$4:$A$203,0)),""))</f>
        <v/>
      </c>
      <c r="D369" s="11" t="str">
        <f aca="false">IF(B369="","",IFERROR(INDEX(Students!$H$4:$H$203,MATCH(B369,Students!$A$4:$A$203,0)),""))</f>
        <v/>
      </c>
      <c r="E369" s="18"/>
      <c r="F369" s="18"/>
      <c r="G369" s="18"/>
      <c r="H369" s="18"/>
      <c r="I369" s="18"/>
      <c r="J369" s="18"/>
      <c r="K369" s="18"/>
      <c r="L369" s="18"/>
    </row>
    <row r="370" customFormat="false" ht="15" hidden="false" customHeight="true" outlineLevel="0" collapsed="false">
      <c r="A370" s="19"/>
      <c r="B370" s="17"/>
      <c r="C370" s="11" t="str">
        <f aca="false">IF(B370="","",IFERROR(INDEX(Students!$B$4:$B$203,MATCH(B370,Students!$A$4:$A$203,0)),""))</f>
        <v/>
      </c>
      <c r="D370" s="11" t="str">
        <f aca="false">IF(B370="","",IFERROR(INDEX(Students!$H$4:$H$203,MATCH(B370,Students!$A$4:$A$203,0)),""))</f>
        <v/>
      </c>
      <c r="E370" s="18"/>
      <c r="F370" s="18"/>
      <c r="G370" s="18"/>
      <c r="H370" s="18"/>
      <c r="I370" s="18"/>
      <c r="J370" s="18"/>
      <c r="K370" s="18"/>
      <c r="L370" s="18"/>
    </row>
    <row r="371" customFormat="false" ht="15" hidden="false" customHeight="true" outlineLevel="0" collapsed="false">
      <c r="A371" s="19"/>
      <c r="B371" s="17"/>
      <c r="C371" s="11" t="str">
        <f aca="false">IF(B371="","",IFERROR(INDEX(Students!$B$4:$B$203,MATCH(B371,Students!$A$4:$A$203,0)),""))</f>
        <v/>
      </c>
      <c r="D371" s="11" t="str">
        <f aca="false">IF(B371="","",IFERROR(INDEX(Students!$H$4:$H$203,MATCH(B371,Students!$A$4:$A$203,0)),""))</f>
        <v/>
      </c>
      <c r="E371" s="18"/>
      <c r="F371" s="18"/>
      <c r="G371" s="18"/>
      <c r="H371" s="18"/>
      <c r="I371" s="18"/>
      <c r="J371" s="18"/>
      <c r="K371" s="18"/>
      <c r="L371" s="18"/>
    </row>
    <row r="372" customFormat="false" ht="15" hidden="false" customHeight="true" outlineLevel="0" collapsed="false">
      <c r="A372" s="19"/>
      <c r="B372" s="17"/>
      <c r="C372" s="11" t="str">
        <f aca="false">IF(B372="","",IFERROR(INDEX(Students!$B$4:$B$203,MATCH(B372,Students!$A$4:$A$203,0)),""))</f>
        <v/>
      </c>
      <c r="D372" s="11" t="str">
        <f aca="false">IF(B372="","",IFERROR(INDEX(Students!$H$4:$H$203,MATCH(B372,Students!$A$4:$A$203,0)),""))</f>
        <v/>
      </c>
      <c r="E372" s="18"/>
      <c r="F372" s="18"/>
      <c r="G372" s="18"/>
      <c r="H372" s="18"/>
      <c r="I372" s="18"/>
      <c r="J372" s="18"/>
      <c r="K372" s="18"/>
      <c r="L372" s="18"/>
    </row>
    <row r="373" customFormat="false" ht="15" hidden="false" customHeight="true" outlineLevel="0" collapsed="false">
      <c r="A373" s="19"/>
      <c r="B373" s="17"/>
      <c r="C373" s="11" t="str">
        <f aca="false">IF(B373="","",IFERROR(INDEX(Students!$B$4:$B$203,MATCH(B373,Students!$A$4:$A$203,0)),""))</f>
        <v/>
      </c>
      <c r="D373" s="11" t="str">
        <f aca="false">IF(B373="","",IFERROR(INDEX(Students!$H$4:$H$203,MATCH(B373,Students!$A$4:$A$203,0)),""))</f>
        <v/>
      </c>
      <c r="E373" s="18"/>
      <c r="F373" s="18"/>
      <c r="G373" s="18"/>
      <c r="H373" s="18"/>
      <c r="I373" s="18"/>
      <c r="J373" s="18"/>
      <c r="K373" s="18"/>
      <c r="L373" s="18"/>
    </row>
    <row r="374" customFormat="false" ht="15" hidden="false" customHeight="true" outlineLevel="0" collapsed="false">
      <c r="A374" s="19"/>
      <c r="B374" s="17"/>
      <c r="C374" s="11" t="str">
        <f aca="false">IF(B374="","",IFERROR(INDEX(Students!$B$4:$B$203,MATCH(B374,Students!$A$4:$A$203,0)),""))</f>
        <v/>
      </c>
      <c r="D374" s="11" t="str">
        <f aca="false">IF(B374="","",IFERROR(INDEX(Students!$H$4:$H$203,MATCH(B374,Students!$A$4:$A$203,0)),""))</f>
        <v/>
      </c>
      <c r="E374" s="18"/>
      <c r="F374" s="18"/>
      <c r="G374" s="18"/>
      <c r="H374" s="18"/>
      <c r="I374" s="18"/>
      <c r="J374" s="18"/>
      <c r="K374" s="18"/>
      <c r="L374" s="18"/>
    </row>
    <row r="375" customFormat="false" ht="15" hidden="false" customHeight="true" outlineLevel="0" collapsed="false">
      <c r="A375" s="19"/>
      <c r="B375" s="17"/>
      <c r="C375" s="11" t="str">
        <f aca="false">IF(B375="","",IFERROR(INDEX(Students!$B$4:$B$203,MATCH(B375,Students!$A$4:$A$203,0)),""))</f>
        <v/>
      </c>
      <c r="D375" s="11" t="str">
        <f aca="false">IF(B375="","",IFERROR(INDEX(Students!$H$4:$H$203,MATCH(B375,Students!$A$4:$A$203,0)),""))</f>
        <v/>
      </c>
      <c r="E375" s="18"/>
      <c r="F375" s="18"/>
      <c r="G375" s="18"/>
      <c r="H375" s="18"/>
      <c r="I375" s="18"/>
      <c r="J375" s="18"/>
      <c r="K375" s="18"/>
      <c r="L375" s="18"/>
    </row>
    <row r="376" customFormat="false" ht="15" hidden="false" customHeight="true" outlineLevel="0" collapsed="false">
      <c r="A376" s="19"/>
      <c r="B376" s="17"/>
      <c r="C376" s="11" t="str">
        <f aca="false">IF(B376="","",IFERROR(INDEX(Students!$B$4:$B$203,MATCH(B376,Students!$A$4:$A$203,0)),""))</f>
        <v/>
      </c>
      <c r="D376" s="11" t="str">
        <f aca="false">IF(B376="","",IFERROR(INDEX(Students!$H$4:$H$203,MATCH(B376,Students!$A$4:$A$203,0)),""))</f>
        <v/>
      </c>
      <c r="E376" s="18"/>
      <c r="F376" s="18"/>
      <c r="G376" s="18"/>
      <c r="H376" s="18"/>
      <c r="I376" s="18"/>
      <c r="J376" s="18"/>
      <c r="K376" s="18"/>
      <c r="L376" s="18"/>
    </row>
    <row r="377" customFormat="false" ht="15" hidden="false" customHeight="true" outlineLevel="0" collapsed="false">
      <c r="A377" s="19"/>
      <c r="B377" s="17"/>
      <c r="C377" s="11" t="str">
        <f aca="false">IF(B377="","",IFERROR(INDEX(Students!$B$4:$B$203,MATCH(B377,Students!$A$4:$A$203,0)),""))</f>
        <v/>
      </c>
      <c r="D377" s="11" t="str">
        <f aca="false">IF(B377="","",IFERROR(INDEX(Students!$H$4:$H$203,MATCH(B377,Students!$A$4:$A$203,0)),""))</f>
        <v/>
      </c>
      <c r="E377" s="18"/>
      <c r="F377" s="18"/>
      <c r="G377" s="18"/>
      <c r="H377" s="18"/>
      <c r="I377" s="18"/>
      <c r="J377" s="18"/>
      <c r="K377" s="18"/>
      <c r="L377" s="18"/>
    </row>
    <row r="378" customFormat="false" ht="15" hidden="false" customHeight="true" outlineLevel="0" collapsed="false">
      <c r="A378" s="19"/>
      <c r="B378" s="17"/>
      <c r="C378" s="11" t="str">
        <f aca="false">IF(B378="","",IFERROR(INDEX(Students!$B$4:$B$203,MATCH(B378,Students!$A$4:$A$203,0)),""))</f>
        <v/>
      </c>
      <c r="D378" s="11" t="str">
        <f aca="false">IF(B378="","",IFERROR(INDEX(Students!$H$4:$H$203,MATCH(B378,Students!$A$4:$A$203,0)),""))</f>
        <v/>
      </c>
      <c r="E378" s="18"/>
      <c r="F378" s="18"/>
      <c r="G378" s="18"/>
      <c r="H378" s="18"/>
      <c r="I378" s="18"/>
      <c r="J378" s="18"/>
      <c r="K378" s="18"/>
      <c r="L378" s="18"/>
    </row>
    <row r="379" customFormat="false" ht="15" hidden="false" customHeight="true" outlineLevel="0" collapsed="false">
      <c r="A379" s="19"/>
      <c r="B379" s="17"/>
      <c r="C379" s="11" t="str">
        <f aca="false">IF(B379="","",IFERROR(INDEX(Students!$B$4:$B$203,MATCH(B379,Students!$A$4:$A$203,0)),""))</f>
        <v/>
      </c>
      <c r="D379" s="11" t="str">
        <f aca="false">IF(B379="","",IFERROR(INDEX(Students!$H$4:$H$203,MATCH(B379,Students!$A$4:$A$203,0)),""))</f>
        <v/>
      </c>
      <c r="E379" s="18"/>
      <c r="F379" s="18"/>
      <c r="G379" s="18"/>
      <c r="H379" s="18"/>
      <c r="I379" s="18"/>
      <c r="J379" s="18"/>
      <c r="K379" s="18"/>
      <c r="L379" s="18"/>
    </row>
    <row r="380" customFormat="false" ht="15" hidden="false" customHeight="true" outlineLevel="0" collapsed="false">
      <c r="A380" s="19"/>
      <c r="B380" s="17"/>
      <c r="C380" s="11" t="str">
        <f aca="false">IF(B380="","",IFERROR(INDEX(Students!$B$4:$B$203,MATCH(B380,Students!$A$4:$A$203,0)),""))</f>
        <v/>
      </c>
      <c r="D380" s="11" t="str">
        <f aca="false">IF(B380="","",IFERROR(INDEX(Students!$H$4:$H$203,MATCH(B380,Students!$A$4:$A$203,0)),""))</f>
        <v/>
      </c>
      <c r="E380" s="18"/>
      <c r="F380" s="18"/>
      <c r="G380" s="18"/>
      <c r="H380" s="18"/>
      <c r="I380" s="18"/>
      <c r="J380" s="18"/>
      <c r="K380" s="18"/>
      <c r="L380" s="18"/>
    </row>
    <row r="381" customFormat="false" ht="15" hidden="false" customHeight="true" outlineLevel="0" collapsed="false">
      <c r="A381" s="19"/>
      <c r="B381" s="17"/>
      <c r="C381" s="11" t="str">
        <f aca="false">IF(B381="","",IFERROR(INDEX(Students!$B$4:$B$203,MATCH(B381,Students!$A$4:$A$203,0)),""))</f>
        <v/>
      </c>
      <c r="D381" s="11" t="str">
        <f aca="false">IF(B381="","",IFERROR(INDEX(Students!$H$4:$H$203,MATCH(B381,Students!$A$4:$A$203,0)),""))</f>
        <v/>
      </c>
      <c r="E381" s="18"/>
      <c r="F381" s="18"/>
      <c r="G381" s="18"/>
      <c r="H381" s="18"/>
      <c r="I381" s="18"/>
      <c r="J381" s="18"/>
      <c r="K381" s="18"/>
      <c r="L381" s="18"/>
    </row>
    <row r="382" customFormat="false" ht="15" hidden="false" customHeight="true" outlineLevel="0" collapsed="false">
      <c r="A382" s="19"/>
      <c r="B382" s="17"/>
      <c r="C382" s="11" t="str">
        <f aca="false">IF(B382="","",IFERROR(INDEX(Students!$B$4:$B$203,MATCH(B382,Students!$A$4:$A$203,0)),""))</f>
        <v/>
      </c>
      <c r="D382" s="11" t="str">
        <f aca="false">IF(B382="","",IFERROR(INDEX(Students!$H$4:$H$203,MATCH(B382,Students!$A$4:$A$203,0)),""))</f>
        <v/>
      </c>
      <c r="E382" s="18"/>
      <c r="F382" s="18"/>
      <c r="G382" s="18"/>
      <c r="H382" s="18"/>
      <c r="I382" s="18"/>
      <c r="J382" s="18"/>
      <c r="K382" s="18"/>
      <c r="L382" s="18"/>
    </row>
    <row r="383" customFormat="false" ht="15" hidden="false" customHeight="true" outlineLevel="0" collapsed="false">
      <c r="A383" s="19"/>
      <c r="B383" s="17"/>
      <c r="C383" s="11" t="str">
        <f aca="false">IF(B383="","",IFERROR(INDEX(Students!$B$4:$B$203,MATCH(B383,Students!$A$4:$A$203,0)),""))</f>
        <v/>
      </c>
      <c r="D383" s="11" t="str">
        <f aca="false">IF(B383="","",IFERROR(INDEX(Students!$H$4:$H$203,MATCH(B383,Students!$A$4:$A$203,0)),""))</f>
        <v/>
      </c>
      <c r="E383" s="18"/>
      <c r="F383" s="18"/>
      <c r="G383" s="18"/>
      <c r="H383" s="18"/>
      <c r="I383" s="18"/>
      <c r="J383" s="18"/>
      <c r="K383" s="18"/>
      <c r="L383" s="18"/>
    </row>
    <row r="384" customFormat="false" ht="15" hidden="false" customHeight="true" outlineLevel="0" collapsed="false">
      <c r="A384" s="19"/>
      <c r="B384" s="17"/>
      <c r="C384" s="11" t="str">
        <f aca="false">IF(B384="","",IFERROR(INDEX(Students!$B$4:$B$203,MATCH(B384,Students!$A$4:$A$203,0)),""))</f>
        <v/>
      </c>
      <c r="D384" s="11" t="str">
        <f aca="false">IF(B384="","",IFERROR(INDEX(Students!$H$4:$H$203,MATCH(B384,Students!$A$4:$A$203,0)),""))</f>
        <v/>
      </c>
      <c r="E384" s="18"/>
      <c r="F384" s="18"/>
      <c r="G384" s="18"/>
      <c r="H384" s="18"/>
      <c r="I384" s="18"/>
      <c r="J384" s="18"/>
      <c r="K384" s="18"/>
      <c r="L384" s="18"/>
    </row>
    <row r="385" customFormat="false" ht="15" hidden="false" customHeight="true" outlineLevel="0" collapsed="false">
      <c r="A385" s="19"/>
      <c r="B385" s="17"/>
      <c r="C385" s="11" t="str">
        <f aca="false">IF(B385="","",IFERROR(INDEX(Students!$B$4:$B$203,MATCH(B385,Students!$A$4:$A$203,0)),""))</f>
        <v/>
      </c>
      <c r="D385" s="11" t="str">
        <f aca="false">IF(B385="","",IFERROR(INDEX(Students!$H$4:$H$203,MATCH(B385,Students!$A$4:$A$203,0)),""))</f>
        <v/>
      </c>
      <c r="E385" s="18"/>
      <c r="F385" s="18"/>
      <c r="G385" s="18"/>
      <c r="H385" s="18"/>
      <c r="I385" s="18"/>
      <c r="J385" s="18"/>
      <c r="K385" s="18"/>
      <c r="L385" s="18"/>
    </row>
    <row r="386" customFormat="false" ht="15" hidden="false" customHeight="true" outlineLevel="0" collapsed="false">
      <c r="A386" s="19"/>
      <c r="B386" s="17"/>
      <c r="C386" s="11" t="str">
        <f aca="false">IF(B386="","",IFERROR(INDEX(Students!$B$4:$B$203,MATCH(B386,Students!$A$4:$A$203,0)),""))</f>
        <v/>
      </c>
      <c r="D386" s="11" t="str">
        <f aca="false">IF(B386="","",IFERROR(INDEX(Students!$H$4:$H$203,MATCH(B386,Students!$A$4:$A$203,0)),""))</f>
        <v/>
      </c>
      <c r="E386" s="18"/>
      <c r="F386" s="18"/>
      <c r="G386" s="18"/>
      <c r="H386" s="18"/>
      <c r="I386" s="18"/>
      <c r="J386" s="18"/>
      <c r="K386" s="18"/>
      <c r="L386" s="18"/>
    </row>
    <row r="387" customFormat="false" ht="15" hidden="false" customHeight="true" outlineLevel="0" collapsed="false">
      <c r="A387" s="19"/>
      <c r="B387" s="17"/>
      <c r="C387" s="11" t="str">
        <f aca="false">IF(B387="","",IFERROR(INDEX(Students!$B$4:$B$203,MATCH(B387,Students!$A$4:$A$203,0)),""))</f>
        <v/>
      </c>
      <c r="D387" s="11" t="str">
        <f aca="false">IF(B387="","",IFERROR(INDEX(Students!$H$4:$H$203,MATCH(B387,Students!$A$4:$A$203,0)),""))</f>
        <v/>
      </c>
      <c r="E387" s="18"/>
      <c r="F387" s="18"/>
      <c r="G387" s="18"/>
      <c r="H387" s="18"/>
      <c r="I387" s="18"/>
      <c r="J387" s="18"/>
      <c r="K387" s="18"/>
      <c r="L387" s="18"/>
    </row>
    <row r="388" customFormat="false" ht="15" hidden="false" customHeight="true" outlineLevel="0" collapsed="false">
      <c r="A388" s="19"/>
      <c r="B388" s="17"/>
      <c r="C388" s="11" t="str">
        <f aca="false">IF(B388="","",IFERROR(INDEX(Students!$B$4:$B$203,MATCH(B388,Students!$A$4:$A$203,0)),""))</f>
        <v/>
      </c>
      <c r="D388" s="11" t="str">
        <f aca="false">IF(B388="","",IFERROR(INDEX(Students!$H$4:$H$203,MATCH(B388,Students!$A$4:$A$203,0)),""))</f>
        <v/>
      </c>
      <c r="E388" s="18"/>
      <c r="F388" s="18"/>
      <c r="G388" s="18"/>
      <c r="H388" s="18"/>
      <c r="I388" s="18"/>
      <c r="J388" s="18"/>
      <c r="K388" s="18"/>
      <c r="L388" s="18"/>
    </row>
    <row r="389" customFormat="false" ht="15" hidden="false" customHeight="true" outlineLevel="0" collapsed="false">
      <c r="A389" s="19"/>
      <c r="B389" s="17"/>
      <c r="C389" s="11" t="str">
        <f aca="false">IF(B389="","",IFERROR(INDEX(Students!$B$4:$B$203,MATCH(B389,Students!$A$4:$A$203,0)),""))</f>
        <v/>
      </c>
      <c r="D389" s="11" t="str">
        <f aca="false">IF(B389="","",IFERROR(INDEX(Students!$H$4:$H$203,MATCH(B389,Students!$A$4:$A$203,0)),""))</f>
        <v/>
      </c>
      <c r="E389" s="18"/>
      <c r="F389" s="18"/>
      <c r="G389" s="18"/>
      <c r="H389" s="18"/>
      <c r="I389" s="18"/>
      <c r="J389" s="18"/>
      <c r="K389" s="18"/>
      <c r="L389" s="18"/>
    </row>
    <row r="390" customFormat="false" ht="15" hidden="false" customHeight="true" outlineLevel="0" collapsed="false">
      <c r="A390" s="19"/>
      <c r="B390" s="17"/>
      <c r="C390" s="11" t="str">
        <f aca="false">IF(B390="","",IFERROR(INDEX(Students!$B$4:$B$203,MATCH(B390,Students!$A$4:$A$203,0)),""))</f>
        <v/>
      </c>
      <c r="D390" s="11" t="str">
        <f aca="false">IF(B390="","",IFERROR(INDEX(Students!$H$4:$H$203,MATCH(B390,Students!$A$4:$A$203,0)),""))</f>
        <v/>
      </c>
      <c r="E390" s="18"/>
      <c r="F390" s="18"/>
      <c r="G390" s="18"/>
      <c r="H390" s="18"/>
      <c r="I390" s="18"/>
      <c r="J390" s="18"/>
      <c r="K390" s="18"/>
      <c r="L390" s="18"/>
    </row>
    <row r="391" customFormat="false" ht="15" hidden="false" customHeight="true" outlineLevel="0" collapsed="false">
      <c r="A391" s="19"/>
      <c r="B391" s="17"/>
      <c r="C391" s="11" t="str">
        <f aca="false">IF(B391="","",IFERROR(INDEX(Students!$B$4:$B$203,MATCH(B391,Students!$A$4:$A$203,0)),""))</f>
        <v/>
      </c>
      <c r="D391" s="11" t="str">
        <f aca="false">IF(B391="","",IFERROR(INDEX(Students!$H$4:$H$203,MATCH(B391,Students!$A$4:$A$203,0)),""))</f>
        <v/>
      </c>
      <c r="E391" s="18"/>
      <c r="F391" s="18"/>
      <c r="G391" s="18"/>
      <c r="H391" s="18"/>
      <c r="I391" s="18"/>
      <c r="J391" s="18"/>
      <c r="K391" s="18"/>
      <c r="L391" s="18"/>
    </row>
    <row r="392" customFormat="false" ht="15" hidden="false" customHeight="true" outlineLevel="0" collapsed="false">
      <c r="A392" s="19"/>
      <c r="B392" s="17"/>
      <c r="C392" s="11" t="str">
        <f aca="false">IF(B392="","",IFERROR(INDEX(Students!$B$4:$B$203,MATCH(B392,Students!$A$4:$A$203,0)),""))</f>
        <v/>
      </c>
      <c r="D392" s="11" t="str">
        <f aca="false">IF(B392="","",IFERROR(INDEX(Students!$H$4:$H$203,MATCH(B392,Students!$A$4:$A$203,0)),""))</f>
        <v/>
      </c>
      <c r="E392" s="18"/>
      <c r="F392" s="18"/>
      <c r="G392" s="18"/>
      <c r="H392" s="18"/>
      <c r="I392" s="18"/>
      <c r="J392" s="18"/>
      <c r="K392" s="18"/>
      <c r="L392" s="18"/>
    </row>
    <row r="393" customFormat="false" ht="15" hidden="false" customHeight="true" outlineLevel="0" collapsed="false">
      <c r="A393" s="19"/>
      <c r="B393" s="17"/>
      <c r="C393" s="11" t="str">
        <f aca="false">IF(B393="","",IFERROR(INDEX(Students!$B$4:$B$203,MATCH(B393,Students!$A$4:$A$203,0)),""))</f>
        <v/>
      </c>
      <c r="D393" s="11" t="str">
        <f aca="false">IF(B393="","",IFERROR(INDEX(Students!$H$4:$H$203,MATCH(B393,Students!$A$4:$A$203,0)),""))</f>
        <v/>
      </c>
      <c r="E393" s="18"/>
      <c r="F393" s="18"/>
      <c r="G393" s="18"/>
      <c r="H393" s="18"/>
      <c r="I393" s="18"/>
      <c r="J393" s="18"/>
      <c r="K393" s="18"/>
      <c r="L393" s="18"/>
    </row>
    <row r="394" customFormat="false" ht="15" hidden="false" customHeight="true" outlineLevel="0" collapsed="false">
      <c r="A394" s="19"/>
      <c r="B394" s="17"/>
      <c r="C394" s="11" t="str">
        <f aca="false">IF(B394="","",IFERROR(INDEX(Students!$B$4:$B$203,MATCH(B394,Students!$A$4:$A$203,0)),""))</f>
        <v/>
      </c>
      <c r="D394" s="11" t="str">
        <f aca="false">IF(B394="","",IFERROR(INDEX(Students!$H$4:$H$203,MATCH(B394,Students!$A$4:$A$203,0)),""))</f>
        <v/>
      </c>
      <c r="E394" s="18"/>
      <c r="F394" s="18"/>
      <c r="G394" s="18"/>
      <c r="H394" s="18"/>
      <c r="I394" s="18"/>
      <c r="J394" s="18"/>
      <c r="K394" s="18"/>
      <c r="L394" s="18"/>
    </row>
    <row r="395" customFormat="false" ht="15" hidden="false" customHeight="true" outlineLevel="0" collapsed="false">
      <c r="A395" s="19"/>
      <c r="B395" s="17"/>
      <c r="C395" s="11" t="str">
        <f aca="false">IF(B395="","",IFERROR(INDEX(Students!$B$4:$B$203,MATCH(B395,Students!$A$4:$A$203,0)),""))</f>
        <v/>
      </c>
      <c r="D395" s="11" t="str">
        <f aca="false">IF(B395="","",IFERROR(INDEX(Students!$H$4:$H$203,MATCH(B395,Students!$A$4:$A$203,0)),""))</f>
        <v/>
      </c>
      <c r="E395" s="18"/>
      <c r="F395" s="18"/>
      <c r="G395" s="18"/>
      <c r="H395" s="18"/>
      <c r="I395" s="18"/>
      <c r="J395" s="18"/>
      <c r="K395" s="18"/>
      <c r="L395" s="18"/>
    </row>
    <row r="396" customFormat="false" ht="15" hidden="false" customHeight="true" outlineLevel="0" collapsed="false">
      <c r="A396" s="19"/>
      <c r="B396" s="17"/>
      <c r="C396" s="11" t="str">
        <f aca="false">IF(B396="","",IFERROR(INDEX(Students!$B$4:$B$203,MATCH(B396,Students!$A$4:$A$203,0)),""))</f>
        <v/>
      </c>
      <c r="D396" s="11" t="str">
        <f aca="false">IF(B396="","",IFERROR(INDEX(Students!$H$4:$H$203,MATCH(B396,Students!$A$4:$A$203,0)),""))</f>
        <v/>
      </c>
      <c r="E396" s="18"/>
      <c r="F396" s="18"/>
      <c r="G396" s="18"/>
      <c r="H396" s="18"/>
      <c r="I396" s="18"/>
      <c r="J396" s="18"/>
      <c r="K396" s="18"/>
      <c r="L396" s="18"/>
    </row>
    <row r="397" customFormat="false" ht="15" hidden="false" customHeight="true" outlineLevel="0" collapsed="false">
      <c r="A397" s="19"/>
      <c r="B397" s="17"/>
      <c r="C397" s="11" t="str">
        <f aca="false">IF(B397="","",IFERROR(INDEX(Students!$B$4:$B$203,MATCH(B397,Students!$A$4:$A$203,0)),""))</f>
        <v/>
      </c>
      <c r="D397" s="11" t="str">
        <f aca="false">IF(B397="","",IFERROR(INDEX(Students!$H$4:$H$203,MATCH(B397,Students!$A$4:$A$203,0)),""))</f>
        <v/>
      </c>
      <c r="E397" s="18"/>
      <c r="F397" s="18"/>
      <c r="G397" s="18"/>
      <c r="H397" s="18"/>
      <c r="I397" s="18"/>
      <c r="J397" s="18"/>
      <c r="K397" s="18"/>
      <c r="L397" s="18"/>
    </row>
    <row r="398" customFormat="false" ht="15" hidden="false" customHeight="true" outlineLevel="0" collapsed="false">
      <c r="A398" s="19"/>
      <c r="B398" s="17"/>
      <c r="C398" s="11" t="str">
        <f aca="false">IF(B398="","",IFERROR(INDEX(Students!$B$4:$B$203,MATCH(B398,Students!$A$4:$A$203,0)),""))</f>
        <v/>
      </c>
      <c r="D398" s="11" t="str">
        <f aca="false">IF(B398="","",IFERROR(INDEX(Students!$H$4:$H$203,MATCH(B398,Students!$A$4:$A$203,0)),""))</f>
        <v/>
      </c>
      <c r="E398" s="18"/>
      <c r="F398" s="18"/>
      <c r="G398" s="18"/>
      <c r="H398" s="18"/>
      <c r="I398" s="18"/>
      <c r="J398" s="18"/>
      <c r="K398" s="18"/>
      <c r="L398" s="18"/>
    </row>
    <row r="399" customFormat="false" ht="15" hidden="false" customHeight="true" outlineLevel="0" collapsed="false">
      <c r="A399" s="19"/>
      <c r="B399" s="17"/>
      <c r="C399" s="11" t="str">
        <f aca="false">IF(B399="","",IFERROR(INDEX(Students!$B$4:$B$203,MATCH(B399,Students!$A$4:$A$203,0)),""))</f>
        <v/>
      </c>
      <c r="D399" s="11" t="str">
        <f aca="false">IF(B399="","",IFERROR(INDEX(Students!$H$4:$H$203,MATCH(B399,Students!$A$4:$A$203,0)),""))</f>
        <v/>
      </c>
      <c r="E399" s="18"/>
      <c r="F399" s="18"/>
      <c r="G399" s="18"/>
      <c r="H399" s="18"/>
      <c r="I399" s="18"/>
      <c r="J399" s="18"/>
      <c r="K399" s="18"/>
      <c r="L399" s="18"/>
    </row>
    <row r="400" customFormat="false" ht="15" hidden="false" customHeight="true" outlineLevel="0" collapsed="false">
      <c r="A400" s="19"/>
      <c r="B400" s="17"/>
      <c r="C400" s="11" t="str">
        <f aca="false">IF(B400="","",IFERROR(INDEX(Students!$B$4:$B$203,MATCH(B400,Students!$A$4:$A$203,0)),""))</f>
        <v/>
      </c>
      <c r="D400" s="11" t="str">
        <f aca="false">IF(B400="","",IFERROR(INDEX(Students!$H$4:$H$203,MATCH(B400,Students!$A$4:$A$203,0)),""))</f>
        <v/>
      </c>
      <c r="E400" s="18"/>
      <c r="F400" s="18"/>
      <c r="G400" s="18"/>
      <c r="H400" s="18"/>
      <c r="I400" s="18"/>
      <c r="J400" s="18"/>
      <c r="K400" s="18"/>
      <c r="L400" s="18"/>
    </row>
    <row r="401" customFormat="false" ht="15" hidden="false" customHeight="true" outlineLevel="0" collapsed="false">
      <c r="A401" s="19"/>
      <c r="B401" s="17"/>
      <c r="C401" s="11" t="str">
        <f aca="false">IF(B401="","",IFERROR(INDEX(Students!$B$4:$B$203,MATCH(B401,Students!$A$4:$A$203,0)),""))</f>
        <v/>
      </c>
      <c r="D401" s="11" t="str">
        <f aca="false">IF(B401="","",IFERROR(INDEX(Students!$H$4:$H$203,MATCH(B401,Students!$A$4:$A$203,0)),""))</f>
        <v/>
      </c>
      <c r="E401" s="18"/>
      <c r="F401" s="18"/>
      <c r="G401" s="18"/>
      <c r="H401" s="18"/>
      <c r="I401" s="18"/>
      <c r="J401" s="18"/>
      <c r="K401" s="18"/>
      <c r="L401" s="18"/>
    </row>
    <row r="402" customFormat="false" ht="15" hidden="false" customHeight="true" outlineLevel="0" collapsed="false">
      <c r="A402" s="19"/>
      <c r="B402" s="17"/>
      <c r="C402" s="11" t="str">
        <f aca="false">IF(B402="","",IFERROR(INDEX(Students!$B$4:$B$203,MATCH(B402,Students!$A$4:$A$203,0)),""))</f>
        <v/>
      </c>
      <c r="D402" s="11" t="str">
        <f aca="false">IF(B402="","",IFERROR(INDEX(Students!$H$4:$H$203,MATCH(B402,Students!$A$4:$A$203,0)),""))</f>
        <v/>
      </c>
      <c r="E402" s="18"/>
      <c r="F402" s="18"/>
      <c r="G402" s="18"/>
      <c r="H402" s="18"/>
      <c r="I402" s="18"/>
      <c r="J402" s="18"/>
      <c r="K402" s="18"/>
      <c r="L402" s="18"/>
    </row>
    <row r="403" customFormat="false" ht="15" hidden="false" customHeight="true" outlineLevel="0" collapsed="false">
      <c r="A403" s="19"/>
      <c r="B403" s="17"/>
      <c r="C403" s="11" t="str">
        <f aca="false">IF(B403="","",IFERROR(INDEX(Students!$B$4:$B$203,MATCH(B403,Students!$A$4:$A$203,0)),""))</f>
        <v/>
      </c>
      <c r="D403" s="11" t="str">
        <f aca="false">IF(B403="","",IFERROR(INDEX(Students!$H$4:$H$203,MATCH(B403,Students!$A$4:$A$203,0)),""))</f>
        <v/>
      </c>
      <c r="E403" s="18"/>
      <c r="F403" s="18"/>
      <c r="G403" s="18"/>
      <c r="H403" s="18"/>
      <c r="I403" s="18"/>
      <c r="J403" s="18"/>
      <c r="K403" s="18"/>
      <c r="L403" s="18"/>
    </row>
    <row r="404" customFormat="false" ht="15" hidden="false" customHeight="true" outlineLevel="0" collapsed="false">
      <c r="A404" s="19"/>
      <c r="B404" s="17"/>
      <c r="C404" s="11" t="str">
        <f aca="false">IF(B404="","",IFERROR(INDEX(Students!$B$4:$B$203,MATCH(B404,Students!$A$4:$A$203,0)),""))</f>
        <v/>
      </c>
      <c r="D404" s="11" t="str">
        <f aca="false">IF(B404="","",IFERROR(INDEX(Students!$H$4:$H$203,MATCH(B404,Students!$A$4:$A$203,0)),""))</f>
        <v/>
      </c>
      <c r="E404" s="18"/>
      <c r="F404" s="18"/>
      <c r="G404" s="18"/>
      <c r="H404" s="18"/>
      <c r="I404" s="18"/>
      <c r="J404" s="18"/>
      <c r="K404" s="18"/>
      <c r="L404" s="18"/>
    </row>
    <row r="405" customFormat="false" ht="15" hidden="false" customHeight="true" outlineLevel="0" collapsed="false">
      <c r="A405" s="19"/>
      <c r="B405" s="17"/>
      <c r="C405" s="11" t="str">
        <f aca="false">IF(B405="","",IFERROR(INDEX(Students!$B$4:$B$203,MATCH(B405,Students!$A$4:$A$203,0)),""))</f>
        <v/>
      </c>
      <c r="D405" s="11" t="str">
        <f aca="false">IF(B405="","",IFERROR(INDEX(Students!$H$4:$H$203,MATCH(B405,Students!$A$4:$A$203,0)),""))</f>
        <v/>
      </c>
      <c r="E405" s="18"/>
      <c r="F405" s="18"/>
      <c r="G405" s="18"/>
      <c r="H405" s="18"/>
      <c r="I405" s="18"/>
      <c r="J405" s="18"/>
      <c r="K405" s="18"/>
      <c r="L405" s="18"/>
    </row>
    <row r="406" customFormat="false" ht="15" hidden="false" customHeight="true" outlineLevel="0" collapsed="false">
      <c r="A406" s="19"/>
      <c r="B406" s="17"/>
      <c r="C406" s="11" t="str">
        <f aca="false">IF(B406="","",IFERROR(INDEX(Students!$B$4:$B$203,MATCH(B406,Students!$A$4:$A$203,0)),""))</f>
        <v/>
      </c>
      <c r="D406" s="11" t="str">
        <f aca="false">IF(B406="","",IFERROR(INDEX(Students!$H$4:$H$203,MATCH(B406,Students!$A$4:$A$203,0)),""))</f>
        <v/>
      </c>
      <c r="E406" s="18"/>
      <c r="F406" s="18"/>
      <c r="G406" s="18"/>
      <c r="H406" s="18"/>
      <c r="I406" s="18"/>
      <c r="J406" s="18"/>
      <c r="K406" s="18"/>
      <c r="L406" s="18"/>
    </row>
    <row r="407" customFormat="false" ht="15" hidden="false" customHeight="true" outlineLevel="0" collapsed="false">
      <c r="A407" s="19"/>
      <c r="B407" s="17"/>
      <c r="C407" s="11" t="str">
        <f aca="false">IF(B407="","",IFERROR(INDEX(Students!$B$4:$B$203,MATCH(B407,Students!$A$4:$A$203,0)),""))</f>
        <v/>
      </c>
      <c r="D407" s="11" t="str">
        <f aca="false">IF(B407="","",IFERROR(INDEX(Students!$H$4:$H$203,MATCH(B407,Students!$A$4:$A$203,0)),""))</f>
        <v/>
      </c>
      <c r="E407" s="18"/>
      <c r="F407" s="18"/>
      <c r="G407" s="18"/>
      <c r="H407" s="18"/>
      <c r="I407" s="18"/>
      <c r="J407" s="18"/>
      <c r="K407" s="18"/>
      <c r="L407" s="18"/>
    </row>
    <row r="408" customFormat="false" ht="15" hidden="false" customHeight="true" outlineLevel="0" collapsed="false">
      <c r="A408" s="19"/>
      <c r="B408" s="17"/>
      <c r="C408" s="11" t="str">
        <f aca="false">IF(B408="","",IFERROR(INDEX(Students!$B$4:$B$203,MATCH(B408,Students!$A$4:$A$203,0)),""))</f>
        <v/>
      </c>
      <c r="D408" s="11" t="str">
        <f aca="false">IF(B408="","",IFERROR(INDEX(Students!$H$4:$H$203,MATCH(B408,Students!$A$4:$A$203,0)),""))</f>
        <v/>
      </c>
      <c r="E408" s="18"/>
      <c r="F408" s="18"/>
      <c r="G408" s="18"/>
      <c r="H408" s="18"/>
      <c r="I408" s="18"/>
      <c r="J408" s="18"/>
      <c r="K408" s="18"/>
      <c r="L408" s="18"/>
    </row>
    <row r="409" customFormat="false" ht="15" hidden="false" customHeight="true" outlineLevel="0" collapsed="false">
      <c r="A409" s="19"/>
      <c r="B409" s="17"/>
      <c r="C409" s="11" t="str">
        <f aca="false">IF(B409="","",IFERROR(INDEX(Students!$B$4:$B$203,MATCH(B409,Students!$A$4:$A$203,0)),""))</f>
        <v/>
      </c>
      <c r="D409" s="11" t="str">
        <f aca="false">IF(B409="","",IFERROR(INDEX(Students!$H$4:$H$203,MATCH(B409,Students!$A$4:$A$203,0)),""))</f>
        <v/>
      </c>
      <c r="E409" s="18"/>
      <c r="F409" s="18"/>
      <c r="G409" s="18"/>
      <c r="H409" s="18"/>
      <c r="I409" s="18"/>
      <c r="J409" s="18"/>
      <c r="K409" s="18"/>
      <c r="L409" s="18"/>
    </row>
    <row r="410" customFormat="false" ht="15" hidden="false" customHeight="true" outlineLevel="0" collapsed="false">
      <c r="A410" s="19"/>
      <c r="B410" s="17"/>
      <c r="C410" s="11" t="str">
        <f aca="false">IF(B410="","",IFERROR(INDEX(Students!$B$4:$B$203,MATCH(B410,Students!$A$4:$A$203,0)),""))</f>
        <v/>
      </c>
      <c r="D410" s="11" t="str">
        <f aca="false">IF(B410="","",IFERROR(INDEX(Students!$H$4:$H$203,MATCH(B410,Students!$A$4:$A$203,0)),""))</f>
        <v/>
      </c>
      <c r="E410" s="18"/>
      <c r="F410" s="18"/>
      <c r="G410" s="18"/>
      <c r="H410" s="18"/>
      <c r="I410" s="18"/>
      <c r="J410" s="18"/>
      <c r="K410" s="18"/>
      <c r="L410" s="18"/>
    </row>
    <row r="411" customFormat="false" ht="15" hidden="false" customHeight="true" outlineLevel="0" collapsed="false">
      <c r="A411" s="19"/>
      <c r="B411" s="17"/>
      <c r="C411" s="11" t="str">
        <f aca="false">IF(B411="","",IFERROR(INDEX(Students!$B$4:$B$203,MATCH(B411,Students!$A$4:$A$203,0)),""))</f>
        <v/>
      </c>
      <c r="D411" s="11" t="str">
        <f aca="false">IF(B411="","",IFERROR(INDEX(Students!$H$4:$H$203,MATCH(B411,Students!$A$4:$A$203,0)),""))</f>
        <v/>
      </c>
      <c r="E411" s="18"/>
      <c r="F411" s="18"/>
      <c r="G411" s="18"/>
      <c r="H411" s="18"/>
      <c r="I411" s="18"/>
      <c r="J411" s="18"/>
      <c r="K411" s="18"/>
      <c r="L411" s="18"/>
    </row>
    <row r="412" customFormat="false" ht="15" hidden="false" customHeight="true" outlineLevel="0" collapsed="false">
      <c r="A412" s="19"/>
      <c r="B412" s="17"/>
      <c r="C412" s="11" t="str">
        <f aca="false">IF(B412="","",IFERROR(INDEX(Students!$B$4:$B$203,MATCH(B412,Students!$A$4:$A$203,0)),""))</f>
        <v/>
      </c>
      <c r="D412" s="11" t="str">
        <f aca="false">IF(B412="","",IFERROR(INDEX(Students!$H$4:$H$203,MATCH(B412,Students!$A$4:$A$203,0)),""))</f>
        <v/>
      </c>
      <c r="E412" s="18"/>
      <c r="F412" s="18"/>
      <c r="G412" s="18"/>
      <c r="H412" s="18"/>
      <c r="I412" s="18"/>
      <c r="J412" s="18"/>
      <c r="K412" s="18"/>
      <c r="L412" s="18"/>
    </row>
    <row r="413" customFormat="false" ht="15" hidden="false" customHeight="true" outlineLevel="0" collapsed="false">
      <c r="A413" s="19"/>
      <c r="B413" s="17"/>
      <c r="C413" s="11" t="str">
        <f aca="false">IF(B413="","",IFERROR(INDEX(Students!$B$4:$B$203,MATCH(B413,Students!$A$4:$A$203,0)),""))</f>
        <v/>
      </c>
      <c r="D413" s="11" t="str">
        <f aca="false">IF(B413="","",IFERROR(INDEX(Students!$H$4:$H$203,MATCH(B413,Students!$A$4:$A$203,0)),""))</f>
        <v/>
      </c>
      <c r="E413" s="18"/>
      <c r="F413" s="18"/>
      <c r="G413" s="18"/>
      <c r="H413" s="18"/>
      <c r="I413" s="18"/>
      <c r="J413" s="18"/>
      <c r="K413" s="18"/>
      <c r="L413" s="18"/>
    </row>
    <row r="414" customFormat="false" ht="15" hidden="false" customHeight="true" outlineLevel="0" collapsed="false">
      <c r="A414" s="19"/>
      <c r="B414" s="17"/>
      <c r="C414" s="11" t="str">
        <f aca="false">IF(B414="","",IFERROR(INDEX(Students!$B$4:$B$203,MATCH(B414,Students!$A$4:$A$203,0)),""))</f>
        <v/>
      </c>
      <c r="D414" s="11" t="str">
        <f aca="false">IF(B414="","",IFERROR(INDEX(Students!$H$4:$H$203,MATCH(B414,Students!$A$4:$A$203,0)),""))</f>
        <v/>
      </c>
      <c r="E414" s="18"/>
      <c r="F414" s="18"/>
      <c r="G414" s="18"/>
      <c r="H414" s="18"/>
      <c r="I414" s="18"/>
      <c r="J414" s="18"/>
      <c r="K414" s="18"/>
      <c r="L414" s="18"/>
    </row>
    <row r="415" customFormat="false" ht="15" hidden="false" customHeight="true" outlineLevel="0" collapsed="false">
      <c r="A415" s="19"/>
      <c r="B415" s="17"/>
      <c r="C415" s="11" t="str">
        <f aca="false">IF(B415="","",IFERROR(INDEX(Students!$B$4:$B$203,MATCH(B415,Students!$A$4:$A$203,0)),""))</f>
        <v/>
      </c>
      <c r="D415" s="11" t="str">
        <f aca="false">IF(B415="","",IFERROR(INDEX(Students!$H$4:$H$203,MATCH(B415,Students!$A$4:$A$203,0)),""))</f>
        <v/>
      </c>
      <c r="E415" s="18"/>
      <c r="F415" s="18"/>
      <c r="G415" s="18"/>
      <c r="H415" s="18"/>
      <c r="I415" s="18"/>
      <c r="J415" s="18"/>
      <c r="K415" s="18"/>
      <c r="L415" s="18"/>
    </row>
    <row r="416" customFormat="false" ht="15" hidden="false" customHeight="true" outlineLevel="0" collapsed="false">
      <c r="A416" s="19"/>
      <c r="B416" s="17"/>
      <c r="C416" s="11" t="str">
        <f aca="false">IF(B416="","",IFERROR(INDEX(Students!$B$4:$B$203,MATCH(B416,Students!$A$4:$A$203,0)),""))</f>
        <v/>
      </c>
      <c r="D416" s="11" t="str">
        <f aca="false">IF(B416="","",IFERROR(INDEX(Students!$H$4:$H$203,MATCH(B416,Students!$A$4:$A$203,0)),""))</f>
        <v/>
      </c>
      <c r="E416" s="18"/>
      <c r="F416" s="18"/>
      <c r="G416" s="18"/>
      <c r="H416" s="18"/>
      <c r="I416" s="18"/>
      <c r="J416" s="18"/>
      <c r="K416" s="18"/>
      <c r="L416" s="18"/>
    </row>
    <row r="417" customFormat="false" ht="15" hidden="false" customHeight="true" outlineLevel="0" collapsed="false">
      <c r="A417" s="19"/>
      <c r="B417" s="17"/>
      <c r="C417" s="11" t="str">
        <f aca="false">IF(B417="","",IFERROR(INDEX(Students!$B$4:$B$203,MATCH(B417,Students!$A$4:$A$203,0)),""))</f>
        <v/>
      </c>
      <c r="D417" s="11" t="str">
        <f aca="false">IF(B417="","",IFERROR(INDEX(Students!$H$4:$H$203,MATCH(B417,Students!$A$4:$A$203,0)),""))</f>
        <v/>
      </c>
      <c r="E417" s="18"/>
      <c r="F417" s="18"/>
      <c r="G417" s="18"/>
      <c r="H417" s="18"/>
      <c r="I417" s="18"/>
      <c r="J417" s="18"/>
      <c r="K417" s="18"/>
      <c r="L417" s="18"/>
    </row>
    <row r="418" customFormat="false" ht="15" hidden="false" customHeight="true" outlineLevel="0" collapsed="false">
      <c r="A418" s="19"/>
      <c r="B418" s="17"/>
      <c r="C418" s="11" t="str">
        <f aca="false">IF(B418="","",IFERROR(INDEX(Students!$B$4:$B$203,MATCH(B418,Students!$A$4:$A$203,0)),""))</f>
        <v/>
      </c>
      <c r="D418" s="11" t="str">
        <f aca="false">IF(B418="","",IFERROR(INDEX(Students!$H$4:$H$203,MATCH(B418,Students!$A$4:$A$203,0)),""))</f>
        <v/>
      </c>
      <c r="E418" s="18"/>
      <c r="F418" s="18"/>
      <c r="G418" s="18"/>
      <c r="H418" s="18"/>
      <c r="I418" s="18"/>
      <c r="J418" s="18"/>
      <c r="K418" s="18"/>
      <c r="L418" s="18"/>
    </row>
    <row r="419" customFormat="false" ht="15" hidden="false" customHeight="true" outlineLevel="0" collapsed="false">
      <c r="A419" s="19"/>
      <c r="B419" s="17"/>
      <c r="C419" s="11" t="str">
        <f aca="false">IF(B419="","",IFERROR(INDEX(Students!$B$4:$B$203,MATCH(B419,Students!$A$4:$A$203,0)),""))</f>
        <v/>
      </c>
      <c r="D419" s="11" t="str">
        <f aca="false">IF(B419="","",IFERROR(INDEX(Students!$H$4:$H$203,MATCH(B419,Students!$A$4:$A$203,0)),""))</f>
        <v/>
      </c>
      <c r="E419" s="18"/>
      <c r="F419" s="18"/>
      <c r="G419" s="18"/>
      <c r="H419" s="18"/>
      <c r="I419" s="18"/>
      <c r="J419" s="18"/>
      <c r="K419" s="18"/>
      <c r="L419" s="18"/>
    </row>
    <row r="420" customFormat="false" ht="15" hidden="false" customHeight="true" outlineLevel="0" collapsed="false">
      <c r="A420" s="19"/>
      <c r="B420" s="17"/>
      <c r="C420" s="11" t="str">
        <f aca="false">IF(B420="","",IFERROR(INDEX(Students!$B$4:$B$203,MATCH(B420,Students!$A$4:$A$203,0)),""))</f>
        <v/>
      </c>
      <c r="D420" s="11" t="str">
        <f aca="false">IF(B420="","",IFERROR(INDEX(Students!$H$4:$H$203,MATCH(B420,Students!$A$4:$A$203,0)),""))</f>
        <v/>
      </c>
      <c r="E420" s="18"/>
      <c r="F420" s="18"/>
      <c r="G420" s="18"/>
      <c r="H420" s="18"/>
      <c r="I420" s="18"/>
      <c r="J420" s="18"/>
      <c r="K420" s="18"/>
      <c r="L420" s="18"/>
    </row>
    <row r="421" customFormat="false" ht="15" hidden="false" customHeight="true" outlineLevel="0" collapsed="false">
      <c r="A421" s="19"/>
      <c r="B421" s="17"/>
      <c r="C421" s="11" t="str">
        <f aca="false">IF(B421="","",IFERROR(INDEX(Students!$B$4:$B$203,MATCH(B421,Students!$A$4:$A$203,0)),""))</f>
        <v/>
      </c>
      <c r="D421" s="11" t="str">
        <f aca="false">IF(B421="","",IFERROR(INDEX(Students!$H$4:$H$203,MATCH(B421,Students!$A$4:$A$203,0)),""))</f>
        <v/>
      </c>
      <c r="E421" s="18"/>
      <c r="F421" s="18"/>
      <c r="G421" s="18"/>
      <c r="H421" s="18"/>
      <c r="I421" s="18"/>
      <c r="J421" s="18"/>
      <c r="K421" s="18"/>
      <c r="L421" s="18"/>
    </row>
    <row r="422" customFormat="false" ht="15" hidden="false" customHeight="true" outlineLevel="0" collapsed="false">
      <c r="A422" s="19"/>
      <c r="B422" s="17"/>
      <c r="C422" s="11" t="str">
        <f aca="false">IF(B422="","",IFERROR(INDEX(Students!$B$4:$B$203,MATCH(B422,Students!$A$4:$A$203,0)),""))</f>
        <v/>
      </c>
      <c r="D422" s="11" t="str">
        <f aca="false">IF(B422="","",IFERROR(INDEX(Students!$H$4:$H$203,MATCH(B422,Students!$A$4:$A$203,0)),""))</f>
        <v/>
      </c>
      <c r="E422" s="18"/>
      <c r="F422" s="18"/>
      <c r="G422" s="18"/>
      <c r="H422" s="18"/>
      <c r="I422" s="18"/>
      <c r="J422" s="18"/>
      <c r="K422" s="18"/>
      <c r="L422" s="18"/>
    </row>
    <row r="423" customFormat="false" ht="15" hidden="false" customHeight="true" outlineLevel="0" collapsed="false">
      <c r="A423" s="19"/>
      <c r="B423" s="17"/>
      <c r="C423" s="11" t="str">
        <f aca="false">IF(B423="","",IFERROR(INDEX(Students!$B$4:$B$203,MATCH(B423,Students!$A$4:$A$203,0)),""))</f>
        <v/>
      </c>
      <c r="D423" s="11" t="str">
        <f aca="false">IF(B423="","",IFERROR(INDEX(Students!$H$4:$H$203,MATCH(B423,Students!$A$4:$A$203,0)),""))</f>
        <v/>
      </c>
      <c r="E423" s="18"/>
      <c r="F423" s="18"/>
      <c r="G423" s="18"/>
      <c r="H423" s="18"/>
      <c r="I423" s="18"/>
      <c r="J423" s="18"/>
      <c r="K423" s="18"/>
      <c r="L423" s="18"/>
    </row>
    <row r="424" customFormat="false" ht="15" hidden="false" customHeight="true" outlineLevel="0" collapsed="false">
      <c r="A424" s="19"/>
      <c r="B424" s="17"/>
      <c r="C424" s="11" t="str">
        <f aca="false">IF(B424="","",IFERROR(INDEX(Students!$B$4:$B$203,MATCH(B424,Students!$A$4:$A$203,0)),""))</f>
        <v/>
      </c>
      <c r="D424" s="11" t="str">
        <f aca="false">IF(B424="","",IFERROR(INDEX(Students!$H$4:$H$203,MATCH(B424,Students!$A$4:$A$203,0)),""))</f>
        <v/>
      </c>
      <c r="E424" s="18"/>
      <c r="F424" s="18"/>
      <c r="G424" s="18"/>
      <c r="H424" s="18"/>
      <c r="I424" s="18"/>
      <c r="J424" s="18"/>
      <c r="K424" s="18"/>
      <c r="L424" s="18"/>
    </row>
    <row r="425" customFormat="false" ht="15" hidden="false" customHeight="true" outlineLevel="0" collapsed="false">
      <c r="A425" s="19"/>
      <c r="B425" s="17"/>
      <c r="C425" s="11" t="str">
        <f aca="false">IF(B425="","",IFERROR(INDEX(Students!$B$4:$B$203,MATCH(B425,Students!$A$4:$A$203,0)),""))</f>
        <v/>
      </c>
      <c r="D425" s="11" t="str">
        <f aca="false">IF(B425="","",IFERROR(INDEX(Students!$H$4:$H$203,MATCH(B425,Students!$A$4:$A$203,0)),""))</f>
        <v/>
      </c>
      <c r="E425" s="18"/>
      <c r="F425" s="18"/>
      <c r="G425" s="18"/>
      <c r="H425" s="18"/>
      <c r="I425" s="18"/>
      <c r="J425" s="18"/>
      <c r="K425" s="18"/>
      <c r="L425" s="18"/>
    </row>
    <row r="426" customFormat="false" ht="15" hidden="false" customHeight="true" outlineLevel="0" collapsed="false">
      <c r="A426" s="19"/>
      <c r="B426" s="17"/>
      <c r="C426" s="11" t="str">
        <f aca="false">IF(B426="","",IFERROR(INDEX(Students!$B$4:$B$203,MATCH(B426,Students!$A$4:$A$203,0)),""))</f>
        <v/>
      </c>
      <c r="D426" s="11" t="str">
        <f aca="false">IF(B426="","",IFERROR(INDEX(Students!$H$4:$H$203,MATCH(B426,Students!$A$4:$A$203,0)),""))</f>
        <v/>
      </c>
      <c r="E426" s="18"/>
      <c r="F426" s="18"/>
      <c r="G426" s="18"/>
      <c r="H426" s="18"/>
      <c r="I426" s="18"/>
      <c r="J426" s="18"/>
      <c r="K426" s="18"/>
      <c r="L426" s="18"/>
    </row>
    <row r="427" customFormat="false" ht="15" hidden="false" customHeight="true" outlineLevel="0" collapsed="false">
      <c r="A427" s="19"/>
      <c r="B427" s="17"/>
      <c r="C427" s="11" t="str">
        <f aca="false">IF(B427="","",IFERROR(INDEX(Students!$B$4:$B$203,MATCH(B427,Students!$A$4:$A$203,0)),""))</f>
        <v/>
      </c>
      <c r="D427" s="11" t="str">
        <f aca="false">IF(B427="","",IFERROR(INDEX(Students!$H$4:$H$203,MATCH(B427,Students!$A$4:$A$203,0)),""))</f>
        <v/>
      </c>
      <c r="E427" s="18"/>
      <c r="F427" s="18"/>
      <c r="G427" s="18"/>
      <c r="H427" s="18"/>
      <c r="I427" s="18"/>
      <c r="J427" s="18"/>
      <c r="K427" s="18"/>
      <c r="L427" s="18"/>
    </row>
    <row r="428" customFormat="false" ht="15" hidden="false" customHeight="true" outlineLevel="0" collapsed="false">
      <c r="A428" s="19"/>
      <c r="B428" s="17"/>
      <c r="C428" s="11" t="str">
        <f aca="false">IF(B428="","",IFERROR(INDEX(Students!$B$4:$B$203,MATCH(B428,Students!$A$4:$A$203,0)),""))</f>
        <v/>
      </c>
      <c r="D428" s="11" t="str">
        <f aca="false">IF(B428="","",IFERROR(INDEX(Students!$H$4:$H$203,MATCH(B428,Students!$A$4:$A$203,0)),""))</f>
        <v/>
      </c>
      <c r="E428" s="18"/>
      <c r="F428" s="18"/>
      <c r="G428" s="18"/>
      <c r="H428" s="18"/>
      <c r="I428" s="18"/>
      <c r="J428" s="18"/>
      <c r="K428" s="18"/>
      <c r="L428" s="18"/>
    </row>
    <row r="429" customFormat="false" ht="15" hidden="false" customHeight="true" outlineLevel="0" collapsed="false">
      <c r="A429" s="19"/>
      <c r="B429" s="17"/>
      <c r="C429" s="11" t="str">
        <f aca="false">IF(B429="","",IFERROR(INDEX(Students!$B$4:$B$203,MATCH(B429,Students!$A$4:$A$203,0)),""))</f>
        <v/>
      </c>
      <c r="D429" s="11" t="str">
        <f aca="false">IF(B429="","",IFERROR(INDEX(Students!$H$4:$H$203,MATCH(B429,Students!$A$4:$A$203,0)),""))</f>
        <v/>
      </c>
      <c r="E429" s="18"/>
      <c r="F429" s="18"/>
      <c r="G429" s="18"/>
      <c r="H429" s="18"/>
      <c r="I429" s="18"/>
      <c r="J429" s="18"/>
      <c r="K429" s="18"/>
      <c r="L429" s="18"/>
    </row>
    <row r="430" customFormat="false" ht="15" hidden="false" customHeight="true" outlineLevel="0" collapsed="false">
      <c r="A430" s="19"/>
      <c r="B430" s="17"/>
      <c r="C430" s="11" t="str">
        <f aca="false">IF(B430="","",IFERROR(INDEX(Students!$B$4:$B$203,MATCH(B430,Students!$A$4:$A$203,0)),""))</f>
        <v/>
      </c>
      <c r="D430" s="11" t="str">
        <f aca="false">IF(B430="","",IFERROR(INDEX(Students!$H$4:$H$203,MATCH(B430,Students!$A$4:$A$203,0)),""))</f>
        <v/>
      </c>
      <c r="E430" s="18"/>
      <c r="F430" s="18"/>
      <c r="G430" s="18"/>
      <c r="H430" s="18"/>
      <c r="I430" s="18"/>
      <c r="J430" s="18"/>
      <c r="K430" s="18"/>
      <c r="L430" s="18"/>
    </row>
    <row r="431" customFormat="false" ht="15" hidden="false" customHeight="true" outlineLevel="0" collapsed="false">
      <c r="A431" s="19"/>
      <c r="B431" s="17"/>
      <c r="C431" s="11" t="str">
        <f aca="false">IF(B431="","",IFERROR(INDEX(Students!$B$4:$B$203,MATCH(B431,Students!$A$4:$A$203,0)),""))</f>
        <v/>
      </c>
      <c r="D431" s="11" t="str">
        <f aca="false">IF(B431="","",IFERROR(INDEX(Students!$H$4:$H$203,MATCH(B431,Students!$A$4:$A$203,0)),""))</f>
        <v/>
      </c>
      <c r="E431" s="18"/>
      <c r="F431" s="18"/>
      <c r="G431" s="18"/>
      <c r="H431" s="18"/>
      <c r="I431" s="18"/>
      <c r="J431" s="18"/>
      <c r="K431" s="18"/>
      <c r="L431" s="18"/>
    </row>
    <row r="432" customFormat="false" ht="15" hidden="false" customHeight="true" outlineLevel="0" collapsed="false">
      <c r="A432" s="19"/>
      <c r="B432" s="17"/>
      <c r="C432" s="11" t="str">
        <f aca="false">IF(B432="","",IFERROR(INDEX(Students!$B$4:$B$203,MATCH(B432,Students!$A$4:$A$203,0)),""))</f>
        <v/>
      </c>
      <c r="D432" s="11" t="str">
        <f aca="false">IF(B432="","",IFERROR(INDEX(Students!$H$4:$H$203,MATCH(B432,Students!$A$4:$A$203,0)),""))</f>
        <v/>
      </c>
      <c r="E432" s="18"/>
      <c r="F432" s="18"/>
      <c r="G432" s="18"/>
      <c r="H432" s="18"/>
      <c r="I432" s="18"/>
      <c r="J432" s="18"/>
      <c r="K432" s="18"/>
      <c r="L432" s="18"/>
    </row>
    <row r="433" customFormat="false" ht="15" hidden="false" customHeight="true" outlineLevel="0" collapsed="false">
      <c r="A433" s="19"/>
      <c r="B433" s="17"/>
      <c r="C433" s="11" t="str">
        <f aca="false">IF(B433="","",IFERROR(INDEX(Students!$B$4:$B$203,MATCH(B433,Students!$A$4:$A$203,0)),""))</f>
        <v/>
      </c>
      <c r="D433" s="11" t="str">
        <f aca="false">IF(B433="","",IFERROR(INDEX(Students!$H$4:$H$203,MATCH(B433,Students!$A$4:$A$203,0)),""))</f>
        <v/>
      </c>
      <c r="E433" s="18"/>
      <c r="F433" s="18"/>
      <c r="G433" s="18"/>
      <c r="H433" s="18"/>
      <c r="I433" s="18"/>
      <c r="J433" s="18"/>
      <c r="K433" s="18"/>
      <c r="L433" s="18"/>
    </row>
    <row r="434" customFormat="false" ht="15" hidden="false" customHeight="true" outlineLevel="0" collapsed="false">
      <c r="A434" s="19"/>
      <c r="B434" s="17"/>
      <c r="C434" s="11" t="str">
        <f aca="false">IF(B434="","",IFERROR(INDEX(Students!$B$4:$B$203,MATCH(B434,Students!$A$4:$A$203,0)),""))</f>
        <v/>
      </c>
      <c r="D434" s="11" t="str">
        <f aca="false">IF(B434="","",IFERROR(INDEX(Students!$H$4:$H$203,MATCH(B434,Students!$A$4:$A$203,0)),""))</f>
        <v/>
      </c>
      <c r="E434" s="18"/>
      <c r="F434" s="18"/>
      <c r="G434" s="18"/>
      <c r="H434" s="18"/>
      <c r="I434" s="18"/>
      <c r="J434" s="18"/>
      <c r="K434" s="18"/>
      <c r="L434" s="18"/>
    </row>
    <row r="435" customFormat="false" ht="15" hidden="false" customHeight="true" outlineLevel="0" collapsed="false">
      <c r="A435" s="19"/>
      <c r="B435" s="17"/>
      <c r="C435" s="11" t="str">
        <f aca="false">IF(B435="","",IFERROR(INDEX(Students!$B$4:$B$203,MATCH(B435,Students!$A$4:$A$203,0)),""))</f>
        <v/>
      </c>
      <c r="D435" s="11" t="str">
        <f aca="false">IF(B435="","",IFERROR(INDEX(Students!$H$4:$H$203,MATCH(B435,Students!$A$4:$A$203,0)),""))</f>
        <v/>
      </c>
      <c r="E435" s="18"/>
      <c r="F435" s="18"/>
      <c r="G435" s="18"/>
      <c r="H435" s="18"/>
      <c r="I435" s="18"/>
      <c r="J435" s="18"/>
      <c r="K435" s="18"/>
      <c r="L435" s="18"/>
    </row>
    <row r="436" customFormat="false" ht="15" hidden="false" customHeight="true" outlineLevel="0" collapsed="false">
      <c r="A436" s="19"/>
      <c r="B436" s="17"/>
      <c r="C436" s="11" t="str">
        <f aca="false">IF(B436="","",IFERROR(INDEX(Students!$B$4:$B$203,MATCH(B436,Students!$A$4:$A$203,0)),""))</f>
        <v/>
      </c>
      <c r="D436" s="11" t="str">
        <f aca="false">IF(B436="","",IFERROR(INDEX(Students!$H$4:$H$203,MATCH(B436,Students!$A$4:$A$203,0)),""))</f>
        <v/>
      </c>
      <c r="E436" s="18"/>
      <c r="F436" s="18"/>
      <c r="G436" s="18"/>
      <c r="H436" s="18"/>
      <c r="I436" s="18"/>
      <c r="J436" s="18"/>
      <c r="K436" s="18"/>
      <c r="L436" s="18"/>
    </row>
    <row r="437" customFormat="false" ht="15" hidden="false" customHeight="true" outlineLevel="0" collapsed="false">
      <c r="A437" s="19"/>
      <c r="B437" s="17"/>
      <c r="C437" s="11" t="str">
        <f aca="false">IF(B437="","",IFERROR(INDEX(Students!$B$4:$B$203,MATCH(B437,Students!$A$4:$A$203,0)),""))</f>
        <v/>
      </c>
      <c r="D437" s="11" t="str">
        <f aca="false">IF(B437="","",IFERROR(INDEX(Students!$H$4:$H$203,MATCH(B437,Students!$A$4:$A$203,0)),""))</f>
        <v/>
      </c>
      <c r="E437" s="18"/>
      <c r="F437" s="18"/>
      <c r="G437" s="18"/>
      <c r="H437" s="18"/>
      <c r="I437" s="18"/>
      <c r="J437" s="18"/>
      <c r="K437" s="18"/>
      <c r="L437" s="18"/>
    </row>
    <row r="438" customFormat="false" ht="15" hidden="false" customHeight="true" outlineLevel="0" collapsed="false">
      <c r="A438" s="19"/>
      <c r="B438" s="17"/>
      <c r="C438" s="11" t="str">
        <f aca="false">IF(B438="","",IFERROR(INDEX(Students!$B$4:$B$203,MATCH(B438,Students!$A$4:$A$203,0)),""))</f>
        <v/>
      </c>
      <c r="D438" s="11" t="str">
        <f aca="false">IF(B438="","",IFERROR(INDEX(Students!$H$4:$H$203,MATCH(B438,Students!$A$4:$A$203,0)),""))</f>
        <v/>
      </c>
      <c r="E438" s="18"/>
      <c r="F438" s="18"/>
      <c r="G438" s="18"/>
      <c r="H438" s="18"/>
      <c r="I438" s="18"/>
      <c r="J438" s="18"/>
      <c r="K438" s="18"/>
      <c r="L438" s="18"/>
    </row>
    <row r="439" customFormat="false" ht="15" hidden="false" customHeight="true" outlineLevel="0" collapsed="false">
      <c r="A439" s="19"/>
      <c r="B439" s="17"/>
      <c r="C439" s="11" t="str">
        <f aca="false">IF(B439="","",IFERROR(INDEX(Students!$B$4:$B$203,MATCH(B439,Students!$A$4:$A$203,0)),""))</f>
        <v/>
      </c>
      <c r="D439" s="11" t="str">
        <f aca="false">IF(B439="","",IFERROR(INDEX(Students!$H$4:$H$203,MATCH(B439,Students!$A$4:$A$203,0)),""))</f>
        <v/>
      </c>
      <c r="E439" s="18"/>
      <c r="F439" s="18"/>
      <c r="G439" s="18"/>
      <c r="H439" s="18"/>
      <c r="I439" s="18"/>
      <c r="J439" s="18"/>
      <c r="K439" s="18"/>
      <c r="L439" s="18"/>
    </row>
    <row r="440" customFormat="false" ht="15" hidden="false" customHeight="true" outlineLevel="0" collapsed="false">
      <c r="A440" s="19"/>
      <c r="B440" s="17"/>
      <c r="C440" s="11" t="str">
        <f aca="false">IF(B440="","",IFERROR(INDEX(Students!$B$4:$B$203,MATCH(B440,Students!$A$4:$A$203,0)),""))</f>
        <v/>
      </c>
      <c r="D440" s="11" t="str">
        <f aca="false">IF(B440="","",IFERROR(INDEX(Students!$H$4:$H$203,MATCH(B440,Students!$A$4:$A$203,0)),""))</f>
        <v/>
      </c>
      <c r="E440" s="18"/>
      <c r="F440" s="18"/>
      <c r="G440" s="18"/>
      <c r="H440" s="18"/>
      <c r="I440" s="18"/>
      <c r="J440" s="18"/>
      <c r="K440" s="18"/>
      <c r="L440" s="18"/>
    </row>
    <row r="441" customFormat="false" ht="15" hidden="false" customHeight="true" outlineLevel="0" collapsed="false">
      <c r="A441" s="19"/>
      <c r="B441" s="17"/>
      <c r="C441" s="11" t="str">
        <f aca="false">IF(B441="","",IFERROR(INDEX(Students!$B$4:$B$203,MATCH(B441,Students!$A$4:$A$203,0)),""))</f>
        <v/>
      </c>
      <c r="D441" s="11" t="str">
        <f aca="false">IF(B441="","",IFERROR(INDEX(Students!$H$4:$H$203,MATCH(B441,Students!$A$4:$A$203,0)),""))</f>
        <v/>
      </c>
      <c r="E441" s="18"/>
      <c r="F441" s="18"/>
      <c r="G441" s="18"/>
      <c r="H441" s="18"/>
      <c r="I441" s="18"/>
      <c r="J441" s="18"/>
      <c r="K441" s="18"/>
      <c r="L441" s="18"/>
    </row>
    <row r="442" customFormat="false" ht="15" hidden="false" customHeight="true" outlineLevel="0" collapsed="false">
      <c r="A442" s="19"/>
      <c r="B442" s="17"/>
      <c r="C442" s="11" t="str">
        <f aca="false">IF(B442="","",IFERROR(INDEX(Students!$B$4:$B$203,MATCH(B442,Students!$A$4:$A$203,0)),""))</f>
        <v/>
      </c>
      <c r="D442" s="11" t="str">
        <f aca="false">IF(B442="","",IFERROR(INDEX(Students!$H$4:$H$203,MATCH(B442,Students!$A$4:$A$203,0)),""))</f>
        <v/>
      </c>
      <c r="E442" s="18"/>
      <c r="F442" s="18"/>
      <c r="G442" s="18"/>
      <c r="H442" s="18"/>
      <c r="I442" s="18"/>
      <c r="J442" s="18"/>
      <c r="K442" s="18"/>
      <c r="L442" s="18"/>
    </row>
    <row r="443" customFormat="false" ht="15" hidden="false" customHeight="true" outlineLevel="0" collapsed="false">
      <c r="A443" s="19"/>
      <c r="B443" s="17"/>
      <c r="C443" s="11" t="str">
        <f aca="false">IF(B443="","",IFERROR(INDEX(Students!$B$4:$B$203,MATCH(B443,Students!$A$4:$A$203,0)),""))</f>
        <v/>
      </c>
      <c r="D443" s="11" t="str">
        <f aca="false">IF(B443="","",IFERROR(INDEX(Students!$H$4:$H$203,MATCH(B443,Students!$A$4:$A$203,0)),""))</f>
        <v/>
      </c>
      <c r="E443" s="18"/>
      <c r="F443" s="18"/>
      <c r="G443" s="18"/>
      <c r="H443" s="18"/>
      <c r="I443" s="18"/>
      <c r="J443" s="18"/>
      <c r="K443" s="18"/>
      <c r="L443" s="18"/>
    </row>
    <row r="444" customFormat="false" ht="15" hidden="false" customHeight="true" outlineLevel="0" collapsed="false">
      <c r="A444" s="19"/>
      <c r="B444" s="17"/>
      <c r="C444" s="11" t="str">
        <f aca="false">IF(B444="","",IFERROR(INDEX(Students!$B$4:$B$203,MATCH(B444,Students!$A$4:$A$203,0)),""))</f>
        <v/>
      </c>
      <c r="D444" s="11" t="str">
        <f aca="false">IF(B444="","",IFERROR(INDEX(Students!$H$4:$H$203,MATCH(B444,Students!$A$4:$A$203,0)),""))</f>
        <v/>
      </c>
      <c r="E444" s="18"/>
      <c r="F444" s="18"/>
      <c r="G444" s="18"/>
      <c r="H444" s="18"/>
      <c r="I444" s="18"/>
      <c r="J444" s="18"/>
      <c r="K444" s="18"/>
      <c r="L444" s="18"/>
    </row>
    <row r="445" customFormat="false" ht="15" hidden="false" customHeight="true" outlineLevel="0" collapsed="false">
      <c r="A445" s="19"/>
      <c r="B445" s="17"/>
      <c r="C445" s="11" t="str">
        <f aca="false">IF(B445="","",IFERROR(INDEX(Students!$B$4:$B$203,MATCH(B445,Students!$A$4:$A$203,0)),""))</f>
        <v/>
      </c>
      <c r="D445" s="11" t="str">
        <f aca="false">IF(B445="","",IFERROR(INDEX(Students!$H$4:$H$203,MATCH(B445,Students!$A$4:$A$203,0)),""))</f>
        <v/>
      </c>
      <c r="E445" s="18"/>
      <c r="F445" s="18"/>
      <c r="G445" s="18"/>
      <c r="H445" s="18"/>
      <c r="I445" s="18"/>
      <c r="J445" s="18"/>
      <c r="K445" s="18"/>
      <c r="L445" s="18"/>
    </row>
    <row r="446" customFormat="false" ht="15" hidden="false" customHeight="true" outlineLevel="0" collapsed="false">
      <c r="A446" s="19"/>
      <c r="B446" s="17"/>
      <c r="C446" s="11" t="str">
        <f aca="false">IF(B446="","",IFERROR(INDEX(Students!$B$4:$B$203,MATCH(B446,Students!$A$4:$A$203,0)),""))</f>
        <v/>
      </c>
      <c r="D446" s="11" t="str">
        <f aca="false">IF(B446="","",IFERROR(INDEX(Students!$H$4:$H$203,MATCH(B446,Students!$A$4:$A$203,0)),""))</f>
        <v/>
      </c>
      <c r="E446" s="18"/>
      <c r="F446" s="18"/>
      <c r="G446" s="18"/>
      <c r="H446" s="18"/>
      <c r="I446" s="18"/>
      <c r="J446" s="18"/>
      <c r="K446" s="18"/>
      <c r="L446" s="18"/>
    </row>
    <row r="447" customFormat="false" ht="15" hidden="false" customHeight="true" outlineLevel="0" collapsed="false">
      <c r="A447" s="19"/>
      <c r="B447" s="17"/>
      <c r="C447" s="11" t="str">
        <f aca="false">IF(B447="","",IFERROR(INDEX(Students!$B$4:$B$203,MATCH(B447,Students!$A$4:$A$203,0)),""))</f>
        <v/>
      </c>
      <c r="D447" s="11" t="str">
        <f aca="false">IF(B447="","",IFERROR(INDEX(Students!$H$4:$H$203,MATCH(B447,Students!$A$4:$A$203,0)),""))</f>
        <v/>
      </c>
      <c r="E447" s="18"/>
      <c r="F447" s="18"/>
      <c r="G447" s="18"/>
      <c r="H447" s="18"/>
      <c r="I447" s="18"/>
      <c r="J447" s="18"/>
      <c r="K447" s="18"/>
      <c r="L447" s="18"/>
    </row>
    <row r="448" customFormat="false" ht="15" hidden="false" customHeight="true" outlineLevel="0" collapsed="false">
      <c r="A448" s="19"/>
      <c r="B448" s="17"/>
      <c r="C448" s="11" t="str">
        <f aca="false">IF(B448="","",IFERROR(INDEX(Students!$B$4:$B$203,MATCH(B448,Students!$A$4:$A$203,0)),""))</f>
        <v/>
      </c>
      <c r="D448" s="11" t="str">
        <f aca="false">IF(B448="","",IFERROR(INDEX(Students!$H$4:$H$203,MATCH(B448,Students!$A$4:$A$203,0)),""))</f>
        <v/>
      </c>
      <c r="E448" s="18"/>
      <c r="F448" s="18"/>
      <c r="G448" s="18"/>
      <c r="H448" s="18"/>
      <c r="I448" s="18"/>
      <c r="J448" s="18"/>
      <c r="K448" s="18"/>
      <c r="L448" s="18"/>
    </row>
    <row r="449" customFormat="false" ht="15" hidden="false" customHeight="true" outlineLevel="0" collapsed="false">
      <c r="A449" s="19"/>
      <c r="B449" s="17"/>
      <c r="C449" s="11" t="str">
        <f aca="false">IF(B449="","",IFERROR(INDEX(Students!$B$4:$B$203,MATCH(B449,Students!$A$4:$A$203,0)),""))</f>
        <v/>
      </c>
      <c r="D449" s="11" t="str">
        <f aca="false">IF(B449="","",IFERROR(INDEX(Students!$H$4:$H$203,MATCH(B449,Students!$A$4:$A$203,0)),""))</f>
        <v/>
      </c>
      <c r="E449" s="18"/>
      <c r="F449" s="18"/>
      <c r="G449" s="18"/>
      <c r="H449" s="18"/>
      <c r="I449" s="18"/>
      <c r="J449" s="18"/>
      <c r="K449" s="18"/>
      <c r="L449" s="18"/>
    </row>
    <row r="450" customFormat="false" ht="15" hidden="false" customHeight="true" outlineLevel="0" collapsed="false">
      <c r="A450" s="19"/>
      <c r="B450" s="17"/>
      <c r="C450" s="11" t="str">
        <f aca="false">IF(B450="","",IFERROR(INDEX(Students!$B$4:$B$203,MATCH(B450,Students!$A$4:$A$203,0)),""))</f>
        <v/>
      </c>
      <c r="D450" s="11" t="str">
        <f aca="false">IF(B450="","",IFERROR(INDEX(Students!$H$4:$H$203,MATCH(B450,Students!$A$4:$A$203,0)),""))</f>
        <v/>
      </c>
      <c r="E450" s="18"/>
      <c r="F450" s="18"/>
      <c r="G450" s="18"/>
      <c r="H450" s="18"/>
      <c r="I450" s="18"/>
      <c r="J450" s="18"/>
      <c r="K450" s="18"/>
      <c r="L450" s="18"/>
    </row>
    <row r="451" customFormat="false" ht="15" hidden="false" customHeight="true" outlineLevel="0" collapsed="false">
      <c r="A451" s="19"/>
      <c r="B451" s="17"/>
      <c r="C451" s="11" t="str">
        <f aca="false">IF(B451="","",IFERROR(INDEX(Students!$B$4:$B$203,MATCH(B451,Students!$A$4:$A$203,0)),""))</f>
        <v/>
      </c>
      <c r="D451" s="11" t="str">
        <f aca="false">IF(B451="","",IFERROR(INDEX(Students!$H$4:$H$203,MATCH(B451,Students!$A$4:$A$203,0)),""))</f>
        <v/>
      </c>
      <c r="E451" s="18"/>
      <c r="F451" s="18"/>
      <c r="G451" s="18"/>
      <c r="H451" s="18"/>
      <c r="I451" s="18"/>
      <c r="J451" s="18"/>
      <c r="K451" s="18"/>
      <c r="L451" s="18"/>
    </row>
    <row r="452" customFormat="false" ht="15" hidden="false" customHeight="true" outlineLevel="0" collapsed="false">
      <c r="A452" s="19"/>
      <c r="B452" s="17"/>
      <c r="C452" s="11" t="str">
        <f aca="false">IF(B452="","",IFERROR(INDEX(Students!$B$4:$B$203,MATCH(B452,Students!$A$4:$A$203,0)),""))</f>
        <v/>
      </c>
      <c r="D452" s="11" t="str">
        <f aca="false">IF(B452="","",IFERROR(INDEX(Students!$H$4:$H$203,MATCH(B452,Students!$A$4:$A$203,0)),""))</f>
        <v/>
      </c>
      <c r="E452" s="18"/>
      <c r="F452" s="18"/>
      <c r="G452" s="18"/>
      <c r="H452" s="18"/>
      <c r="I452" s="18"/>
      <c r="J452" s="18"/>
      <c r="K452" s="18"/>
      <c r="L452" s="18"/>
    </row>
    <row r="453" customFormat="false" ht="15" hidden="false" customHeight="true" outlineLevel="0" collapsed="false">
      <c r="A453" s="19"/>
      <c r="B453" s="17"/>
      <c r="C453" s="11" t="str">
        <f aca="false">IF(B453="","",IFERROR(INDEX(Students!$B$4:$B$203,MATCH(B453,Students!$A$4:$A$203,0)),""))</f>
        <v/>
      </c>
      <c r="D453" s="11" t="str">
        <f aca="false">IF(B453="","",IFERROR(INDEX(Students!$H$4:$H$203,MATCH(B453,Students!$A$4:$A$203,0)),""))</f>
        <v/>
      </c>
      <c r="E453" s="18"/>
      <c r="F453" s="18"/>
      <c r="G453" s="18"/>
      <c r="H453" s="18"/>
      <c r="I453" s="18"/>
      <c r="J453" s="18"/>
      <c r="K453" s="18"/>
      <c r="L453" s="18"/>
    </row>
    <row r="454" customFormat="false" ht="15" hidden="false" customHeight="true" outlineLevel="0" collapsed="false">
      <c r="A454" s="19"/>
      <c r="B454" s="17"/>
      <c r="C454" s="11" t="str">
        <f aca="false">IF(B454="","",IFERROR(INDEX(Students!$B$4:$B$203,MATCH(B454,Students!$A$4:$A$203,0)),""))</f>
        <v/>
      </c>
      <c r="D454" s="11" t="str">
        <f aca="false">IF(B454="","",IFERROR(INDEX(Students!$H$4:$H$203,MATCH(B454,Students!$A$4:$A$203,0)),""))</f>
        <v/>
      </c>
      <c r="E454" s="18"/>
      <c r="F454" s="18"/>
      <c r="G454" s="18"/>
      <c r="H454" s="18"/>
      <c r="I454" s="18"/>
      <c r="J454" s="18"/>
      <c r="K454" s="18"/>
      <c r="L454" s="18"/>
    </row>
    <row r="455" customFormat="false" ht="15" hidden="false" customHeight="true" outlineLevel="0" collapsed="false">
      <c r="A455" s="19"/>
      <c r="B455" s="17"/>
      <c r="C455" s="11" t="str">
        <f aca="false">IF(B455="","",IFERROR(INDEX(Students!$B$4:$B$203,MATCH(B455,Students!$A$4:$A$203,0)),""))</f>
        <v/>
      </c>
      <c r="D455" s="11" t="str">
        <f aca="false">IF(B455="","",IFERROR(INDEX(Students!$H$4:$H$203,MATCH(B455,Students!$A$4:$A$203,0)),""))</f>
        <v/>
      </c>
      <c r="E455" s="18"/>
      <c r="F455" s="18"/>
      <c r="G455" s="18"/>
      <c r="H455" s="18"/>
      <c r="I455" s="18"/>
      <c r="J455" s="18"/>
      <c r="K455" s="18"/>
      <c r="L455" s="18"/>
    </row>
    <row r="456" customFormat="false" ht="15" hidden="false" customHeight="true" outlineLevel="0" collapsed="false">
      <c r="A456" s="19"/>
      <c r="B456" s="17"/>
      <c r="C456" s="11" t="str">
        <f aca="false">IF(B456="","",IFERROR(INDEX(Students!$B$4:$B$203,MATCH(B456,Students!$A$4:$A$203,0)),""))</f>
        <v/>
      </c>
      <c r="D456" s="11" t="str">
        <f aca="false">IF(B456="","",IFERROR(INDEX(Students!$H$4:$H$203,MATCH(B456,Students!$A$4:$A$203,0)),""))</f>
        <v/>
      </c>
      <c r="E456" s="18"/>
      <c r="F456" s="18"/>
      <c r="G456" s="18"/>
      <c r="H456" s="18"/>
      <c r="I456" s="18"/>
      <c r="J456" s="18"/>
      <c r="K456" s="18"/>
      <c r="L456" s="18"/>
    </row>
    <row r="457" customFormat="false" ht="15" hidden="false" customHeight="true" outlineLevel="0" collapsed="false">
      <c r="A457" s="19"/>
      <c r="B457" s="17"/>
      <c r="C457" s="11" t="str">
        <f aca="false">IF(B457="","",IFERROR(INDEX(Students!$B$4:$B$203,MATCH(B457,Students!$A$4:$A$203,0)),""))</f>
        <v/>
      </c>
      <c r="D457" s="11" t="str">
        <f aca="false">IF(B457="","",IFERROR(INDEX(Students!$H$4:$H$203,MATCH(B457,Students!$A$4:$A$203,0)),""))</f>
        <v/>
      </c>
      <c r="E457" s="18"/>
      <c r="F457" s="18"/>
      <c r="G457" s="18"/>
      <c r="H457" s="18"/>
      <c r="I457" s="18"/>
      <c r="J457" s="18"/>
      <c r="K457" s="18"/>
      <c r="L457" s="18"/>
    </row>
    <row r="458" customFormat="false" ht="15" hidden="false" customHeight="true" outlineLevel="0" collapsed="false">
      <c r="A458" s="19"/>
      <c r="B458" s="17"/>
      <c r="C458" s="11" t="str">
        <f aca="false">IF(B458="","",IFERROR(INDEX(Students!$B$4:$B$203,MATCH(B458,Students!$A$4:$A$203,0)),""))</f>
        <v/>
      </c>
      <c r="D458" s="11" t="str">
        <f aca="false">IF(B458="","",IFERROR(INDEX(Students!$H$4:$H$203,MATCH(B458,Students!$A$4:$A$203,0)),""))</f>
        <v/>
      </c>
      <c r="E458" s="18"/>
      <c r="F458" s="18"/>
      <c r="G458" s="18"/>
      <c r="H458" s="18"/>
      <c r="I458" s="18"/>
      <c r="J458" s="18"/>
      <c r="K458" s="18"/>
      <c r="L458" s="18"/>
    </row>
    <row r="459" customFormat="false" ht="15" hidden="false" customHeight="true" outlineLevel="0" collapsed="false">
      <c r="A459" s="19"/>
      <c r="B459" s="17"/>
      <c r="C459" s="11" t="str">
        <f aca="false">IF(B459="","",IFERROR(INDEX(Students!$B$4:$B$203,MATCH(B459,Students!$A$4:$A$203,0)),""))</f>
        <v/>
      </c>
      <c r="D459" s="11" t="str">
        <f aca="false">IF(B459="","",IFERROR(INDEX(Students!$H$4:$H$203,MATCH(B459,Students!$A$4:$A$203,0)),""))</f>
        <v/>
      </c>
      <c r="E459" s="18"/>
      <c r="F459" s="18"/>
      <c r="G459" s="18"/>
      <c r="H459" s="18"/>
      <c r="I459" s="18"/>
      <c r="J459" s="18"/>
      <c r="K459" s="18"/>
      <c r="L459" s="18"/>
    </row>
    <row r="460" customFormat="false" ht="15" hidden="false" customHeight="true" outlineLevel="0" collapsed="false">
      <c r="A460" s="19"/>
      <c r="B460" s="17"/>
      <c r="C460" s="11" t="str">
        <f aca="false">IF(B460="","",IFERROR(INDEX(Students!$B$4:$B$203,MATCH(B460,Students!$A$4:$A$203,0)),""))</f>
        <v/>
      </c>
      <c r="D460" s="11" t="str">
        <f aca="false">IF(B460="","",IFERROR(INDEX(Students!$H$4:$H$203,MATCH(B460,Students!$A$4:$A$203,0)),""))</f>
        <v/>
      </c>
      <c r="E460" s="18"/>
      <c r="F460" s="18"/>
      <c r="G460" s="18"/>
      <c r="H460" s="18"/>
      <c r="I460" s="18"/>
      <c r="J460" s="18"/>
      <c r="K460" s="18"/>
      <c r="L460" s="18"/>
    </row>
    <row r="461" customFormat="false" ht="15" hidden="false" customHeight="true" outlineLevel="0" collapsed="false">
      <c r="A461" s="19"/>
      <c r="B461" s="17"/>
      <c r="C461" s="11" t="str">
        <f aca="false">IF(B461="","",IFERROR(INDEX(Students!$B$4:$B$203,MATCH(B461,Students!$A$4:$A$203,0)),""))</f>
        <v/>
      </c>
      <c r="D461" s="11" t="str">
        <f aca="false">IF(B461="","",IFERROR(INDEX(Students!$H$4:$H$203,MATCH(B461,Students!$A$4:$A$203,0)),""))</f>
        <v/>
      </c>
      <c r="E461" s="18"/>
      <c r="F461" s="18"/>
      <c r="G461" s="18"/>
      <c r="H461" s="18"/>
      <c r="I461" s="18"/>
      <c r="J461" s="18"/>
      <c r="K461" s="18"/>
      <c r="L461" s="18"/>
    </row>
    <row r="462" customFormat="false" ht="15" hidden="false" customHeight="true" outlineLevel="0" collapsed="false">
      <c r="A462" s="19"/>
      <c r="B462" s="17"/>
      <c r="C462" s="11" t="str">
        <f aca="false">IF(B462="","",IFERROR(INDEX(Students!$B$4:$B$203,MATCH(B462,Students!$A$4:$A$203,0)),""))</f>
        <v/>
      </c>
      <c r="D462" s="11" t="str">
        <f aca="false">IF(B462="","",IFERROR(INDEX(Students!$H$4:$H$203,MATCH(B462,Students!$A$4:$A$203,0)),""))</f>
        <v/>
      </c>
      <c r="E462" s="18"/>
      <c r="F462" s="18"/>
      <c r="G462" s="18"/>
      <c r="H462" s="18"/>
      <c r="I462" s="18"/>
      <c r="J462" s="18"/>
      <c r="K462" s="18"/>
      <c r="L462" s="18"/>
    </row>
    <row r="463" customFormat="false" ht="15" hidden="false" customHeight="true" outlineLevel="0" collapsed="false">
      <c r="A463" s="19"/>
      <c r="B463" s="17"/>
      <c r="C463" s="11" t="str">
        <f aca="false">IF(B463="","",IFERROR(INDEX(Students!$B$4:$B$203,MATCH(B463,Students!$A$4:$A$203,0)),""))</f>
        <v/>
      </c>
      <c r="D463" s="11" t="str">
        <f aca="false">IF(B463="","",IFERROR(INDEX(Students!$H$4:$H$203,MATCH(B463,Students!$A$4:$A$203,0)),""))</f>
        <v/>
      </c>
      <c r="E463" s="18"/>
      <c r="F463" s="18"/>
      <c r="G463" s="18"/>
      <c r="H463" s="18"/>
      <c r="I463" s="18"/>
      <c r="J463" s="18"/>
      <c r="K463" s="18"/>
      <c r="L463" s="18"/>
    </row>
    <row r="464" customFormat="false" ht="15" hidden="false" customHeight="true" outlineLevel="0" collapsed="false">
      <c r="A464" s="19"/>
      <c r="B464" s="17"/>
      <c r="C464" s="11" t="str">
        <f aca="false">IF(B464="","",IFERROR(INDEX(Students!$B$4:$B$203,MATCH(B464,Students!$A$4:$A$203,0)),""))</f>
        <v/>
      </c>
      <c r="D464" s="11" t="str">
        <f aca="false">IF(B464="","",IFERROR(INDEX(Students!$H$4:$H$203,MATCH(B464,Students!$A$4:$A$203,0)),""))</f>
        <v/>
      </c>
      <c r="E464" s="18"/>
      <c r="F464" s="18"/>
      <c r="G464" s="18"/>
      <c r="H464" s="18"/>
      <c r="I464" s="18"/>
      <c r="J464" s="18"/>
      <c r="K464" s="18"/>
      <c r="L464" s="18"/>
    </row>
    <row r="465" customFormat="false" ht="15" hidden="false" customHeight="true" outlineLevel="0" collapsed="false">
      <c r="A465" s="19"/>
      <c r="B465" s="17"/>
      <c r="C465" s="11" t="str">
        <f aca="false">IF(B465="","",IFERROR(INDEX(Students!$B$4:$B$203,MATCH(B465,Students!$A$4:$A$203,0)),""))</f>
        <v/>
      </c>
      <c r="D465" s="11" t="str">
        <f aca="false">IF(B465="","",IFERROR(INDEX(Students!$H$4:$H$203,MATCH(B465,Students!$A$4:$A$203,0)),""))</f>
        <v/>
      </c>
      <c r="E465" s="18"/>
      <c r="F465" s="18"/>
      <c r="G465" s="18"/>
      <c r="H465" s="18"/>
      <c r="I465" s="18"/>
      <c r="J465" s="18"/>
      <c r="K465" s="18"/>
      <c r="L465" s="18"/>
    </row>
    <row r="466" customFormat="false" ht="15" hidden="false" customHeight="true" outlineLevel="0" collapsed="false">
      <c r="A466" s="19"/>
      <c r="B466" s="17"/>
      <c r="C466" s="11" t="str">
        <f aca="false">IF(B466="","",IFERROR(INDEX(Students!$B$4:$B$203,MATCH(B466,Students!$A$4:$A$203,0)),""))</f>
        <v/>
      </c>
      <c r="D466" s="11" t="str">
        <f aca="false">IF(B466="","",IFERROR(INDEX(Students!$H$4:$H$203,MATCH(B466,Students!$A$4:$A$203,0)),""))</f>
        <v/>
      </c>
      <c r="E466" s="18"/>
      <c r="F466" s="18"/>
      <c r="G466" s="18"/>
      <c r="H466" s="18"/>
      <c r="I466" s="18"/>
      <c r="J466" s="18"/>
      <c r="K466" s="18"/>
      <c r="L466" s="18"/>
    </row>
    <row r="467" customFormat="false" ht="15" hidden="false" customHeight="true" outlineLevel="0" collapsed="false">
      <c r="A467" s="19"/>
      <c r="B467" s="17"/>
      <c r="C467" s="11" t="str">
        <f aca="false">IF(B467="","",IFERROR(INDEX(Students!$B$4:$B$203,MATCH(B467,Students!$A$4:$A$203,0)),""))</f>
        <v/>
      </c>
      <c r="D467" s="11" t="str">
        <f aca="false">IF(B467="","",IFERROR(INDEX(Students!$H$4:$H$203,MATCH(B467,Students!$A$4:$A$203,0)),""))</f>
        <v/>
      </c>
      <c r="E467" s="18"/>
      <c r="F467" s="18"/>
      <c r="G467" s="18"/>
      <c r="H467" s="18"/>
      <c r="I467" s="18"/>
      <c r="J467" s="18"/>
      <c r="K467" s="18"/>
      <c r="L467" s="18"/>
    </row>
    <row r="468" customFormat="false" ht="15" hidden="false" customHeight="true" outlineLevel="0" collapsed="false">
      <c r="A468" s="19"/>
      <c r="B468" s="17"/>
      <c r="C468" s="11" t="str">
        <f aca="false">IF(B468="","",IFERROR(INDEX(Students!$B$4:$B$203,MATCH(B468,Students!$A$4:$A$203,0)),""))</f>
        <v/>
      </c>
      <c r="D468" s="11" t="str">
        <f aca="false">IF(B468="","",IFERROR(INDEX(Students!$H$4:$H$203,MATCH(B468,Students!$A$4:$A$203,0)),""))</f>
        <v/>
      </c>
      <c r="E468" s="18"/>
      <c r="F468" s="18"/>
      <c r="G468" s="18"/>
      <c r="H468" s="18"/>
      <c r="I468" s="18"/>
      <c r="J468" s="18"/>
      <c r="K468" s="18"/>
      <c r="L468" s="18"/>
    </row>
    <row r="469" customFormat="false" ht="15" hidden="false" customHeight="true" outlineLevel="0" collapsed="false">
      <c r="A469" s="19"/>
      <c r="B469" s="17"/>
      <c r="C469" s="11" t="str">
        <f aca="false">IF(B469="","",IFERROR(INDEX(Students!$B$4:$B$203,MATCH(B469,Students!$A$4:$A$203,0)),""))</f>
        <v/>
      </c>
      <c r="D469" s="11" t="str">
        <f aca="false">IF(B469="","",IFERROR(INDEX(Students!$H$4:$H$203,MATCH(B469,Students!$A$4:$A$203,0)),""))</f>
        <v/>
      </c>
      <c r="E469" s="18"/>
      <c r="F469" s="18"/>
      <c r="G469" s="18"/>
      <c r="H469" s="18"/>
      <c r="I469" s="18"/>
      <c r="J469" s="18"/>
      <c r="K469" s="18"/>
      <c r="L469" s="18"/>
    </row>
    <row r="470" customFormat="false" ht="15" hidden="false" customHeight="true" outlineLevel="0" collapsed="false">
      <c r="A470" s="19"/>
      <c r="B470" s="17"/>
      <c r="C470" s="11" t="str">
        <f aca="false">IF(B470="","",IFERROR(INDEX(Students!$B$4:$B$203,MATCH(B470,Students!$A$4:$A$203,0)),""))</f>
        <v/>
      </c>
      <c r="D470" s="11" t="str">
        <f aca="false">IF(B470="","",IFERROR(INDEX(Students!$H$4:$H$203,MATCH(B470,Students!$A$4:$A$203,0)),""))</f>
        <v/>
      </c>
      <c r="E470" s="18"/>
      <c r="F470" s="18"/>
      <c r="G470" s="18"/>
      <c r="H470" s="18"/>
      <c r="I470" s="18"/>
      <c r="J470" s="18"/>
      <c r="K470" s="18"/>
      <c r="L470" s="18"/>
    </row>
    <row r="471" customFormat="false" ht="15" hidden="false" customHeight="true" outlineLevel="0" collapsed="false">
      <c r="A471" s="19"/>
      <c r="B471" s="17"/>
      <c r="C471" s="11" t="str">
        <f aca="false">IF(B471="","",IFERROR(INDEX(Students!$B$4:$B$203,MATCH(B471,Students!$A$4:$A$203,0)),""))</f>
        <v/>
      </c>
      <c r="D471" s="11" t="str">
        <f aca="false">IF(B471="","",IFERROR(INDEX(Students!$H$4:$H$203,MATCH(B471,Students!$A$4:$A$203,0)),""))</f>
        <v/>
      </c>
      <c r="E471" s="18"/>
      <c r="F471" s="18"/>
      <c r="G471" s="18"/>
      <c r="H471" s="18"/>
      <c r="I471" s="18"/>
      <c r="J471" s="18"/>
      <c r="K471" s="18"/>
      <c r="L471" s="18"/>
    </row>
    <row r="472" customFormat="false" ht="15" hidden="false" customHeight="true" outlineLevel="0" collapsed="false">
      <c r="A472" s="19"/>
      <c r="B472" s="17"/>
      <c r="C472" s="11" t="str">
        <f aca="false">IF(B472="","",IFERROR(INDEX(Students!$B$4:$B$203,MATCH(B472,Students!$A$4:$A$203,0)),""))</f>
        <v/>
      </c>
      <c r="D472" s="11" t="str">
        <f aca="false">IF(B472="","",IFERROR(INDEX(Students!$H$4:$H$203,MATCH(B472,Students!$A$4:$A$203,0)),""))</f>
        <v/>
      </c>
      <c r="E472" s="18"/>
      <c r="F472" s="18"/>
      <c r="G472" s="18"/>
      <c r="H472" s="18"/>
      <c r="I472" s="18"/>
      <c r="J472" s="18"/>
      <c r="K472" s="18"/>
      <c r="L472" s="18"/>
    </row>
    <row r="473" customFormat="false" ht="15" hidden="false" customHeight="true" outlineLevel="0" collapsed="false">
      <c r="A473" s="19"/>
      <c r="B473" s="17"/>
      <c r="C473" s="11" t="str">
        <f aca="false">IF(B473="","",IFERROR(INDEX(Students!$B$4:$B$203,MATCH(B473,Students!$A$4:$A$203,0)),""))</f>
        <v/>
      </c>
      <c r="D473" s="11" t="str">
        <f aca="false">IF(B473="","",IFERROR(INDEX(Students!$H$4:$H$203,MATCH(B473,Students!$A$4:$A$203,0)),""))</f>
        <v/>
      </c>
      <c r="E473" s="18"/>
      <c r="F473" s="18"/>
      <c r="G473" s="18"/>
      <c r="H473" s="18"/>
      <c r="I473" s="18"/>
      <c r="J473" s="18"/>
      <c r="K473" s="18"/>
      <c r="L473" s="18"/>
    </row>
    <row r="474" customFormat="false" ht="15" hidden="false" customHeight="true" outlineLevel="0" collapsed="false">
      <c r="A474" s="19"/>
      <c r="B474" s="17"/>
      <c r="C474" s="11" t="str">
        <f aca="false">IF(B474="","",IFERROR(INDEX(Students!$B$4:$B$203,MATCH(B474,Students!$A$4:$A$203,0)),""))</f>
        <v/>
      </c>
      <c r="D474" s="11" t="str">
        <f aca="false">IF(B474="","",IFERROR(INDEX(Students!$H$4:$H$203,MATCH(B474,Students!$A$4:$A$203,0)),""))</f>
        <v/>
      </c>
      <c r="E474" s="18"/>
      <c r="F474" s="18"/>
      <c r="G474" s="18"/>
      <c r="H474" s="18"/>
      <c r="I474" s="18"/>
      <c r="J474" s="18"/>
      <c r="K474" s="18"/>
      <c r="L474" s="18"/>
    </row>
    <row r="475" customFormat="false" ht="15" hidden="false" customHeight="true" outlineLevel="0" collapsed="false">
      <c r="A475" s="19"/>
      <c r="B475" s="17"/>
      <c r="C475" s="11" t="str">
        <f aca="false">IF(B475="","",IFERROR(INDEX(Students!$B$4:$B$203,MATCH(B475,Students!$A$4:$A$203,0)),""))</f>
        <v/>
      </c>
      <c r="D475" s="11" t="str">
        <f aca="false">IF(B475="","",IFERROR(INDEX(Students!$H$4:$H$203,MATCH(B475,Students!$A$4:$A$203,0)),""))</f>
        <v/>
      </c>
      <c r="E475" s="18"/>
      <c r="F475" s="18"/>
      <c r="G475" s="18"/>
      <c r="H475" s="18"/>
      <c r="I475" s="18"/>
      <c r="J475" s="18"/>
      <c r="K475" s="18"/>
      <c r="L475" s="18"/>
    </row>
    <row r="476" customFormat="false" ht="15" hidden="false" customHeight="true" outlineLevel="0" collapsed="false">
      <c r="A476" s="19"/>
      <c r="B476" s="17"/>
      <c r="C476" s="11" t="str">
        <f aca="false">IF(B476="","",IFERROR(INDEX(Students!$B$4:$B$203,MATCH(B476,Students!$A$4:$A$203,0)),""))</f>
        <v/>
      </c>
      <c r="D476" s="11" t="str">
        <f aca="false">IF(B476="","",IFERROR(INDEX(Students!$H$4:$H$203,MATCH(B476,Students!$A$4:$A$203,0)),""))</f>
        <v/>
      </c>
      <c r="E476" s="18"/>
      <c r="F476" s="18"/>
      <c r="G476" s="18"/>
      <c r="H476" s="18"/>
      <c r="I476" s="18"/>
      <c r="J476" s="18"/>
      <c r="K476" s="18"/>
      <c r="L476" s="18"/>
    </row>
    <row r="477" customFormat="false" ht="15" hidden="false" customHeight="true" outlineLevel="0" collapsed="false">
      <c r="A477" s="19"/>
      <c r="B477" s="17"/>
      <c r="C477" s="11" t="str">
        <f aca="false">IF(B477="","",IFERROR(INDEX(Students!$B$4:$B$203,MATCH(B477,Students!$A$4:$A$203,0)),""))</f>
        <v/>
      </c>
      <c r="D477" s="11" t="str">
        <f aca="false">IF(B477="","",IFERROR(INDEX(Students!$H$4:$H$203,MATCH(B477,Students!$A$4:$A$203,0)),""))</f>
        <v/>
      </c>
      <c r="E477" s="18"/>
      <c r="F477" s="18"/>
      <c r="G477" s="18"/>
      <c r="H477" s="18"/>
      <c r="I477" s="18"/>
      <c r="J477" s="18"/>
      <c r="K477" s="18"/>
      <c r="L477" s="18"/>
    </row>
    <row r="478" customFormat="false" ht="15" hidden="false" customHeight="true" outlineLevel="0" collapsed="false">
      <c r="A478" s="19"/>
      <c r="B478" s="17"/>
      <c r="C478" s="11" t="str">
        <f aca="false">IF(B478="","",IFERROR(INDEX(Students!$B$4:$B$203,MATCH(B478,Students!$A$4:$A$203,0)),""))</f>
        <v/>
      </c>
      <c r="D478" s="11" t="str">
        <f aca="false">IF(B478="","",IFERROR(INDEX(Students!$H$4:$H$203,MATCH(B478,Students!$A$4:$A$203,0)),""))</f>
        <v/>
      </c>
      <c r="E478" s="18"/>
      <c r="F478" s="18"/>
      <c r="G478" s="18"/>
      <c r="H478" s="18"/>
      <c r="I478" s="18"/>
      <c r="J478" s="18"/>
      <c r="K478" s="18"/>
      <c r="L478" s="18"/>
    </row>
    <row r="479" customFormat="false" ht="15" hidden="false" customHeight="true" outlineLevel="0" collapsed="false">
      <c r="A479" s="19"/>
      <c r="B479" s="17"/>
      <c r="C479" s="11" t="str">
        <f aca="false">IF(B479="","",IFERROR(INDEX(Students!$B$4:$B$203,MATCH(B479,Students!$A$4:$A$203,0)),""))</f>
        <v/>
      </c>
      <c r="D479" s="11" t="str">
        <f aca="false">IF(B479="","",IFERROR(INDEX(Students!$H$4:$H$203,MATCH(B479,Students!$A$4:$A$203,0)),""))</f>
        <v/>
      </c>
      <c r="E479" s="18"/>
      <c r="F479" s="18"/>
      <c r="G479" s="18"/>
      <c r="H479" s="18"/>
      <c r="I479" s="18"/>
      <c r="J479" s="18"/>
      <c r="K479" s="18"/>
      <c r="L479" s="18"/>
    </row>
    <row r="480" customFormat="false" ht="15" hidden="false" customHeight="true" outlineLevel="0" collapsed="false">
      <c r="A480" s="19"/>
      <c r="B480" s="17"/>
      <c r="C480" s="11" t="str">
        <f aca="false">IF(B480="","",IFERROR(INDEX(Students!$B$4:$B$203,MATCH(B480,Students!$A$4:$A$203,0)),""))</f>
        <v/>
      </c>
      <c r="D480" s="11" t="str">
        <f aca="false">IF(B480="","",IFERROR(INDEX(Students!$H$4:$H$203,MATCH(B480,Students!$A$4:$A$203,0)),""))</f>
        <v/>
      </c>
      <c r="E480" s="18"/>
      <c r="F480" s="18"/>
      <c r="G480" s="18"/>
      <c r="H480" s="18"/>
      <c r="I480" s="18"/>
      <c r="J480" s="18"/>
      <c r="K480" s="18"/>
      <c r="L480" s="18"/>
    </row>
    <row r="481" customFormat="false" ht="15" hidden="false" customHeight="true" outlineLevel="0" collapsed="false">
      <c r="A481" s="19"/>
      <c r="B481" s="17"/>
      <c r="C481" s="11" t="str">
        <f aca="false">IF(B481="","",IFERROR(INDEX(Students!$B$4:$B$203,MATCH(B481,Students!$A$4:$A$203,0)),""))</f>
        <v/>
      </c>
      <c r="D481" s="11" t="str">
        <f aca="false">IF(B481="","",IFERROR(INDEX(Students!$H$4:$H$203,MATCH(B481,Students!$A$4:$A$203,0)),""))</f>
        <v/>
      </c>
      <c r="E481" s="18"/>
      <c r="F481" s="18"/>
      <c r="G481" s="18"/>
      <c r="H481" s="18"/>
      <c r="I481" s="18"/>
      <c r="J481" s="18"/>
      <c r="K481" s="18"/>
      <c r="L481" s="18"/>
    </row>
    <row r="482" customFormat="false" ht="15" hidden="false" customHeight="true" outlineLevel="0" collapsed="false">
      <c r="A482" s="19"/>
      <c r="B482" s="17"/>
      <c r="C482" s="11" t="str">
        <f aca="false">IF(B482="","",IFERROR(INDEX(Students!$B$4:$B$203,MATCH(B482,Students!$A$4:$A$203,0)),""))</f>
        <v/>
      </c>
      <c r="D482" s="11" t="str">
        <f aca="false">IF(B482="","",IFERROR(INDEX(Students!$H$4:$H$203,MATCH(B482,Students!$A$4:$A$203,0)),""))</f>
        <v/>
      </c>
      <c r="E482" s="18"/>
      <c r="F482" s="18"/>
      <c r="G482" s="18"/>
      <c r="H482" s="18"/>
      <c r="I482" s="18"/>
      <c r="J482" s="18"/>
      <c r="K482" s="18"/>
      <c r="L482" s="18"/>
    </row>
    <row r="483" customFormat="false" ht="15" hidden="false" customHeight="true" outlineLevel="0" collapsed="false">
      <c r="A483" s="19"/>
      <c r="B483" s="17"/>
      <c r="C483" s="11" t="str">
        <f aca="false">IF(B483="","",IFERROR(INDEX(Students!$B$4:$B$203,MATCH(B483,Students!$A$4:$A$203,0)),""))</f>
        <v/>
      </c>
      <c r="D483" s="11" t="str">
        <f aca="false">IF(B483="","",IFERROR(INDEX(Students!$H$4:$H$203,MATCH(B483,Students!$A$4:$A$203,0)),""))</f>
        <v/>
      </c>
      <c r="E483" s="18"/>
      <c r="F483" s="18"/>
      <c r="G483" s="18"/>
      <c r="H483" s="18"/>
      <c r="I483" s="18"/>
      <c r="J483" s="18"/>
      <c r="K483" s="18"/>
      <c r="L483" s="18"/>
    </row>
    <row r="484" customFormat="false" ht="15" hidden="false" customHeight="true" outlineLevel="0" collapsed="false">
      <c r="A484" s="19"/>
      <c r="B484" s="17"/>
      <c r="C484" s="11" t="str">
        <f aca="false">IF(B484="","",IFERROR(INDEX(Students!$B$4:$B$203,MATCH(B484,Students!$A$4:$A$203,0)),""))</f>
        <v/>
      </c>
      <c r="D484" s="11" t="str">
        <f aca="false">IF(B484="","",IFERROR(INDEX(Students!$H$4:$H$203,MATCH(B484,Students!$A$4:$A$203,0)),""))</f>
        <v/>
      </c>
      <c r="E484" s="18"/>
      <c r="F484" s="18"/>
      <c r="G484" s="18"/>
      <c r="H484" s="18"/>
      <c r="I484" s="18"/>
      <c r="J484" s="18"/>
      <c r="K484" s="18"/>
      <c r="L484" s="18"/>
    </row>
    <row r="485" customFormat="false" ht="15" hidden="false" customHeight="true" outlineLevel="0" collapsed="false">
      <c r="A485" s="19"/>
      <c r="B485" s="17"/>
      <c r="C485" s="11" t="str">
        <f aca="false">IF(B485="","",IFERROR(INDEX(Students!$B$4:$B$203,MATCH(B485,Students!$A$4:$A$203,0)),""))</f>
        <v/>
      </c>
      <c r="D485" s="11" t="str">
        <f aca="false">IF(B485="","",IFERROR(INDEX(Students!$H$4:$H$203,MATCH(B485,Students!$A$4:$A$203,0)),""))</f>
        <v/>
      </c>
      <c r="E485" s="18"/>
      <c r="F485" s="18"/>
      <c r="G485" s="18"/>
      <c r="H485" s="18"/>
      <c r="I485" s="18"/>
      <c r="J485" s="18"/>
      <c r="K485" s="18"/>
      <c r="L485" s="18"/>
    </row>
    <row r="486" customFormat="false" ht="15" hidden="false" customHeight="true" outlineLevel="0" collapsed="false">
      <c r="A486" s="19"/>
      <c r="B486" s="17"/>
      <c r="C486" s="11" t="str">
        <f aca="false">IF(B486="","",IFERROR(INDEX(Students!$B$4:$B$203,MATCH(B486,Students!$A$4:$A$203,0)),""))</f>
        <v/>
      </c>
      <c r="D486" s="11" t="str">
        <f aca="false">IF(B486="","",IFERROR(INDEX(Students!$H$4:$H$203,MATCH(B486,Students!$A$4:$A$203,0)),""))</f>
        <v/>
      </c>
      <c r="E486" s="18"/>
      <c r="F486" s="18"/>
      <c r="G486" s="18"/>
      <c r="H486" s="18"/>
      <c r="I486" s="18"/>
      <c r="J486" s="18"/>
      <c r="K486" s="18"/>
      <c r="L486" s="18"/>
    </row>
    <row r="487" customFormat="false" ht="15" hidden="false" customHeight="true" outlineLevel="0" collapsed="false">
      <c r="A487" s="19"/>
      <c r="B487" s="17"/>
      <c r="C487" s="11" t="str">
        <f aca="false">IF(B487="","",IFERROR(INDEX(Students!$B$4:$B$203,MATCH(B487,Students!$A$4:$A$203,0)),""))</f>
        <v/>
      </c>
      <c r="D487" s="11" t="str">
        <f aca="false">IF(B487="","",IFERROR(INDEX(Students!$H$4:$H$203,MATCH(B487,Students!$A$4:$A$203,0)),""))</f>
        <v/>
      </c>
      <c r="E487" s="18"/>
      <c r="F487" s="18"/>
      <c r="G487" s="18"/>
      <c r="H487" s="18"/>
      <c r="I487" s="18"/>
      <c r="J487" s="18"/>
      <c r="K487" s="18"/>
      <c r="L487" s="18"/>
    </row>
    <row r="488" customFormat="false" ht="15" hidden="false" customHeight="true" outlineLevel="0" collapsed="false">
      <c r="A488" s="19"/>
      <c r="B488" s="17"/>
      <c r="C488" s="11" t="str">
        <f aca="false">IF(B488="","",IFERROR(INDEX(Students!$B$4:$B$203,MATCH(B488,Students!$A$4:$A$203,0)),""))</f>
        <v/>
      </c>
      <c r="D488" s="11" t="str">
        <f aca="false">IF(B488="","",IFERROR(INDEX(Students!$H$4:$H$203,MATCH(B488,Students!$A$4:$A$203,0)),""))</f>
        <v/>
      </c>
      <c r="E488" s="18"/>
      <c r="F488" s="18"/>
      <c r="G488" s="18"/>
      <c r="H488" s="18"/>
      <c r="I488" s="18"/>
      <c r="J488" s="18"/>
      <c r="K488" s="18"/>
      <c r="L488" s="18"/>
    </row>
    <row r="489" customFormat="false" ht="15" hidden="false" customHeight="true" outlineLevel="0" collapsed="false">
      <c r="A489" s="19"/>
      <c r="B489" s="17"/>
      <c r="C489" s="11" t="str">
        <f aca="false">IF(B489="","",IFERROR(INDEX(Students!$B$4:$B$203,MATCH(B489,Students!$A$4:$A$203,0)),""))</f>
        <v/>
      </c>
      <c r="D489" s="11" t="str">
        <f aca="false">IF(B489="","",IFERROR(INDEX(Students!$H$4:$H$203,MATCH(B489,Students!$A$4:$A$203,0)),""))</f>
        <v/>
      </c>
      <c r="E489" s="18"/>
      <c r="F489" s="18"/>
      <c r="G489" s="18"/>
      <c r="H489" s="18"/>
      <c r="I489" s="18"/>
      <c r="J489" s="18"/>
      <c r="K489" s="18"/>
      <c r="L489" s="18"/>
    </row>
    <row r="490" customFormat="false" ht="15" hidden="false" customHeight="true" outlineLevel="0" collapsed="false">
      <c r="A490" s="19"/>
      <c r="B490" s="17"/>
      <c r="C490" s="11" t="str">
        <f aca="false">IF(B490="","",IFERROR(INDEX(Students!$B$4:$B$203,MATCH(B490,Students!$A$4:$A$203,0)),""))</f>
        <v/>
      </c>
      <c r="D490" s="11" t="str">
        <f aca="false">IF(B490="","",IFERROR(INDEX(Students!$H$4:$H$203,MATCH(B490,Students!$A$4:$A$203,0)),""))</f>
        <v/>
      </c>
      <c r="E490" s="18"/>
      <c r="F490" s="18"/>
      <c r="G490" s="18"/>
      <c r="H490" s="18"/>
      <c r="I490" s="18"/>
      <c r="J490" s="18"/>
      <c r="K490" s="18"/>
      <c r="L490" s="18"/>
    </row>
    <row r="491" customFormat="false" ht="15" hidden="false" customHeight="true" outlineLevel="0" collapsed="false">
      <c r="A491" s="19"/>
      <c r="B491" s="17"/>
      <c r="C491" s="11" t="str">
        <f aca="false">IF(B491="","",IFERROR(INDEX(Students!$B$4:$B$203,MATCH(B491,Students!$A$4:$A$203,0)),""))</f>
        <v/>
      </c>
      <c r="D491" s="11" t="str">
        <f aca="false">IF(B491="","",IFERROR(INDEX(Students!$H$4:$H$203,MATCH(B491,Students!$A$4:$A$203,0)),""))</f>
        <v/>
      </c>
      <c r="E491" s="18"/>
      <c r="F491" s="18"/>
      <c r="G491" s="18"/>
      <c r="H491" s="18"/>
      <c r="I491" s="18"/>
      <c r="J491" s="18"/>
      <c r="K491" s="18"/>
      <c r="L491" s="18"/>
    </row>
    <row r="492" customFormat="false" ht="15" hidden="false" customHeight="true" outlineLevel="0" collapsed="false">
      <c r="A492" s="19"/>
      <c r="B492" s="17"/>
      <c r="C492" s="11" t="str">
        <f aca="false">IF(B492="","",IFERROR(INDEX(Students!$B$4:$B$203,MATCH(B492,Students!$A$4:$A$203,0)),""))</f>
        <v/>
      </c>
      <c r="D492" s="11" t="str">
        <f aca="false">IF(B492="","",IFERROR(INDEX(Students!$H$4:$H$203,MATCH(B492,Students!$A$4:$A$203,0)),""))</f>
        <v/>
      </c>
      <c r="E492" s="18"/>
      <c r="F492" s="18"/>
      <c r="G492" s="18"/>
      <c r="H492" s="18"/>
      <c r="I492" s="18"/>
      <c r="J492" s="18"/>
      <c r="K492" s="18"/>
      <c r="L492" s="18"/>
    </row>
    <row r="493" customFormat="false" ht="15" hidden="false" customHeight="true" outlineLevel="0" collapsed="false">
      <c r="A493" s="19"/>
      <c r="B493" s="17"/>
      <c r="C493" s="11" t="str">
        <f aca="false">IF(B493="","",IFERROR(INDEX(Students!$B$4:$B$203,MATCH(B493,Students!$A$4:$A$203,0)),""))</f>
        <v/>
      </c>
      <c r="D493" s="11" t="str">
        <f aca="false">IF(B493="","",IFERROR(INDEX(Students!$H$4:$H$203,MATCH(B493,Students!$A$4:$A$203,0)),""))</f>
        <v/>
      </c>
      <c r="E493" s="18"/>
      <c r="F493" s="18"/>
      <c r="G493" s="18"/>
      <c r="H493" s="18"/>
      <c r="I493" s="18"/>
      <c r="J493" s="18"/>
      <c r="K493" s="18"/>
      <c r="L493" s="18"/>
    </row>
    <row r="494" customFormat="false" ht="15" hidden="false" customHeight="true" outlineLevel="0" collapsed="false">
      <c r="A494" s="19"/>
      <c r="B494" s="17"/>
      <c r="C494" s="11" t="str">
        <f aca="false">IF(B494="","",IFERROR(INDEX(Students!$B$4:$B$203,MATCH(B494,Students!$A$4:$A$203,0)),""))</f>
        <v/>
      </c>
      <c r="D494" s="11" t="str">
        <f aca="false">IF(B494="","",IFERROR(INDEX(Students!$H$4:$H$203,MATCH(B494,Students!$A$4:$A$203,0)),""))</f>
        <v/>
      </c>
      <c r="E494" s="18"/>
      <c r="F494" s="18"/>
      <c r="G494" s="18"/>
      <c r="H494" s="18"/>
      <c r="I494" s="18"/>
      <c r="J494" s="18"/>
      <c r="K494" s="18"/>
      <c r="L494" s="18"/>
    </row>
    <row r="495" customFormat="false" ht="15" hidden="false" customHeight="true" outlineLevel="0" collapsed="false">
      <c r="A495" s="19"/>
      <c r="B495" s="17"/>
      <c r="C495" s="11" t="str">
        <f aca="false">IF(B495="","",IFERROR(INDEX(Students!$B$4:$B$203,MATCH(B495,Students!$A$4:$A$203,0)),""))</f>
        <v/>
      </c>
      <c r="D495" s="11" t="str">
        <f aca="false">IF(B495="","",IFERROR(INDEX(Students!$H$4:$H$203,MATCH(B495,Students!$A$4:$A$203,0)),""))</f>
        <v/>
      </c>
      <c r="E495" s="18"/>
      <c r="F495" s="18"/>
      <c r="G495" s="18"/>
      <c r="H495" s="18"/>
      <c r="I495" s="18"/>
      <c r="J495" s="18"/>
      <c r="K495" s="18"/>
      <c r="L495" s="18"/>
    </row>
    <row r="496" customFormat="false" ht="15" hidden="false" customHeight="true" outlineLevel="0" collapsed="false">
      <c r="A496" s="19"/>
      <c r="B496" s="17"/>
      <c r="C496" s="11" t="str">
        <f aca="false">IF(B496="","",IFERROR(INDEX(Students!$B$4:$B$203,MATCH(B496,Students!$A$4:$A$203,0)),""))</f>
        <v/>
      </c>
      <c r="D496" s="11" t="str">
        <f aca="false">IF(B496="","",IFERROR(INDEX(Students!$H$4:$H$203,MATCH(B496,Students!$A$4:$A$203,0)),""))</f>
        <v/>
      </c>
      <c r="E496" s="18"/>
      <c r="F496" s="18"/>
      <c r="G496" s="18"/>
      <c r="H496" s="18"/>
      <c r="I496" s="18"/>
      <c r="J496" s="18"/>
      <c r="K496" s="18"/>
      <c r="L496" s="18"/>
    </row>
    <row r="497" customFormat="false" ht="15" hidden="false" customHeight="true" outlineLevel="0" collapsed="false">
      <c r="A497" s="19"/>
      <c r="B497" s="17"/>
      <c r="C497" s="11" t="str">
        <f aca="false">IF(B497="","",IFERROR(INDEX(Students!$B$4:$B$203,MATCH(B497,Students!$A$4:$A$203,0)),""))</f>
        <v/>
      </c>
      <c r="D497" s="11" t="str">
        <f aca="false">IF(B497="","",IFERROR(INDEX(Students!$H$4:$H$203,MATCH(B497,Students!$A$4:$A$203,0)),""))</f>
        <v/>
      </c>
      <c r="E497" s="18"/>
      <c r="F497" s="18"/>
      <c r="G497" s="18"/>
      <c r="H497" s="18"/>
      <c r="I497" s="18"/>
      <c r="J497" s="18"/>
      <c r="K497" s="18"/>
      <c r="L497" s="18"/>
    </row>
    <row r="498" customFormat="false" ht="15" hidden="false" customHeight="true" outlineLevel="0" collapsed="false">
      <c r="A498" s="19"/>
      <c r="B498" s="17"/>
      <c r="C498" s="11" t="str">
        <f aca="false">IF(B498="","",IFERROR(INDEX(Students!$B$4:$B$203,MATCH(B498,Students!$A$4:$A$203,0)),""))</f>
        <v/>
      </c>
      <c r="D498" s="11" t="str">
        <f aca="false">IF(B498="","",IFERROR(INDEX(Students!$H$4:$H$203,MATCH(B498,Students!$A$4:$A$203,0)),""))</f>
        <v/>
      </c>
      <c r="E498" s="18"/>
      <c r="F498" s="18"/>
      <c r="G498" s="18"/>
      <c r="H498" s="18"/>
      <c r="I498" s="18"/>
      <c r="J498" s="18"/>
      <c r="K498" s="18"/>
      <c r="L498" s="18"/>
    </row>
    <row r="499" customFormat="false" ht="15" hidden="false" customHeight="true" outlineLevel="0" collapsed="false">
      <c r="A499" s="19"/>
      <c r="B499" s="17"/>
      <c r="C499" s="11" t="str">
        <f aca="false">IF(B499="","",IFERROR(INDEX(Students!$B$4:$B$203,MATCH(B499,Students!$A$4:$A$203,0)),""))</f>
        <v/>
      </c>
      <c r="D499" s="11" t="str">
        <f aca="false">IF(B499="","",IFERROR(INDEX(Students!$H$4:$H$203,MATCH(B499,Students!$A$4:$A$203,0)),""))</f>
        <v/>
      </c>
      <c r="E499" s="18"/>
      <c r="F499" s="18"/>
      <c r="G499" s="18"/>
      <c r="H499" s="18"/>
      <c r="I499" s="18"/>
      <c r="J499" s="18"/>
      <c r="K499" s="18"/>
      <c r="L499" s="18"/>
    </row>
    <row r="500" customFormat="false" ht="15" hidden="false" customHeight="true" outlineLevel="0" collapsed="false">
      <c r="A500" s="19"/>
      <c r="B500" s="17"/>
      <c r="C500" s="11" t="str">
        <f aca="false">IF(B500="","",IFERROR(INDEX(Students!$B$4:$B$203,MATCH(B500,Students!$A$4:$A$203,0)),""))</f>
        <v/>
      </c>
      <c r="D500" s="11" t="str">
        <f aca="false">IF(B500="","",IFERROR(INDEX(Students!$H$4:$H$203,MATCH(B500,Students!$A$4:$A$203,0)),""))</f>
        <v/>
      </c>
      <c r="E500" s="18"/>
      <c r="F500" s="18"/>
      <c r="G500" s="18"/>
      <c r="H500" s="18"/>
      <c r="I500" s="18"/>
      <c r="J500" s="18"/>
      <c r="K500" s="18"/>
      <c r="L500" s="18"/>
    </row>
    <row r="501" customFormat="false" ht="15" hidden="false" customHeight="true" outlineLevel="0" collapsed="false">
      <c r="A501" s="19"/>
      <c r="B501" s="17"/>
      <c r="C501" s="11" t="str">
        <f aca="false">IF(B501="","",IFERROR(INDEX(Students!$B$4:$B$203,MATCH(B501,Students!$A$4:$A$203,0)),""))</f>
        <v/>
      </c>
      <c r="D501" s="11" t="str">
        <f aca="false">IF(B501="","",IFERROR(INDEX(Students!$H$4:$H$203,MATCH(B501,Students!$A$4:$A$203,0)),""))</f>
        <v/>
      </c>
      <c r="E501" s="18"/>
      <c r="F501" s="18"/>
      <c r="G501" s="18"/>
      <c r="H501" s="18"/>
      <c r="I501" s="18"/>
      <c r="J501" s="18"/>
      <c r="K501" s="18"/>
      <c r="L501" s="18"/>
    </row>
    <row r="502" customFormat="false" ht="15" hidden="false" customHeight="true" outlineLevel="0" collapsed="false">
      <c r="A502" s="19"/>
      <c r="B502" s="17"/>
      <c r="C502" s="11" t="str">
        <f aca="false">IF(B502="","",IFERROR(INDEX(Students!$B$4:$B$203,MATCH(B502,Students!$A$4:$A$203,0)),""))</f>
        <v/>
      </c>
      <c r="D502" s="11" t="str">
        <f aca="false">IF(B502="","",IFERROR(INDEX(Students!$H$4:$H$203,MATCH(B502,Students!$A$4:$A$203,0)),""))</f>
        <v/>
      </c>
      <c r="E502" s="18"/>
      <c r="F502" s="18"/>
      <c r="G502" s="18"/>
      <c r="H502" s="18"/>
      <c r="I502" s="18"/>
      <c r="J502" s="18"/>
      <c r="K502" s="18"/>
      <c r="L502" s="18"/>
    </row>
    <row r="503" customFormat="false" ht="15" hidden="false" customHeight="true" outlineLevel="0" collapsed="false">
      <c r="A503" s="19"/>
      <c r="B503" s="17"/>
      <c r="C503" s="11" t="str">
        <f aca="false">IF(B503="","",IFERROR(INDEX(Students!$B$4:$B$203,MATCH(B503,Students!$A$4:$A$203,0)),""))</f>
        <v/>
      </c>
      <c r="D503" s="11" t="str">
        <f aca="false">IF(B503="","",IFERROR(INDEX(Students!$H$4:$H$203,MATCH(B503,Students!$A$4:$A$203,0)),""))</f>
        <v/>
      </c>
      <c r="E503" s="18"/>
      <c r="F503" s="18"/>
      <c r="G503" s="18"/>
      <c r="H503" s="18"/>
      <c r="I503" s="18"/>
      <c r="J503" s="18"/>
      <c r="K503" s="18"/>
      <c r="L503" s="18"/>
    </row>
    <row r="504" customFormat="false" ht="15" hidden="false" customHeight="true" outlineLevel="0" collapsed="false">
      <c r="A504" s="19"/>
      <c r="B504" s="17"/>
      <c r="C504" s="11" t="str">
        <f aca="false">IF(B504="","",IFERROR(INDEX(Students!$B$4:$B$203,MATCH(B504,Students!$A$4:$A$203,0)),""))</f>
        <v/>
      </c>
      <c r="D504" s="11" t="str">
        <f aca="false">IF(B504="","",IFERROR(INDEX(Students!$H$4:$H$203,MATCH(B504,Students!$A$4:$A$203,0)),""))</f>
        <v/>
      </c>
      <c r="E504" s="18"/>
      <c r="F504" s="18"/>
      <c r="G504" s="18"/>
      <c r="H504" s="18"/>
      <c r="I504" s="18"/>
      <c r="J504" s="18"/>
      <c r="K504" s="18"/>
      <c r="L504" s="18"/>
    </row>
    <row r="505" customFormat="false" ht="15" hidden="false" customHeight="true" outlineLevel="0" collapsed="false">
      <c r="A505" s="19"/>
      <c r="B505" s="17"/>
      <c r="C505" s="11" t="str">
        <f aca="false">IF(B505="","",IFERROR(INDEX(Students!$B$4:$B$203,MATCH(B505,Students!$A$4:$A$203,0)),""))</f>
        <v/>
      </c>
      <c r="D505" s="11" t="str">
        <f aca="false">IF(B505="","",IFERROR(INDEX(Students!$H$4:$H$203,MATCH(B505,Students!$A$4:$A$203,0)),""))</f>
        <v/>
      </c>
      <c r="E505" s="18"/>
      <c r="F505" s="18"/>
      <c r="G505" s="18"/>
      <c r="H505" s="18"/>
      <c r="I505" s="18"/>
      <c r="J505" s="18"/>
      <c r="K505" s="18"/>
      <c r="L505" s="18"/>
    </row>
    <row r="506" customFormat="false" ht="15" hidden="false" customHeight="true" outlineLevel="0" collapsed="false">
      <c r="A506" s="19"/>
      <c r="B506" s="17"/>
      <c r="C506" s="11" t="str">
        <f aca="false">IF(B506="","",IFERROR(INDEX(Students!$B$4:$B$203,MATCH(B506,Students!$A$4:$A$203,0)),""))</f>
        <v/>
      </c>
      <c r="D506" s="11" t="str">
        <f aca="false">IF(B506="","",IFERROR(INDEX(Students!$H$4:$H$203,MATCH(B506,Students!$A$4:$A$203,0)),""))</f>
        <v/>
      </c>
      <c r="E506" s="18"/>
      <c r="F506" s="18"/>
      <c r="G506" s="18"/>
      <c r="H506" s="18"/>
      <c r="I506" s="18"/>
      <c r="J506" s="18"/>
      <c r="K506" s="18"/>
      <c r="L506" s="18"/>
    </row>
    <row r="507" customFormat="false" ht="15" hidden="false" customHeight="true" outlineLevel="0" collapsed="false">
      <c r="A507" s="19"/>
      <c r="B507" s="17"/>
      <c r="C507" s="11" t="str">
        <f aca="false">IF(B507="","",IFERROR(INDEX(Students!$B$4:$B$203,MATCH(B507,Students!$A$4:$A$203,0)),""))</f>
        <v/>
      </c>
      <c r="D507" s="11" t="str">
        <f aca="false">IF(B507="","",IFERROR(INDEX(Students!$H$4:$H$203,MATCH(B507,Students!$A$4:$A$203,0)),""))</f>
        <v/>
      </c>
      <c r="E507" s="18"/>
      <c r="F507" s="18"/>
      <c r="G507" s="18"/>
      <c r="H507" s="18"/>
      <c r="I507" s="18"/>
      <c r="J507" s="18"/>
      <c r="K507" s="18"/>
      <c r="L507" s="18"/>
    </row>
    <row r="508" customFormat="false" ht="15" hidden="false" customHeight="true" outlineLevel="0" collapsed="false">
      <c r="A508" s="19"/>
      <c r="B508" s="17"/>
      <c r="C508" s="11" t="str">
        <f aca="false">IF(B508="","",IFERROR(INDEX(Students!$B$4:$B$203,MATCH(B508,Students!$A$4:$A$203,0)),""))</f>
        <v/>
      </c>
      <c r="D508" s="11" t="str">
        <f aca="false">IF(B508="","",IFERROR(INDEX(Students!$H$4:$H$203,MATCH(B508,Students!$A$4:$A$203,0)),""))</f>
        <v/>
      </c>
      <c r="E508" s="18"/>
      <c r="F508" s="18"/>
      <c r="G508" s="18"/>
      <c r="H508" s="18"/>
      <c r="I508" s="18"/>
      <c r="J508" s="18"/>
      <c r="K508" s="18"/>
      <c r="L508" s="18"/>
    </row>
    <row r="509" customFormat="false" ht="15" hidden="false" customHeight="true" outlineLevel="0" collapsed="false">
      <c r="A509" s="19"/>
      <c r="B509" s="17"/>
      <c r="C509" s="11" t="str">
        <f aca="false">IF(B509="","",IFERROR(INDEX(Students!$B$4:$B$203,MATCH(B509,Students!$A$4:$A$203,0)),""))</f>
        <v/>
      </c>
      <c r="D509" s="11" t="str">
        <f aca="false">IF(B509="","",IFERROR(INDEX(Students!$H$4:$H$203,MATCH(B509,Students!$A$4:$A$203,0)),""))</f>
        <v/>
      </c>
      <c r="E509" s="18"/>
      <c r="F509" s="18"/>
      <c r="G509" s="18"/>
      <c r="H509" s="18"/>
      <c r="I509" s="18"/>
      <c r="J509" s="18"/>
      <c r="K509" s="18"/>
      <c r="L509" s="18"/>
    </row>
    <row r="510" customFormat="false" ht="15" hidden="false" customHeight="true" outlineLevel="0" collapsed="false">
      <c r="A510" s="19"/>
      <c r="B510" s="17"/>
      <c r="C510" s="11" t="str">
        <f aca="false">IF(B510="","",IFERROR(INDEX(Students!$B$4:$B$203,MATCH(B510,Students!$A$4:$A$203,0)),""))</f>
        <v/>
      </c>
      <c r="D510" s="11" t="str">
        <f aca="false">IF(B510="","",IFERROR(INDEX(Students!$H$4:$H$203,MATCH(B510,Students!$A$4:$A$203,0)),""))</f>
        <v/>
      </c>
      <c r="E510" s="18"/>
      <c r="F510" s="18"/>
      <c r="G510" s="18"/>
      <c r="H510" s="18"/>
      <c r="I510" s="18"/>
      <c r="J510" s="18"/>
      <c r="K510" s="18"/>
      <c r="L510" s="18"/>
    </row>
    <row r="511" customFormat="false" ht="15" hidden="false" customHeight="true" outlineLevel="0" collapsed="false">
      <c r="A511" s="19"/>
      <c r="B511" s="17"/>
      <c r="C511" s="11" t="str">
        <f aca="false">IF(B511="","",IFERROR(INDEX(Students!$B$4:$B$203,MATCH(B511,Students!$A$4:$A$203,0)),""))</f>
        <v/>
      </c>
      <c r="D511" s="11" t="str">
        <f aca="false">IF(B511="","",IFERROR(INDEX(Students!$H$4:$H$203,MATCH(B511,Students!$A$4:$A$203,0)),""))</f>
        <v/>
      </c>
      <c r="E511" s="18"/>
      <c r="F511" s="18"/>
      <c r="G511" s="18"/>
      <c r="H511" s="18"/>
      <c r="I511" s="18"/>
      <c r="J511" s="18"/>
      <c r="K511" s="18"/>
      <c r="L511" s="18"/>
    </row>
    <row r="512" customFormat="false" ht="15" hidden="false" customHeight="true" outlineLevel="0" collapsed="false">
      <c r="A512" s="19"/>
      <c r="B512" s="17"/>
      <c r="C512" s="11" t="str">
        <f aca="false">IF(B512="","",IFERROR(INDEX(Students!$B$4:$B$203,MATCH(B512,Students!$A$4:$A$203,0)),""))</f>
        <v/>
      </c>
      <c r="D512" s="11" t="str">
        <f aca="false">IF(B512="","",IFERROR(INDEX(Students!$H$4:$H$203,MATCH(B512,Students!$A$4:$A$203,0)),""))</f>
        <v/>
      </c>
      <c r="E512" s="18"/>
      <c r="F512" s="18"/>
      <c r="G512" s="18"/>
      <c r="H512" s="18"/>
      <c r="I512" s="18"/>
      <c r="J512" s="18"/>
      <c r="K512" s="18"/>
      <c r="L512" s="18"/>
    </row>
    <row r="513" customFormat="false" ht="15" hidden="false" customHeight="true" outlineLevel="0" collapsed="false">
      <c r="A513" s="19"/>
      <c r="B513" s="17"/>
      <c r="C513" s="11" t="str">
        <f aca="false">IF(B513="","",IFERROR(INDEX(Students!$B$4:$B$203,MATCH(B513,Students!$A$4:$A$203,0)),""))</f>
        <v/>
      </c>
      <c r="D513" s="11" t="str">
        <f aca="false">IF(B513="","",IFERROR(INDEX(Students!$H$4:$H$203,MATCH(B513,Students!$A$4:$A$203,0)),""))</f>
        <v/>
      </c>
      <c r="E513" s="18"/>
      <c r="F513" s="18"/>
      <c r="G513" s="18"/>
      <c r="H513" s="18"/>
      <c r="I513" s="18"/>
      <c r="J513" s="18"/>
      <c r="K513" s="18"/>
      <c r="L513" s="18"/>
    </row>
    <row r="514" customFormat="false" ht="15" hidden="false" customHeight="true" outlineLevel="0" collapsed="false">
      <c r="A514" s="19"/>
      <c r="B514" s="17"/>
      <c r="C514" s="11" t="str">
        <f aca="false">IF(B514="","",IFERROR(INDEX(Students!$B$4:$B$203,MATCH(B514,Students!$A$4:$A$203,0)),""))</f>
        <v/>
      </c>
      <c r="D514" s="11" t="str">
        <f aca="false">IF(B514="","",IFERROR(INDEX(Students!$H$4:$H$203,MATCH(B514,Students!$A$4:$A$203,0)),""))</f>
        <v/>
      </c>
      <c r="E514" s="18"/>
      <c r="F514" s="18"/>
      <c r="G514" s="18"/>
      <c r="H514" s="18"/>
      <c r="I514" s="18"/>
      <c r="J514" s="18"/>
      <c r="K514" s="18"/>
      <c r="L514" s="18"/>
    </row>
    <row r="515" customFormat="false" ht="15" hidden="false" customHeight="true" outlineLevel="0" collapsed="false">
      <c r="A515" s="19"/>
      <c r="B515" s="17"/>
      <c r="C515" s="11" t="str">
        <f aca="false">IF(B515="","",IFERROR(INDEX(Students!$B$4:$B$203,MATCH(B515,Students!$A$4:$A$203,0)),""))</f>
        <v/>
      </c>
      <c r="D515" s="11" t="str">
        <f aca="false">IF(B515="","",IFERROR(INDEX(Students!$H$4:$H$203,MATCH(B515,Students!$A$4:$A$203,0)),""))</f>
        <v/>
      </c>
      <c r="E515" s="18"/>
      <c r="F515" s="18"/>
      <c r="G515" s="18"/>
      <c r="H515" s="18"/>
      <c r="I515" s="18"/>
      <c r="J515" s="18"/>
      <c r="K515" s="18"/>
      <c r="L515" s="18"/>
    </row>
    <row r="516" customFormat="false" ht="15" hidden="false" customHeight="true" outlineLevel="0" collapsed="false">
      <c r="A516" s="19"/>
      <c r="B516" s="17"/>
      <c r="C516" s="11" t="str">
        <f aca="false">IF(B516="","",IFERROR(INDEX(Students!$B$4:$B$203,MATCH(B516,Students!$A$4:$A$203,0)),""))</f>
        <v/>
      </c>
      <c r="D516" s="11" t="str">
        <f aca="false">IF(B516="","",IFERROR(INDEX(Students!$H$4:$H$203,MATCH(B516,Students!$A$4:$A$203,0)),""))</f>
        <v/>
      </c>
      <c r="E516" s="18"/>
      <c r="F516" s="18"/>
      <c r="G516" s="18"/>
      <c r="H516" s="18"/>
      <c r="I516" s="18"/>
      <c r="J516" s="18"/>
      <c r="K516" s="18"/>
      <c r="L516" s="18"/>
    </row>
    <row r="517" customFormat="false" ht="15" hidden="false" customHeight="true" outlineLevel="0" collapsed="false">
      <c r="A517" s="19"/>
      <c r="B517" s="17"/>
      <c r="C517" s="11" t="str">
        <f aca="false">IF(B517="","",IFERROR(INDEX(Students!$B$4:$B$203,MATCH(B517,Students!$A$4:$A$203,0)),""))</f>
        <v/>
      </c>
      <c r="D517" s="11" t="str">
        <f aca="false">IF(B517="","",IFERROR(INDEX(Students!$H$4:$H$203,MATCH(B517,Students!$A$4:$A$203,0)),""))</f>
        <v/>
      </c>
      <c r="E517" s="18"/>
      <c r="F517" s="18"/>
      <c r="G517" s="18"/>
      <c r="H517" s="18"/>
      <c r="I517" s="18"/>
      <c r="J517" s="18"/>
      <c r="K517" s="18"/>
      <c r="L517" s="18"/>
    </row>
    <row r="518" customFormat="false" ht="15" hidden="false" customHeight="true" outlineLevel="0" collapsed="false">
      <c r="A518" s="19"/>
      <c r="B518" s="17"/>
      <c r="C518" s="11" t="str">
        <f aca="false">IF(B518="","",IFERROR(INDEX(Students!$B$4:$B$203,MATCH(B518,Students!$A$4:$A$203,0)),""))</f>
        <v/>
      </c>
      <c r="D518" s="11" t="str">
        <f aca="false">IF(B518="","",IFERROR(INDEX(Students!$H$4:$H$203,MATCH(B518,Students!$A$4:$A$203,0)),""))</f>
        <v/>
      </c>
      <c r="E518" s="18"/>
      <c r="F518" s="18"/>
      <c r="G518" s="18"/>
      <c r="H518" s="18"/>
      <c r="I518" s="18"/>
      <c r="J518" s="18"/>
      <c r="K518" s="18"/>
      <c r="L518" s="18"/>
    </row>
    <row r="519" customFormat="false" ht="15" hidden="false" customHeight="true" outlineLevel="0" collapsed="false">
      <c r="A519" s="19"/>
      <c r="B519" s="17"/>
      <c r="C519" s="11" t="str">
        <f aca="false">IF(B519="","",IFERROR(INDEX(Students!$B$4:$B$203,MATCH(B519,Students!$A$4:$A$203,0)),""))</f>
        <v/>
      </c>
      <c r="D519" s="11" t="str">
        <f aca="false">IF(B519="","",IFERROR(INDEX(Students!$H$4:$H$203,MATCH(B519,Students!$A$4:$A$203,0)),""))</f>
        <v/>
      </c>
      <c r="E519" s="18"/>
      <c r="F519" s="18"/>
      <c r="G519" s="18"/>
      <c r="H519" s="18"/>
      <c r="I519" s="18"/>
      <c r="J519" s="18"/>
      <c r="K519" s="18"/>
      <c r="L519" s="18"/>
    </row>
    <row r="520" customFormat="false" ht="15" hidden="false" customHeight="true" outlineLevel="0" collapsed="false">
      <c r="A520" s="19"/>
      <c r="B520" s="17"/>
      <c r="C520" s="11" t="str">
        <f aca="false">IF(B520="","",IFERROR(INDEX(Students!$B$4:$B$203,MATCH(B520,Students!$A$4:$A$203,0)),""))</f>
        <v/>
      </c>
      <c r="D520" s="11" t="str">
        <f aca="false">IF(B520="","",IFERROR(INDEX(Students!$H$4:$H$203,MATCH(B520,Students!$A$4:$A$203,0)),""))</f>
        <v/>
      </c>
      <c r="E520" s="18"/>
      <c r="F520" s="18"/>
      <c r="G520" s="18"/>
      <c r="H520" s="18"/>
      <c r="I520" s="18"/>
      <c r="J520" s="18"/>
      <c r="K520" s="18"/>
      <c r="L520" s="18"/>
    </row>
    <row r="521" customFormat="false" ht="15" hidden="false" customHeight="true" outlineLevel="0" collapsed="false">
      <c r="A521" s="19"/>
      <c r="B521" s="17"/>
      <c r="C521" s="11" t="str">
        <f aca="false">IF(B521="","",IFERROR(INDEX(Students!$B$4:$B$203,MATCH(B521,Students!$A$4:$A$203,0)),""))</f>
        <v/>
      </c>
      <c r="D521" s="11" t="str">
        <f aca="false">IF(B521="","",IFERROR(INDEX(Students!$H$4:$H$203,MATCH(B521,Students!$A$4:$A$203,0)),""))</f>
        <v/>
      </c>
      <c r="E521" s="18"/>
      <c r="F521" s="18"/>
      <c r="G521" s="18"/>
      <c r="H521" s="18"/>
      <c r="I521" s="18"/>
      <c r="J521" s="18"/>
      <c r="K521" s="18"/>
      <c r="L521" s="18"/>
    </row>
    <row r="522" customFormat="false" ht="15" hidden="false" customHeight="true" outlineLevel="0" collapsed="false">
      <c r="A522" s="19"/>
      <c r="B522" s="17"/>
      <c r="C522" s="11" t="str">
        <f aca="false">IF(B522="","",IFERROR(INDEX(Students!$B$4:$B$203,MATCH(B522,Students!$A$4:$A$203,0)),""))</f>
        <v/>
      </c>
      <c r="D522" s="11" t="str">
        <f aca="false">IF(B522="","",IFERROR(INDEX(Students!$H$4:$H$203,MATCH(B522,Students!$A$4:$A$203,0)),""))</f>
        <v/>
      </c>
      <c r="E522" s="18"/>
      <c r="F522" s="18"/>
      <c r="G522" s="18"/>
      <c r="H522" s="18"/>
      <c r="I522" s="18"/>
      <c r="J522" s="18"/>
      <c r="K522" s="18"/>
      <c r="L522" s="18"/>
    </row>
    <row r="523" customFormat="false" ht="15" hidden="false" customHeight="true" outlineLevel="0" collapsed="false">
      <c r="A523" s="19"/>
      <c r="B523" s="17"/>
      <c r="C523" s="11" t="str">
        <f aca="false">IF(B523="","",IFERROR(INDEX(Students!$B$4:$B$203,MATCH(B523,Students!$A$4:$A$203,0)),""))</f>
        <v/>
      </c>
      <c r="D523" s="11" t="str">
        <f aca="false">IF(B523="","",IFERROR(INDEX(Students!$H$4:$H$203,MATCH(B523,Students!$A$4:$A$203,0)),""))</f>
        <v/>
      </c>
      <c r="E523" s="18"/>
      <c r="F523" s="18"/>
      <c r="G523" s="18"/>
      <c r="H523" s="18"/>
      <c r="I523" s="18"/>
      <c r="J523" s="18"/>
      <c r="K523" s="18"/>
      <c r="L523" s="18"/>
    </row>
    <row r="524" customFormat="false" ht="15" hidden="false" customHeight="true" outlineLevel="0" collapsed="false">
      <c r="A524" s="19"/>
      <c r="B524" s="17"/>
      <c r="C524" s="11" t="str">
        <f aca="false">IF(B524="","",IFERROR(INDEX(Students!$B$4:$B$203,MATCH(B524,Students!$A$4:$A$203,0)),""))</f>
        <v/>
      </c>
      <c r="D524" s="11" t="str">
        <f aca="false">IF(B524="","",IFERROR(INDEX(Students!$H$4:$H$203,MATCH(B524,Students!$A$4:$A$203,0)),""))</f>
        <v/>
      </c>
      <c r="E524" s="18"/>
      <c r="F524" s="18"/>
      <c r="G524" s="18"/>
      <c r="H524" s="18"/>
      <c r="I524" s="18"/>
      <c r="J524" s="18"/>
      <c r="K524" s="18"/>
      <c r="L524" s="18"/>
    </row>
    <row r="525" customFormat="false" ht="15" hidden="false" customHeight="true" outlineLevel="0" collapsed="false">
      <c r="A525" s="19"/>
      <c r="B525" s="17"/>
      <c r="C525" s="11" t="str">
        <f aca="false">IF(B525="","",IFERROR(INDEX(Students!$B$4:$B$203,MATCH(B525,Students!$A$4:$A$203,0)),""))</f>
        <v/>
      </c>
      <c r="D525" s="11" t="str">
        <f aca="false">IF(B525="","",IFERROR(INDEX(Students!$H$4:$H$203,MATCH(B525,Students!$A$4:$A$203,0)),""))</f>
        <v/>
      </c>
      <c r="E525" s="18"/>
      <c r="F525" s="18"/>
      <c r="G525" s="18"/>
      <c r="H525" s="18"/>
      <c r="I525" s="18"/>
      <c r="J525" s="18"/>
      <c r="K525" s="18"/>
      <c r="L525" s="18"/>
    </row>
    <row r="526" customFormat="false" ht="15" hidden="false" customHeight="true" outlineLevel="0" collapsed="false">
      <c r="A526" s="19"/>
      <c r="B526" s="17"/>
      <c r="C526" s="11" t="str">
        <f aca="false">IF(B526="","",IFERROR(INDEX(Students!$B$4:$B$203,MATCH(B526,Students!$A$4:$A$203,0)),""))</f>
        <v/>
      </c>
      <c r="D526" s="11" t="str">
        <f aca="false">IF(B526="","",IFERROR(INDEX(Students!$H$4:$H$203,MATCH(B526,Students!$A$4:$A$203,0)),""))</f>
        <v/>
      </c>
      <c r="E526" s="18"/>
      <c r="F526" s="18"/>
      <c r="G526" s="18"/>
      <c r="H526" s="18"/>
      <c r="I526" s="18"/>
      <c r="J526" s="18"/>
      <c r="K526" s="18"/>
      <c r="L526" s="18"/>
    </row>
    <row r="527" customFormat="false" ht="15" hidden="false" customHeight="true" outlineLevel="0" collapsed="false">
      <c r="A527" s="19"/>
      <c r="B527" s="17"/>
      <c r="C527" s="11" t="str">
        <f aca="false">IF(B527="","",IFERROR(INDEX(Students!$B$4:$B$203,MATCH(B527,Students!$A$4:$A$203,0)),""))</f>
        <v/>
      </c>
      <c r="D527" s="11" t="str">
        <f aca="false">IF(B527="","",IFERROR(INDEX(Students!$H$4:$H$203,MATCH(B527,Students!$A$4:$A$203,0)),""))</f>
        <v/>
      </c>
      <c r="E527" s="18"/>
      <c r="F527" s="18"/>
      <c r="G527" s="18"/>
      <c r="H527" s="18"/>
      <c r="I527" s="18"/>
      <c r="J527" s="18"/>
      <c r="K527" s="18"/>
      <c r="L527" s="18"/>
    </row>
    <row r="528" customFormat="false" ht="15" hidden="false" customHeight="true" outlineLevel="0" collapsed="false">
      <c r="A528" s="19"/>
      <c r="B528" s="17"/>
      <c r="C528" s="11" t="str">
        <f aca="false">IF(B528="","",IFERROR(INDEX(Students!$B$4:$B$203,MATCH(B528,Students!$A$4:$A$203,0)),""))</f>
        <v/>
      </c>
      <c r="D528" s="11" t="str">
        <f aca="false">IF(B528="","",IFERROR(INDEX(Students!$H$4:$H$203,MATCH(B528,Students!$A$4:$A$203,0)),""))</f>
        <v/>
      </c>
      <c r="E528" s="18"/>
      <c r="F528" s="18"/>
      <c r="G528" s="18"/>
      <c r="H528" s="18"/>
      <c r="I528" s="18"/>
      <c r="J528" s="18"/>
      <c r="K528" s="18"/>
      <c r="L528" s="18"/>
    </row>
    <row r="529" customFormat="false" ht="15" hidden="false" customHeight="true" outlineLevel="0" collapsed="false">
      <c r="A529" s="19"/>
      <c r="B529" s="17"/>
      <c r="C529" s="11" t="str">
        <f aca="false">IF(B529="","",IFERROR(INDEX(Students!$B$4:$B$203,MATCH(B529,Students!$A$4:$A$203,0)),""))</f>
        <v/>
      </c>
      <c r="D529" s="11" t="str">
        <f aca="false">IF(B529="","",IFERROR(INDEX(Students!$H$4:$H$203,MATCH(B529,Students!$A$4:$A$203,0)),""))</f>
        <v/>
      </c>
      <c r="E529" s="18"/>
      <c r="F529" s="18"/>
      <c r="G529" s="18"/>
      <c r="H529" s="18"/>
      <c r="I529" s="18"/>
      <c r="J529" s="18"/>
      <c r="K529" s="18"/>
      <c r="L529" s="18"/>
    </row>
    <row r="530" customFormat="false" ht="15" hidden="false" customHeight="true" outlineLevel="0" collapsed="false">
      <c r="A530" s="19"/>
      <c r="B530" s="17"/>
      <c r="C530" s="11" t="str">
        <f aca="false">IF(B530="","",IFERROR(INDEX(Students!$B$4:$B$203,MATCH(B530,Students!$A$4:$A$203,0)),""))</f>
        <v/>
      </c>
      <c r="D530" s="11" t="str">
        <f aca="false">IF(B530="","",IFERROR(INDEX(Students!$H$4:$H$203,MATCH(B530,Students!$A$4:$A$203,0)),""))</f>
        <v/>
      </c>
      <c r="E530" s="18"/>
      <c r="F530" s="18"/>
      <c r="G530" s="18"/>
      <c r="H530" s="18"/>
      <c r="I530" s="18"/>
      <c r="J530" s="18"/>
      <c r="K530" s="18"/>
      <c r="L530" s="18"/>
    </row>
    <row r="531" customFormat="false" ht="15" hidden="false" customHeight="true" outlineLevel="0" collapsed="false">
      <c r="A531" s="19"/>
      <c r="B531" s="17"/>
      <c r="C531" s="11" t="str">
        <f aca="false">IF(B531="","",IFERROR(INDEX(Students!$B$4:$B$203,MATCH(B531,Students!$A$4:$A$203,0)),""))</f>
        <v/>
      </c>
      <c r="D531" s="11" t="str">
        <f aca="false">IF(B531="","",IFERROR(INDEX(Students!$H$4:$H$203,MATCH(B531,Students!$A$4:$A$203,0)),""))</f>
        <v/>
      </c>
      <c r="E531" s="18"/>
      <c r="F531" s="18"/>
      <c r="G531" s="18"/>
      <c r="H531" s="18"/>
      <c r="I531" s="18"/>
      <c r="J531" s="18"/>
      <c r="K531" s="18"/>
      <c r="L531" s="18"/>
    </row>
    <row r="532" customFormat="false" ht="15" hidden="false" customHeight="true" outlineLevel="0" collapsed="false">
      <c r="A532" s="19"/>
      <c r="B532" s="17"/>
      <c r="C532" s="11" t="str">
        <f aca="false">IF(B532="","",IFERROR(INDEX(Students!$B$4:$B$203,MATCH(B532,Students!$A$4:$A$203,0)),""))</f>
        <v/>
      </c>
      <c r="D532" s="11" t="str">
        <f aca="false">IF(B532="","",IFERROR(INDEX(Students!$H$4:$H$203,MATCH(B532,Students!$A$4:$A$203,0)),""))</f>
        <v/>
      </c>
      <c r="E532" s="18"/>
      <c r="F532" s="18"/>
      <c r="G532" s="18"/>
      <c r="H532" s="18"/>
      <c r="I532" s="18"/>
      <c r="J532" s="18"/>
      <c r="K532" s="18"/>
      <c r="L532" s="18"/>
    </row>
    <row r="533" customFormat="false" ht="15" hidden="false" customHeight="true" outlineLevel="0" collapsed="false">
      <c r="A533" s="19"/>
      <c r="B533" s="17"/>
      <c r="C533" s="11" t="str">
        <f aca="false">IF(B533="","",IFERROR(INDEX(Students!$B$4:$B$203,MATCH(B533,Students!$A$4:$A$203,0)),""))</f>
        <v/>
      </c>
      <c r="D533" s="11" t="str">
        <f aca="false">IF(B533="","",IFERROR(INDEX(Students!$H$4:$H$203,MATCH(B533,Students!$A$4:$A$203,0)),""))</f>
        <v/>
      </c>
      <c r="E533" s="18"/>
      <c r="F533" s="18"/>
      <c r="G533" s="18"/>
      <c r="H533" s="18"/>
      <c r="I533" s="18"/>
      <c r="J533" s="18"/>
      <c r="K533" s="18"/>
      <c r="L533" s="18"/>
    </row>
    <row r="534" customFormat="false" ht="15" hidden="false" customHeight="true" outlineLevel="0" collapsed="false">
      <c r="A534" s="19"/>
      <c r="B534" s="17"/>
      <c r="C534" s="11" t="str">
        <f aca="false">IF(B534="","",IFERROR(INDEX(Students!$B$4:$B$203,MATCH(B534,Students!$A$4:$A$203,0)),""))</f>
        <v/>
      </c>
      <c r="D534" s="11" t="str">
        <f aca="false">IF(B534="","",IFERROR(INDEX(Students!$H$4:$H$203,MATCH(B534,Students!$A$4:$A$203,0)),""))</f>
        <v/>
      </c>
      <c r="E534" s="18"/>
      <c r="F534" s="18"/>
      <c r="G534" s="18"/>
      <c r="H534" s="18"/>
      <c r="I534" s="18"/>
      <c r="J534" s="18"/>
      <c r="K534" s="18"/>
      <c r="L534" s="18"/>
    </row>
    <row r="535" customFormat="false" ht="15" hidden="false" customHeight="true" outlineLevel="0" collapsed="false">
      <c r="A535" s="19"/>
      <c r="B535" s="17"/>
      <c r="C535" s="11" t="str">
        <f aca="false">IF(B535="","",IFERROR(INDEX(Students!$B$4:$B$203,MATCH(B535,Students!$A$4:$A$203,0)),""))</f>
        <v/>
      </c>
      <c r="D535" s="11" t="str">
        <f aca="false">IF(B535="","",IFERROR(INDEX(Students!$H$4:$H$203,MATCH(B535,Students!$A$4:$A$203,0)),""))</f>
        <v/>
      </c>
      <c r="E535" s="18"/>
      <c r="F535" s="18"/>
      <c r="G535" s="18"/>
      <c r="H535" s="18"/>
      <c r="I535" s="18"/>
      <c r="J535" s="18"/>
      <c r="K535" s="18"/>
      <c r="L535" s="18"/>
    </row>
    <row r="536" customFormat="false" ht="15" hidden="false" customHeight="true" outlineLevel="0" collapsed="false">
      <c r="A536" s="19"/>
      <c r="B536" s="17"/>
      <c r="C536" s="11" t="str">
        <f aca="false">IF(B536="","",IFERROR(INDEX(Students!$B$4:$B$203,MATCH(B536,Students!$A$4:$A$203,0)),""))</f>
        <v/>
      </c>
      <c r="D536" s="11" t="str">
        <f aca="false">IF(B536="","",IFERROR(INDEX(Students!$H$4:$H$203,MATCH(B536,Students!$A$4:$A$203,0)),""))</f>
        <v/>
      </c>
      <c r="E536" s="18"/>
      <c r="F536" s="18"/>
      <c r="G536" s="18"/>
      <c r="H536" s="18"/>
      <c r="I536" s="18"/>
      <c r="J536" s="18"/>
      <c r="K536" s="18"/>
      <c r="L536" s="18"/>
    </row>
    <row r="537" customFormat="false" ht="15" hidden="false" customHeight="true" outlineLevel="0" collapsed="false">
      <c r="A537" s="19"/>
      <c r="B537" s="17"/>
      <c r="C537" s="11" t="str">
        <f aca="false">IF(B537="","",IFERROR(INDEX(Students!$B$4:$B$203,MATCH(B537,Students!$A$4:$A$203,0)),""))</f>
        <v/>
      </c>
      <c r="D537" s="11" t="str">
        <f aca="false">IF(B537="","",IFERROR(INDEX(Students!$H$4:$H$203,MATCH(B537,Students!$A$4:$A$203,0)),""))</f>
        <v/>
      </c>
      <c r="E537" s="18"/>
      <c r="F537" s="18"/>
      <c r="G537" s="18"/>
      <c r="H537" s="18"/>
      <c r="I537" s="18"/>
      <c r="J537" s="18"/>
      <c r="K537" s="18"/>
      <c r="L537" s="18"/>
    </row>
    <row r="538" customFormat="false" ht="15" hidden="false" customHeight="true" outlineLevel="0" collapsed="false">
      <c r="A538" s="19"/>
      <c r="B538" s="17"/>
      <c r="C538" s="11" t="str">
        <f aca="false">IF(B538="","",IFERROR(INDEX(Students!$B$4:$B$203,MATCH(B538,Students!$A$4:$A$203,0)),""))</f>
        <v/>
      </c>
      <c r="D538" s="11" t="str">
        <f aca="false">IF(B538="","",IFERROR(INDEX(Students!$H$4:$H$203,MATCH(B538,Students!$A$4:$A$203,0)),""))</f>
        <v/>
      </c>
      <c r="E538" s="18"/>
      <c r="F538" s="18"/>
      <c r="G538" s="18"/>
      <c r="H538" s="18"/>
      <c r="I538" s="18"/>
      <c r="J538" s="18"/>
      <c r="K538" s="18"/>
      <c r="L538" s="18"/>
    </row>
    <row r="539" customFormat="false" ht="15" hidden="false" customHeight="true" outlineLevel="0" collapsed="false">
      <c r="A539" s="19"/>
      <c r="B539" s="17"/>
      <c r="C539" s="11" t="str">
        <f aca="false">IF(B539="","",IFERROR(INDEX(Students!$B$4:$B$203,MATCH(B539,Students!$A$4:$A$203,0)),""))</f>
        <v/>
      </c>
      <c r="D539" s="11" t="str">
        <f aca="false">IF(B539="","",IFERROR(INDEX(Students!$H$4:$H$203,MATCH(B539,Students!$A$4:$A$203,0)),""))</f>
        <v/>
      </c>
      <c r="E539" s="18"/>
      <c r="F539" s="18"/>
      <c r="G539" s="18"/>
      <c r="H539" s="18"/>
      <c r="I539" s="18"/>
      <c r="J539" s="18"/>
      <c r="K539" s="18"/>
      <c r="L539" s="18"/>
    </row>
    <row r="540" customFormat="false" ht="15" hidden="false" customHeight="true" outlineLevel="0" collapsed="false">
      <c r="A540" s="19"/>
      <c r="B540" s="17"/>
      <c r="C540" s="11" t="str">
        <f aca="false">IF(B540="","",IFERROR(INDEX(Students!$B$4:$B$203,MATCH(B540,Students!$A$4:$A$203,0)),""))</f>
        <v/>
      </c>
      <c r="D540" s="11" t="str">
        <f aca="false">IF(B540="","",IFERROR(INDEX(Students!$H$4:$H$203,MATCH(B540,Students!$A$4:$A$203,0)),""))</f>
        <v/>
      </c>
      <c r="E540" s="18"/>
      <c r="F540" s="18"/>
      <c r="G540" s="18"/>
      <c r="H540" s="18"/>
      <c r="I540" s="18"/>
      <c r="J540" s="18"/>
      <c r="K540" s="18"/>
      <c r="L540" s="18"/>
    </row>
    <row r="541" customFormat="false" ht="15" hidden="false" customHeight="true" outlineLevel="0" collapsed="false">
      <c r="A541" s="19"/>
      <c r="B541" s="17"/>
      <c r="C541" s="11" t="str">
        <f aca="false">IF(B541="","",IFERROR(INDEX(Students!$B$4:$B$203,MATCH(B541,Students!$A$4:$A$203,0)),""))</f>
        <v/>
      </c>
      <c r="D541" s="11" t="str">
        <f aca="false">IF(B541="","",IFERROR(INDEX(Students!$H$4:$H$203,MATCH(B541,Students!$A$4:$A$203,0)),""))</f>
        <v/>
      </c>
      <c r="E541" s="18"/>
      <c r="F541" s="18"/>
      <c r="G541" s="18"/>
      <c r="H541" s="18"/>
      <c r="I541" s="18"/>
      <c r="J541" s="18"/>
      <c r="K541" s="18"/>
      <c r="L541" s="18"/>
    </row>
    <row r="542" customFormat="false" ht="15" hidden="false" customHeight="true" outlineLevel="0" collapsed="false">
      <c r="A542" s="19"/>
      <c r="B542" s="17"/>
      <c r="C542" s="11" t="str">
        <f aca="false">IF(B542="","",IFERROR(INDEX(Students!$B$4:$B$203,MATCH(B542,Students!$A$4:$A$203,0)),""))</f>
        <v/>
      </c>
      <c r="D542" s="11" t="str">
        <f aca="false">IF(B542="","",IFERROR(INDEX(Students!$H$4:$H$203,MATCH(B542,Students!$A$4:$A$203,0)),""))</f>
        <v/>
      </c>
      <c r="E542" s="18"/>
      <c r="F542" s="18"/>
      <c r="G542" s="18"/>
      <c r="H542" s="18"/>
      <c r="I542" s="18"/>
      <c r="J542" s="18"/>
      <c r="K542" s="18"/>
      <c r="L542" s="18"/>
    </row>
    <row r="543" customFormat="false" ht="15" hidden="false" customHeight="true" outlineLevel="0" collapsed="false">
      <c r="A543" s="19"/>
      <c r="B543" s="17"/>
      <c r="C543" s="11" t="str">
        <f aca="false">IF(B543="","",IFERROR(INDEX(Students!$B$4:$B$203,MATCH(B543,Students!$A$4:$A$203,0)),""))</f>
        <v/>
      </c>
      <c r="D543" s="11" t="str">
        <f aca="false">IF(B543="","",IFERROR(INDEX(Students!$H$4:$H$203,MATCH(B543,Students!$A$4:$A$203,0)),""))</f>
        <v/>
      </c>
      <c r="E543" s="18"/>
      <c r="F543" s="18"/>
      <c r="G543" s="18"/>
      <c r="H543" s="18"/>
      <c r="I543" s="18"/>
      <c r="J543" s="18"/>
      <c r="K543" s="18"/>
      <c r="L543" s="18"/>
    </row>
    <row r="544" customFormat="false" ht="15" hidden="false" customHeight="true" outlineLevel="0" collapsed="false">
      <c r="A544" s="19"/>
      <c r="B544" s="17"/>
      <c r="C544" s="11" t="str">
        <f aca="false">IF(B544="","",IFERROR(INDEX(Students!$B$4:$B$203,MATCH(B544,Students!$A$4:$A$203,0)),""))</f>
        <v/>
      </c>
      <c r="D544" s="11" t="str">
        <f aca="false">IF(B544="","",IFERROR(INDEX(Students!$H$4:$H$203,MATCH(B544,Students!$A$4:$A$203,0)),""))</f>
        <v/>
      </c>
      <c r="E544" s="18"/>
      <c r="F544" s="18"/>
      <c r="G544" s="18"/>
      <c r="H544" s="18"/>
      <c r="I544" s="18"/>
      <c r="J544" s="18"/>
      <c r="K544" s="18"/>
      <c r="L544" s="18"/>
    </row>
    <row r="545" customFormat="false" ht="15" hidden="false" customHeight="true" outlineLevel="0" collapsed="false">
      <c r="A545" s="19"/>
      <c r="B545" s="17"/>
      <c r="C545" s="11" t="str">
        <f aca="false">IF(B545="","",IFERROR(INDEX(Students!$B$4:$B$203,MATCH(B545,Students!$A$4:$A$203,0)),""))</f>
        <v/>
      </c>
      <c r="D545" s="11" t="str">
        <f aca="false">IF(B545="","",IFERROR(INDEX(Students!$H$4:$H$203,MATCH(B545,Students!$A$4:$A$203,0)),""))</f>
        <v/>
      </c>
      <c r="E545" s="18"/>
      <c r="F545" s="18"/>
      <c r="G545" s="18"/>
      <c r="H545" s="18"/>
      <c r="I545" s="18"/>
      <c r="J545" s="18"/>
      <c r="K545" s="18"/>
      <c r="L545" s="18"/>
    </row>
    <row r="546" customFormat="false" ht="15" hidden="false" customHeight="true" outlineLevel="0" collapsed="false">
      <c r="A546" s="19"/>
      <c r="B546" s="17"/>
      <c r="C546" s="11" t="str">
        <f aca="false">IF(B546="","",IFERROR(INDEX(Students!$B$4:$B$203,MATCH(B546,Students!$A$4:$A$203,0)),""))</f>
        <v/>
      </c>
      <c r="D546" s="11" t="str">
        <f aca="false">IF(B546="","",IFERROR(INDEX(Students!$H$4:$H$203,MATCH(B546,Students!$A$4:$A$203,0)),""))</f>
        <v/>
      </c>
      <c r="E546" s="18"/>
      <c r="F546" s="18"/>
      <c r="G546" s="18"/>
      <c r="H546" s="18"/>
      <c r="I546" s="18"/>
      <c r="J546" s="18"/>
      <c r="K546" s="18"/>
      <c r="L546" s="18"/>
    </row>
    <row r="547" customFormat="false" ht="15" hidden="false" customHeight="true" outlineLevel="0" collapsed="false">
      <c r="A547" s="19"/>
      <c r="B547" s="17"/>
      <c r="C547" s="11" t="str">
        <f aca="false">IF(B547="","",IFERROR(INDEX(Students!$B$4:$B$203,MATCH(B547,Students!$A$4:$A$203,0)),""))</f>
        <v/>
      </c>
      <c r="D547" s="11" t="str">
        <f aca="false">IF(B547="","",IFERROR(INDEX(Students!$H$4:$H$203,MATCH(B547,Students!$A$4:$A$203,0)),""))</f>
        <v/>
      </c>
      <c r="E547" s="18"/>
      <c r="F547" s="18"/>
      <c r="G547" s="18"/>
      <c r="H547" s="18"/>
      <c r="I547" s="18"/>
      <c r="J547" s="18"/>
      <c r="K547" s="18"/>
      <c r="L547" s="18"/>
    </row>
    <row r="548" customFormat="false" ht="15" hidden="false" customHeight="true" outlineLevel="0" collapsed="false">
      <c r="A548" s="19"/>
      <c r="B548" s="17"/>
      <c r="C548" s="11" t="str">
        <f aca="false">IF(B548="","",IFERROR(INDEX(Students!$B$4:$B$203,MATCH(B548,Students!$A$4:$A$203,0)),""))</f>
        <v/>
      </c>
      <c r="D548" s="11" t="str">
        <f aca="false">IF(B548="","",IFERROR(INDEX(Students!$H$4:$H$203,MATCH(B548,Students!$A$4:$A$203,0)),""))</f>
        <v/>
      </c>
      <c r="E548" s="18"/>
      <c r="F548" s="18"/>
      <c r="G548" s="18"/>
      <c r="H548" s="18"/>
      <c r="I548" s="18"/>
      <c r="J548" s="18"/>
      <c r="K548" s="18"/>
      <c r="L548" s="18"/>
    </row>
    <row r="549" customFormat="false" ht="15" hidden="false" customHeight="true" outlineLevel="0" collapsed="false">
      <c r="A549" s="19"/>
      <c r="B549" s="17"/>
      <c r="C549" s="11" t="str">
        <f aca="false">IF(B549="","",IFERROR(INDEX(Students!$B$4:$B$203,MATCH(B549,Students!$A$4:$A$203,0)),""))</f>
        <v/>
      </c>
      <c r="D549" s="11" t="str">
        <f aca="false">IF(B549="","",IFERROR(INDEX(Students!$H$4:$H$203,MATCH(B549,Students!$A$4:$A$203,0)),""))</f>
        <v/>
      </c>
      <c r="E549" s="18"/>
      <c r="F549" s="18"/>
      <c r="G549" s="18"/>
      <c r="H549" s="18"/>
      <c r="I549" s="18"/>
      <c r="J549" s="18"/>
      <c r="K549" s="18"/>
      <c r="L549" s="18"/>
    </row>
    <row r="550" customFormat="false" ht="15" hidden="false" customHeight="true" outlineLevel="0" collapsed="false">
      <c r="A550" s="19"/>
      <c r="B550" s="17"/>
      <c r="C550" s="11" t="str">
        <f aca="false">IF(B550="","",IFERROR(INDEX(Students!$B$4:$B$203,MATCH(B550,Students!$A$4:$A$203,0)),""))</f>
        <v/>
      </c>
      <c r="D550" s="11" t="str">
        <f aca="false">IF(B550="","",IFERROR(INDEX(Students!$H$4:$H$203,MATCH(B550,Students!$A$4:$A$203,0)),""))</f>
        <v/>
      </c>
      <c r="E550" s="18"/>
      <c r="F550" s="18"/>
      <c r="G550" s="18"/>
      <c r="H550" s="18"/>
      <c r="I550" s="18"/>
      <c r="J550" s="18"/>
      <c r="K550" s="18"/>
      <c r="L550" s="18"/>
    </row>
    <row r="551" customFormat="false" ht="15" hidden="false" customHeight="true" outlineLevel="0" collapsed="false">
      <c r="A551" s="19"/>
      <c r="B551" s="17"/>
      <c r="C551" s="11" t="str">
        <f aca="false">IF(B551="","",IFERROR(INDEX(Students!$B$4:$B$203,MATCH(B551,Students!$A$4:$A$203,0)),""))</f>
        <v/>
      </c>
      <c r="D551" s="11" t="str">
        <f aca="false">IF(B551="","",IFERROR(INDEX(Students!$H$4:$H$203,MATCH(B551,Students!$A$4:$A$203,0)),""))</f>
        <v/>
      </c>
      <c r="E551" s="18"/>
      <c r="F551" s="18"/>
      <c r="G551" s="18"/>
      <c r="H551" s="18"/>
      <c r="I551" s="18"/>
      <c r="J551" s="18"/>
      <c r="K551" s="18"/>
      <c r="L551" s="18"/>
    </row>
    <row r="552" customFormat="false" ht="15" hidden="false" customHeight="true" outlineLevel="0" collapsed="false">
      <c r="A552" s="19"/>
      <c r="B552" s="17"/>
      <c r="C552" s="11" t="str">
        <f aca="false">IF(B552="","",IFERROR(INDEX(Students!$B$4:$B$203,MATCH(B552,Students!$A$4:$A$203,0)),""))</f>
        <v/>
      </c>
      <c r="D552" s="11" t="str">
        <f aca="false">IF(B552="","",IFERROR(INDEX(Students!$H$4:$H$203,MATCH(B552,Students!$A$4:$A$203,0)),""))</f>
        <v/>
      </c>
      <c r="E552" s="18"/>
      <c r="F552" s="18"/>
      <c r="G552" s="18"/>
      <c r="H552" s="18"/>
      <c r="I552" s="18"/>
      <c r="J552" s="18"/>
      <c r="K552" s="18"/>
      <c r="L552" s="18"/>
    </row>
    <row r="553" customFormat="false" ht="15" hidden="false" customHeight="true" outlineLevel="0" collapsed="false">
      <c r="A553" s="19"/>
      <c r="B553" s="17"/>
      <c r="C553" s="11" t="str">
        <f aca="false">IF(B553="","",IFERROR(INDEX(Students!$B$4:$B$203,MATCH(B553,Students!$A$4:$A$203,0)),""))</f>
        <v/>
      </c>
      <c r="D553" s="11" t="str">
        <f aca="false">IF(B553="","",IFERROR(INDEX(Students!$H$4:$H$203,MATCH(B553,Students!$A$4:$A$203,0)),""))</f>
        <v/>
      </c>
      <c r="E553" s="18"/>
      <c r="F553" s="18"/>
      <c r="G553" s="18"/>
      <c r="H553" s="18"/>
      <c r="I553" s="18"/>
      <c r="J553" s="18"/>
      <c r="K553" s="18"/>
      <c r="L553" s="18"/>
    </row>
    <row r="554" customFormat="false" ht="15" hidden="false" customHeight="true" outlineLevel="0" collapsed="false">
      <c r="A554" s="19"/>
      <c r="B554" s="17"/>
      <c r="C554" s="11" t="str">
        <f aca="false">IF(B554="","",IFERROR(INDEX(Students!$B$4:$B$203,MATCH(B554,Students!$A$4:$A$203,0)),""))</f>
        <v/>
      </c>
      <c r="D554" s="11" t="str">
        <f aca="false">IF(B554="","",IFERROR(INDEX(Students!$H$4:$H$203,MATCH(B554,Students!$A$4:$A$203,0)),""))</f>
        <v/>
      </c>
      <c r="E554" s="18"/>
      <c r="F554" s="18"/>
      <c r="G554" s="18"/>
      <c r="H554" s="18"/>
      <c r="I554" s="18"/>
      <c r="J554" s="18"/>
      <c r="K554" s="18"/>
      <c r="L554" s="18"/>
    </row>
    <row r="555" customFormat="false" ht="15" hidden="false" customHeight="true" outlineLevel="0" collapsed="false">
      <c r="A555" s="19"/>
      <c r="B555" s="17"/>
      <c r="C555" s="11" t="str">
        <f aca="false">IF(B555="","",IFERROR(INDEX(Students!$B$4:$B$203,MATCH(B555,Students!$A$4:$A$203,0)),""))</f>
        <v/>
      </c>
      <c r="D555" s="11" t="str">
        <f aca="false">IF(B555="","",IFERROR(INDEX(Students!$H$4:$H$203,MATCH(B555,Students!$A$4:$A$203,0)),""))</f>
        <v/>
      </c>
      <c r="E555" s="18"/>
      <c r="F555" s="18"/>
      <c r="G555" s="18"/>
      <c r="H555" s="18"/>
      <c r="I555" s="18"/>
      <c r="J555" s="18"/>
      <c r="K555" s="18"/>
      <c r="L555" s="18"/>
    </row>
    <row r="556" customFormat="false" ht="15" hidden="false" customHeight="true" outlineLevel="0" collapsed="false">
      <c r="A556" s="19"/>
      <c r="B556" s="17"/>
      <c r="C556" s="11" t="str">
        <f aca="false">IF(B556="","",IFERROR(INDEX(Students!$B$4:$B$203,MATCH(B556,Students!$A$4:$A$203,0)),""))</f>
        <v/>
      </c>
      <c r="D556" s="11" t="str">
        <f aca="false">IF(B556="","",IFERROR(INDEX(Students!$H$4:$H$203,MATCH(B556,Students!$A$4:$A$203,0)),""))</f>
        <v/>
      </c>
      <c r="E556" s="18"/>
      <c r="F556" s="18"/>
      <c r="G556" s="18"/>
      <c r="H556" s="18"/>
      <c r="I556" s="18"/>
      <c r="J556" s="18"/>
      <c r="K556" s="18"/>
      <c r="L556" s="18"/>
    </row>
    <row r="557" customFormat="false" ht="15" hidden="false" customHeight="true" outlineLevel="0" collapsed="false">
      <c r="A557" s="19"/>
      <c r="B557" s="17"/>
      <c r="C557" s="11" t="str">
        <f aca="false">IF(B557="","",IFERROR(INDEX(Students!$B$4:$B$203,MATCH(B557,Students!$A$4:$A$203,0)),""))</f>
        <v/>
      </c>
      <c r="D557" s="11" t="str">
        <f aca="false">IF(B557="","",IFERROR(INDEX(Students!$H$4:$H$203,MATCH(B557,Students!$A$4:$A$203,0)),""))</f>
        <v/>
      </c>
      <c r="E557" s="18"/>
      <c r="F557" s="18"/>
      <c r="G557" s="18"/>
      <c r="H557" s="18"/>
      <c r="I557" s="18"/>
      <c r="J557" s="18"/>
      <c r="K557" s="18"/>
      <c r="L557" s="18"/>
    </row>
    <row r="558" customFormat="false" ht="15" hidden="false" customHeight="true" outlineLevel="0" collapsed="false">
      <c r="A558" s="19"/>
      <c r="B558" s="17"/>
      <c r="C558" s="11" t="str">
        <f aca="false">IF(B558="","",IFERROR(INDEX(Students!$B$4:$B$203,MATCH(B558,Students!$A$4:$A$203,0)),""))</f>
        <v/>
      </c>
      <c r="D558" s="11" t="str">
        <f aca="false">IF(B558="","",IFERROR(INDEX(Students!$H$4:$H$203,MATCH(B558,Students!$A$4:$A$203,0)),""))</f>
        <v/>
      </c>
      <c r="E558" s="18"/>
      <c r="F558" s="18"/>
      <c r="G558" s="18"/>
      <c r="H558" s="18"/>
      <c r="I558" s="18"/>
      <c r="J558" s="18"/>
      <c r="K558" s="18"/>
      <c r="L558" s="18"/>
    </row>
    <row r="559" customFormat="false" ht="15" hidden="false" customHeight="true" outlineLevel="0" collapsed="false">
      <c r="A559" s="19"/>
      <c r="B559" s="17"/>
      <c r="C559" s="11" t="str">
        <f aca="false">IF(B559="","",IFERROR(INDEX(Students!$B$4:$B$203,MATCH(B559,Students!$A$4:$A$203,0)),""))</f>
        <v/>
      </c>
      <c r="D559" s="11" t="str">
        <f aca="false">IF(B559="","",IFERROR(INDEX(Students!$H$4:$H$203,MATCH(B559,Students!$A$4:$A$203,0)),""))</f>
        <v/>
      </c>
      <c r="E559" s="18"/>
      <c r="F559" s="18"/>
      <c r="G559" s="18"/>
      <c r="H559" s="18"/>
      <c r="I559" s="18"/>
      <c r="J559" s="18"/>
      <c r="K559" s="18"/>
      <c r="L559" s="18"/>
    </row>
    <row r="560" customFormat="false" ht="15" hidden="false" customHeight="true" outlineLevel="0" collapsed="false">
      <c r="A560" s="19"/>
      <c r="B560" s="17"/>
      <c r="C560" s="11" t="str">
        <f aca="false">IF(B560="","",IFERROR(INDEX(Students!$B$4:$B$203,MATCH(B560,Students!$A$4:$A$203,0)),""))</f>
        <v/>
      </c>
      <c r="D560" s="11" t="str">
        <f aca="false">IF(B560="","",IFERROR(INDEX(Students!$H$4:$H$203,MATCH(B560,Students!$A$4:$A$203,0)),""))</f>
        <v/>
      </c>
      <c r="E560" s="18"/>
      <c r="F560" s="18"/>
      <c r="G560" s="18"/>
      <c r="H560" s="18"/>
      <c r="I560" s="18"/>
      <c r="J560" s="18"/>
      <c r="K560" s="18"/>
      <c r="L560" s="18"/>
    </row>
    <row r="561" customFormat="false" ht="15" hidden="false" customHeight="true" outlineLevel="0" collapsed="false">
      <c r="A561" s="19"/>
      <c r="B561" s="17"/>
      <c r="C561" s="11" t="str">
        <f aca="false">IF(B561="","",IFERROR(INDEX(Students!$B$4:$B$203,MATCH(B561,Students!$A$4:$A$203,0)),""))</f>
        <v/>
      </c>
      <c r="D561" s="11" t="str">
        <f aca="false">IF(B561="","",IFERROR(INDEX(Students!$H$4:$H$203,MATCH(B561,Students!$A$4:$A$203,0)),""))</f>
        <v/>
      </c>
      <c r="E561" s="18"/>
      <c r="F561" s="18"/>
      <c r="G561" s="18"/>
      <c r="H561" s="18"/>
      <c r="I561" s="18"/>
      <c r="J561" s="18"/>
      <c r="K561" s="18"/>
      <c r="L561" s="18"/>
    </row>
    <row r="562" customFormat="false" ht="15" hidden="false" customHeight="true" outlineLevel="0" collapsed="false">
      <c r="A562" s="19"/>
      <c r="B562" s="17"/>
      <c r="C562" s="11" t="str">
        <f aca="false">IF(B562="","",IFERROR(INDEX(Students!$B$4:$B$203,MATCH(B562,Students!$A$4:$A$203,0)),""))</f>
        <v/>
      </c>
      <c r="D562" s="11" t="str">
        <f aca="false">IF(B562="","",IFERROR(INDEX(Students!$H$4:$H$203,MATCH(B562,Students!$A$4:$A$203,0)),""))</f>
        <v/>
      </c>
      <c r="E562" s="18"/>
      <c r="F562" s="18"/>
      <c r="G562" s="18"/>
      <c r="H562" s="18"/>
      <c r="I562" s="18"/>
      <c r="J562" s="18"/>
      <c r="K562" s="18"/>
      <c r="L562" s="18"/>
    </row>
    <row r="563" customFormat="false" ht="15" hidden="false" customHeight="true" outlineLevel="0" collapsed="false">
      <c r="A563" s="19"/>
      <c r="B563" s="17"/>
      <c r="C563" s="11" t="str">
        <f aca="false">IF(B563="","",IFERROR(INDEX(Students!$B$4:$B$203,MATCH(B563,Students!$A$4:$A$203,0)),""))</f>
        <v/>
      </c>
      <c r="D563" s="11" t="str">
        <f aca="false">IF(B563="","",IFERROR(INDEX(Students!$H$4:$H$203,MATCH(B563,Students!$A$4:$A$203,0)),""))</f>
        <v/>
      </c>
      <c r="E563" s="18"/>
      <c r="F563" s="18"/>
      <c r="G563" s="18"/>
      <c r="H563" s="18"/>
      <c r="I563" s="18"/>
      <c r="J563" s="18"/>
      <c r="K563" s="18"/>
      <c r="L563" s="18"/>
    </row>
    <row r="564" customFormat="false" ht="15" hidden="false" customHeight="true" outlineLevel="0" collapsed="false">
      <c r="A564" s="19"/>
      <c r="B564" s="17"/>
      <c r="C564" s="11" t="str">
        <f aca="false">IF(B564="","",IFERROR(INDEX(Students!$B$4:$B$203,MATCH(B564,Students!$A$4:$A$203,0)),""))</f>
        <v/>
      </c>
      <c r="D564" s="11" t="str">
        <f aca="false">IF(B564="","",IFERROR(INDEX(Students!$H$4:$H$203,MATCH(B564,Students!$A$4:$A$203,0)),""))</f>
        <v/>
      </c>
      <c r="E564" s="18"/>
      <c r="F564" s="18"/>
      <c r="G564" s="18"/>
      <c r="H564" s="18"/>
      <c r="I564" s="18"/>
      <c r="J564" s="18"/>
      <c r="K564" s="18"/>
      <c r="L564" s="18"/>
    </row>
    <row r="565" customFormat="false" ht="15" hidden="false" customHeight="true" outlineLevel="0" collapsed="false">
      <c r="A565" s="19"/>
      <c r="B565" s="17"/>
      <c r="C565" s="11" t="str">
        <f aca="false">IF(B565="","",IFERROR(INDEX(Students!$B$4:$B$203,MATCH(B565,Students!$A$4:$A$203,0)),""))</f>
        <v/>
      </c>
      <c r="D565" s="11" t="str">
        <f aca="false">IF(B565="","",IFERROR(INDEX(Students!$H$4:$H$203,MATCH(B565,Students!$A$4:$A$203,0)),""))</f>
        <v/>
      </c>
      <c r="E565" s="18"/>
      <c r="F565" s="18"/>
      <c r="G565" s="18"/>
      <c r="H565" s="18"/>
      <c r="I565" s="18"/>
      <c r="J565" s="18"/>
      <c r="K565" s="18"/>
      <c r="L565" s="18"/>
    </row>
    <row r="566" customFormat="false" ht="15" hidden="false" customHeight="true" outlineLevel="0" collapsed="false">
      <c r="A566" s="19"/>
      <c r="B566" s="17"/>
      <c r="C566" s="11" t="str">
        <f aca="false">IF(B566="","",IFERROR(INDEX(Students!$B$4:$B$203,MATCH(B566,Students!$A$4:$A$203,0)),""))</f>
        <v/>
      </c>
      <c r="D566" s="11" t="str">
        <f aca="false">IF(B566="","",IFERROR(INDEX(Students!$H$4:$H$203,MATCH(B566,Students!$A$4:$A$203,0)),""))</f>
        <v/>
      </c>
      <c r="E566" s="18"/>
      <c r="F566" s="18"/>
      <c r="G566" s="18"/>
      <c r="H566" s="18"/>
      <c r="I566" s="18"/>
      <c r="J566" s="18"/>
      <c r="K566" s="18"/>
      <c r="L566" s="18"/>
    </row>
    <row r="567" customFormat="false" ht="15" hidden="false" customHeight="true" outlineLevel="0" collapsed="false">
      <c r="A567" s="19"/>
      <c r="B567" s="17"/>
      <c r="C567" s="11" t="str">
        <f aca="false">IF(B567="","",IFERROR(INDEX(Students!$B$4:$B$203,MATCH(B567,Students!$A$4:$A$203,0)),""))</f>
        <v/>
      </c>
      <c r="D567" s="11" t="str">
        <f aca="false">IF(B567="","",IFERROR(INDEX(Students!$H$4:$H$203,MATCH(B567,Students!$A$4:$A$203,0)),""))</f>
        <v/>
      </c>
      <c r="E567" s="18"/>
      <c r="F567" s="18"/>
      <c r="G567" s="18"/>
      <c r="H567" s="18"/>
      <c r="I567" s="18"/>
      <c r="J567" s="18"/>
      <c r="K567" s="18"/>
      <c r="L567" s="18"/>
    </row>
    <row r="568" customFormat="false" ht="15" hidden="false" customHeight="true" outlineLevel="0" collapsed="false">
      <c r="A568" s="19"/>
      <c r="B568" s="17"/>
      <c r="C568" s="11" t="str">
        <f aca="false">IF(B568="","",IFERROR(INDEX(Students!$B$4:$B$203,MATCH(B568,Students!$A$4:$A$203,0)),""))</f>
        <v/>
      </c>
      <c r="D568" s="11" t="str">
        <f aca="false">IF(B568="","",IFERROR(INDEX(Students!$H$4:$H$203,MATCH(B568,Students!$A$4:$A$203,0)),""))</f>
        <v/>
      </c>
      <c r="E568" s="18"/>
      <c r="F568" s="18"/>
      <c r="G568" s="18"/>
      <c r="H568" s="18"/>
      <c r="I568" s="18"/>
      <c r="J568" s="18"/>
      <c r="K568" s="18"/>
      <c r="L568" s="18"/>
    </row>
    <row r="569" customFormat="false" ht="15" hidden="false" customHeight="true" outlineLevel="0" collapsed="false">
      <c r="A569" s="19"/>
      <c r="B569" s="17"/>
      <c r="C569" s="11" t="str">
        <f aca="false">IF(B569="","",IFERROR(INDEX(Students!$B$4:$B$203,MATCH(B569,Students!$A$4:$A$203,0)),""))</f>
        <v/>
      </c>
      <c r="D569" s="11" t="str">
        <f aca="false">IF(B569="","",IFERROR(INDEX(Students!$H$4:$H$203,MATCH(B569,Students!$A$4:$A$203,0)),""))</f>
        <v/>
      </c>
      <c r="E569" s="18"/>
      <c r="F569" s="18"/>
      <c r="G569" s="18"/>
      <c r="H569" s="18"/>
      <c r="I569" s="18"/>
      <c r="J569" s="18"/>
      <c r="K569" s="18"/>
      <c r="L569" s="18"/>
    </row>
    <row r="570" customFormat="false" ht="15" hidden="false" customHeight="true" outlineLevel="0" collapsed="false">
      <c r="A570" s="19"/>
      <c r="B570" s="17"/>
      <c r="C570" s="11" t="str">
        <f aca="false">IF(B570="","",IFERROR(INDEX(Students!$B$4:$B$203,MATCH(B570,Students!$A$4:$A$203,0)),""))</f>
        <v/>
      </c>
      <c r="D570" s="11" t="str">
        <f aca="false">IF(B570="","",IFERROR(INDEX(Students!$H$4:$H$203,MATCH(B570,Students!$A$4:$A$203,0)),""))</f>
        <v/>
      </c>
      <c r="E570" s="18"/>
      <c r="F570" s="18"/>
      <c r="G570" s="18"/>
      <c r="H570" s="18"/>
      <c r="I570" s="18"/>
      <c r="J570" s="18"/>
      <c r="K570" s="18"/>
      <c r="L570" s="18"/>
    </row>
    <row r="571" customFormat="false" ht="15" hidden="false" customHeight="true" outlineLevel="0" collapsed="false">
      <c r="A571" s="19"/>
      <c r="B571" s="17"/>
      <c r="C571" s="11" t="str">
        <f aca="false">IF(B571="","",IFERROR(INDEX(Students!$B$4:$B$203,MATCH(B571,Students!$A$4:$A$203,0)),""))</f>
        <v/>
      </c>
      <c r="D571" s="11" t="str">
        <f aca="false">IF(B571="","",IFERROR(INDEX(Students!$H$4:$H$203,MATCH(B571,Students!$A$4:$A$203,0)),""))</f>
        <v/>
      </c>
      <c r="E571" s="18"/>
      <c r="F571" s="18"/>
      <c r="G571" s="18"/>
      <c r="H571" s="18"/>
      <c r="I571" s="18"/>
      <c r="J571" s="18"/>
      <c r="K571" s="18"/>
      <c r="L571" s="18"/>
    </row>
    <row r="572" customFormat="false" ht="15" hidden="false" customHeight="true" outlineLevel="0" collapsed="false">
      <c r="A572" s="19"/>
      <c r="B572" s="17"/>
      <c r="C572" s="11" t="str">
        <f aca="false">IF(B572="","",IFERROR(INDEX(Students!$B$4:$B$203,MATCH(B572,Students!$A$4:$A$203,0)),""))</f>
        <v/>
      </c>
      <c r="D572" s="11" t="str">
        <f aca="false">IF(B572="","",IFERROR(INDEX(Students!$H$4:$H$203,MATCH(B572,Students!$A$4:$A$203,0)),""))</f>
        <v/>
      </c>
      <c r="E572" s="18"/>
      <c r="F572" s="18"/>
      <c r="G572" s="18"/>
      <c r="H572" s="18"/>
      <c r="I572" s="18"/>
      <c r="J572" s="18"/>
      <c r="K572" s="18"/>
      <c r="L572" s="18"/>
    </row>
    <row r="573" customFormat="false" ht="15" hidden="false" customHeight="true" outlineLevel="0" collapsed="false">
      <c r="A573" s="19"/>
      <c r="B573" s="17"/>
      <c r="C573" s="11" t="str">
        <f aca="false">IF(B573="","",IFERROR(INDEX(Students!$B$4:$B$203,MATCH(B573,Students!$A$4:$A$203,0)),""))</f>
        <v/>
      </c>
      <c r="D573" s="11" t="str">
        <f aca="false">IF(B573="","",IFERROR(INDEX(Students!$H$4:$H$203,MATCH(B573,Students!$A$4:$A$203,0)),""))</f>
        <v/>
      </c>
      <c r="E573" s="18"/>
      <c r="F573" s="18"/>
      <c r="G573" s="18"/>
      <c r="H573" s="18"/>
      <c r="I573" s="18"/>
      <c r="J573" s="18"/>
      <c r="K573" s="18"/>
      <c r="L573" s="18"/>
    </row>
    <row r="574" customFormat="false" ht="15" hidden="false" customHeight="true" outlineLevel="0" collapsed="false">
      <c r="A574" s="19"/>
      <c r="B574" s="17"/>
      <c r="C574" s="11" t="str">
        <f aca="false">IF(B574="","",IFERROR(INDEX(Students!$B$4:$B$203,MATCH(B574,Students!$A$4:$A$203,0)),""))</f>
        <v/>
      </c>
      <c r="D574" s="11" t="str">
        <f aca="false">IF(B574="","",IFERROR(INDEX(Students!$H$4:$H$203,MATCH(B574,Students!$A$4:$A$203,0)),""))</f>
        <v/>
      </c>
      <c r="E574" s="18"/>
      <c r="F574" s="18"/>
      <c r="G574" s="18"/>
      <c r="H574" s="18"/>
      <c r="I574" s="18"/>
      <c r="J574" s="18"/>
      <c r="K574" s="18"/>
      <c r="L574" s="18"/>
    </row>
    <row r="575" customFormat="false" ht="15" hidden="false" customHeight="true" outlineLevel="0" collapsed="false">
      <c r="A575" s="19"/>
      <c r="B575" s="17"/>
      <c r="C575" s="11" t="str">
        <f aca="false">IF(B575="","",IFERROR(INDEX(Students!$B$4:$B$203,MATCH(B575,Students!$A$4:$A$203,0)),""))</f>
        <v/>
      </c>
      <c r="D575" s="11" t="str">
        <f aca="false">IF(B575="","",IFERROR(INDEX(Students!$H$4:$H$203,MATCH(B575,Students!$A$4:$A$203,0)),""))</f>
        <v/>
      </c>
      <c r="E575" s="18"/>
      <c r="F575" s="18"/>
      <c r="G575" s="18"/>
      <c r="H575" s="18"/>
      <c r="I575" s="18"/>
      <c r="J575" s="18"/>
      <c r="K575" s="18"/>
      <c r="L575" s="18"/>
    </row>
    <row r="576" customFormat="false" ht="15" hidden="false" customHeight="true" outlineLevel="0" collapsed="false">
      <c r="A576" s="19"/>
      <c r="B576" s="17"/>
      <c r="C576" s="11" t="str">
        <f aca="false">IF(B576="","",IFERROR(INDEX(Students!$B$4:$B$203,MATCH(B576,Students!$A$4:$A$203,0)),""))</f>
        <v/>
      </c>
      <c r="D576" s="11" t="str">
        <f aca="false">IF(B576="","",IFERROR(INDEX(Students!$H$4:$H$203,MATCH(B576,Students!$A$4:$A$203,0)),""))</f>
        <v/>
      </c>
      <c r="E576" s="18"/>
      <c r="F576" s="18"/>
      <c r="G576" s="18"/>
      <c r="H576" s="18"/>
      <c r="I576" s="18"/>
      <c r="J576" s="18"/>
      <c r="K576" s="18"/>
      <c r="L576" s="18"/>
    </row>
    <row r="577" customFormat="false" ht="15" hidden="false" customHeight="true" outlineLevel="0" collapsed="false">
      <c r="A577" s="19"/>
      <c r="B577" s="17"/>
      <c r="C577" s="11" t="str">
        <f aca="false">IF(B577="","",IFERROR(INDEX(Students!$B$4:$B$203,MATCH(B577,Students!$A$4:$A$203,0)),""))</f>
        <v/>
      </c>
      <c r="D577" s="11" t="str">
        <f aca="false">IF(B577="","",IFERROR(INDEX(Students!$H$4:$H$203,MATCH(B577,Students!$A$4:$A$203,0)),""))</f>
        <v/>
      </c>
      <c r="E577" s="18"/>
      <c r="F577" s="18"/>
      <c r="G577" s="18"/>
      <c r="H577" s="18"/>
      <c r="I577" s="18"/>
      <c r="J577" s="18"/>
      <c r="K577" s="18"/>
      <c r="L577" s="18"/>
    </row>
    <row r="578" customFormat="false" ht="15" hidden="false" customHeight="true" outlineLevel="0" collapsed="false">
      <c r="A578" s="19"/>
      <c r="B578" s="17"/>
      <c r="C578" s="11" t="str">
        <f aca="false">IF(B578="","",IFERROR(INDEX(Students!$B$4:$B$203,MATCH(B578,Students!$A$4:$A$203,0)),""))</f>
        <v/>
      </c>
      <c r="D578" s="11" t="str">
        <f aca="false">IF(B578="","",IFERROR(INDEX(Students!$H$4:$H$203,MATCH(B578,Students!$A$4:$A$203,0)),""))</f>
        <v/>
      </c>
      <c r="E578" s="18"/>
      <c r="F578" s="18"/>
      <c r="G578" s="18"/>
      <c r="H578" s="18"/>
      <c r="I578" s="18"/>
      <c r="J578" s="18"/>
      <c r="K578" s="18"/>
      <c r="L578" s="18"/>
    </row>
    <row r="579" customFormat="false" ht="15" hidden="false" customHeight="true" outlineLevel="0" collapsed="false">
      <c r="A579" s="19"/>
      <c r="B579" s="17"/>
      <c r="C579" s="11" t="str">
        <f aca="false">IF(B579="","",IFERROR(INDEX(Students!$B$4:$B$203,MATCH(B579,Students!$A$4:$A$203,0)),""))</f>
        <v/>
      </c>
      <c r="D579" s="11" t="str">
        <f aca="false">IF(B579="","",IFERROR(INDEX(Students!$H$4:$H$203,MATCH(B579,Students!$A$4:$A$203,0)),""))</f>
        <v/>
      </c>
      <c r="E579" s="18"/>
      <c r="F579" s="18"/>
      <c r="G579" s="18"/>
      <c r="H579" s="18"/>
      <c r="I579" s="18"/>
      <c r="J579" s="18"/>
      <c r="K579" s="18"/>
      <c r="L579" s="18"/>
    </row>
    <row r="580" customFormat="false" ht="15" hidden="false" customHeight="true" outlineLevel="0" collapsed="false">
      <c r="A580" s="19"/>
      <c r="B580" s="17"/>
      <c r="C580" s="11" t="str">
        <f aca="false">IF(B580="","",IFERROR(INDEX(Students!$B$4:$B$203,MATCH(B580,Students!$A$4:$A$203,0)),""))</f>
        <v/>
      </c>
      <c r="D580" s="11" t="str">
        <f aca="false">IF(B580="","",IFERROR(INDEX(Students!$H$4:$H$203,MATCH(B580,Students!$A$4:$A$203,0)),""))</f>
        <v/>
      </c>
      <c r="E580" s="18"/>
      <c r="F580" s="18"/>
      <c r="G580" s="18"/>
      <c r="H580" s="18"/>
      <c r="I580" s="18"/>
      <c r="J580" s="18"/>
      <c r="K580" s="18"/>
      <c r="L580" s="18"/>
    </row>
    <row r="581" customFormat="false" ht="15" hidden="false" customHeight="true" outlineLevel="0" collapsed="false">
      <c r="A581" s="19"/>
      <c r="B581" s="17"/>
      <c r="C581" s="11" t="str">
        <f aca="false">IF(B581="","",IFERROR(INDEX(Students!$B$4:$B$203,MATCH(B581,Students!$A$4:$A$203,0)),""))</f>
        <v/>
      </c>
      <c r="D581" s="11" t="str">
        <f aca="false">IF(B581="","",IFERROR(INDEX(Students!$H$4:$H$203,MATCH(B581,Students!$A$4:$A$203,0)),""))</f>
        <v/>
      </c>
      <c r="E581" s="18"/>
      <c r="F581" s="18"/>
      <c r="G581" s="18"/>
      <c r="H581" s="18"/>
      <c r="I581" s="18"/>
      <c r="J581" s="18"/>
      <c r="K581" s="18"/>
      <c r="L581" s="18"/>
    </row>
    <row r="582" customFormat="false" ht="15" hidden="false" customHeight="true" outlineLevel="0" collapsed="false">
      <c r="A582" s="19"/>
      <c r="B582" s="17"/>
      <c r="C582" s="11" t="str">
        <f aca="false">IF(B582="","",IFERROR(INDEX(Students!$B$4:$B$203,MATCH(B582,Students!$A$4:$A$203,0)),""))</f>
        <v/>
      </c>
      <c r="D582" s="11" t="str">
        <f aca="false">IF(B582="","",IFERROR(INDEX(Students!$H$4:$H$203,MATCH(B582,Students!$A$4:$A$203,0)),""))</f>
        <v/>
      </c>
      <c r="E582" s="18"/>
      <c r="F582" s="18"/>
      <c r="G582" s="18"/>
      <c r="H582" s="18"/>
      <c r="I582" s="18"/>
      <c r="J582" s="18"/>
      <c r="K582" s="18"/>
      <c r="L582" s="18"/>
    </row>
    <row r="583" customFormat="false" ht="15" hidden="false" customHeight="true" outlineLevel="0" collapsed="false">
      <c r="A583" s="19"/>
      <c r="B583" s="17"/>
      <c r="C583" s="11" t="str">
        <f aca="false">IF(B583="","",IFERROR(INDEX(Students!$B$4:$B$203,MATCH(B583,Students!$A$4:$A$203,0)),""))</f>
        <v/>
      </c>
      <c r="D583" s="11" t="str">
        <f aca="false">IF(B583="","",IFERROR(INDEX(Students!$H$4:$H$203,MATCH(B583,Students!$A$4:$A$203,0)),""))</f>
        <v/>
      </c>
      <c r="E583" s="18"/>
      <c r="F583" s="18"/>
      <c r="G583" s="18"/>
      <c r="H583" s="18"/>
      <c r="I583" s="18"/>
      <c r="J583" s="18"/>
      <c r="K583" s="18"/>
      <c r="L583" s="18"/>
    </row>
    <row r="584" customFormat="false" ht="15" hidden="false" customHeight="true" outlineLevel="0" collapsed="false">
      <c r="A584" s="19"/>
      <c r="B584" s="17"/>
      <c r="C584" s="11" t="str">
        <f aca="false">IF(B584="","",IFERROR(INDEX(Students!$B$4:$B$203,MATCH(B584,Students!$A$4:$A$203,0)),""))</f>
        <v/>
      </c>
      <c r="D584" s="11" t="str">
        <f aca="false">IF(B584="","",IFERROR(INDEX(Students!$H$4:$H$203,MATCH(B584,Students!$A$4:$A$203,0)),""))</f>
        <v/>
      </c>
      <c r="E584" s="18"/>
      <c r="F584" s="18"/>
      <c r="G584" s="18"/>
      <c r="H584" s="18"/>
      <c r="I584" s="18"/>
      <c r="J584" s="18"/>
      <c r="K584" s="18"/>
      <c r="L584" s="18"/>
    </row>
    <row r="585" customFormat="false" ht="15" hidden="false" customHeight="true" outlineLevel="0" collapsed="false">
      <c r="A585" s="19"/>
      <c r="B585" s="17"/>
      <c r="C585" s="11" t="str">
        <f aca="false">IF(B585="","",IFERROR(INDEX(Students!$B$4:$B$203,MATCH(B585,Students!$A$4:$A$203,0)),""))</f>
        <v/>
      </c>
      <c r="D585" s="11" t="str">
        <f aca="false">IF(B585="","",IFERROR(INDEX(Students!$H$4:$H$203,MATCH(B585,Students!$A$4:$A$203,0)),""))</f>
        <v/>
      </c>
      <c r="E585" s="18"/>
      <c r="F585" s="18"/>
      <c r="G585" s="18"/>
      <c r="H585" s="18"/>
      <c r="I585" s="18"/>
      <c r="J585" s="18"/>
      <c r="K585" s="18"/>
      <c r="L585" s="18"/>
    </row>
    <row r="586" customFormat="false" ht="15" hidden="false" customHeight="true" outlineLevel="0" collapsed="false">
      <c r="A586" s="19"/>
      <c r="B586" s="17"/>
      <c r="C586" s="11" t="str">
        <f aca="false">IF(B586="","",IFERROR(INDEX(Students!$B$4:$B$203,MATCH(B586,Students!$A$4:$A$203,0)),""))</f>
        <v/>
      </c>
      <c r="D586" s="11" t="str">
        <f aca="false">IF(B586="","",IFERROR(INDEX(Students!$H$4:$H$203,MATCH(B586,Students!$A$4:$A$203,0)),""))</f>
        <v/>
      </c>
      <c r="E586" s="18"/>
      <c r="F586" s="18"/>
      <c r="G586" s="18"/>
      <c r="H586" s="18"/>
      <c r="I586" s="18"/>
      <c r="J586" s="18"/>
      <c r="K586" s="18"/>
      <c r="L586" s="18"/>
    </row>
    <row r="587" customFormat="false" ht="15" hidden="false" customHeight="true" outlineLevel="0" collapsed="false">
      <c r="A587" s="19"/>
      <c r="B587" s="17"/>
      <c r="C587" s="11" t="str">
        <f aca="false">IF(B587="","",IFERROR(INDEX(Students!$B$4:$B$203,MATCH(B587,Students!$A$4:$A$203,0)),""))</f>
        <v/>
      </c>
      <c r="D587" s="11" t="str">
        <f aca="false">IF(B587="","",IFERROR(INDEX(Students!$H$4:$H$203,MATCH(B587,Students!$A$4:$A$203,0)),""))</f>
        <v/>
      </c>
      <c r="E587" s="18"/>
      <c r="F587" s="18"/>
      <c r="G587" s="18"/>
      <c r="H587" s="18"/>
      <c r="I587" s="18"/>
      <c r="J587" s="18"/>
      <c r="K587" s="18"/>
      <c r="L587" s="18"/>
    </row>
    <row r="588" customFormat="false" ht="15" hidden="false" customHeight="true" outlineLevel="0" collapsed="false">
      <c r="A588" s="19"/>
      <c r="B588" s="17"/>
      <c r="C588" s="11" t="str">
        <f aca="false">IF(B588="","",IFERROR(INDEX(Students!$B$4:$B$203,MATCH(B588,Students!$A$4:$A$203,0)),""))</f>
        <v/>
      </c>
      <c r="D588" s="11" t="str">
        <f aca="false">IF(B588="","",IFERROR(INDEX(Students!$H$4:$H$203,MATCH(B588,Students!$A$4:$A$203,0)),""))</f>
        <v/>
      </c>
      <c r="E588" s="18"/>
      <c r="F588" s="18"/>
      <c r="G588" s="18"/>
      <c r="H588" s="18"/>
      <c r="I588" s="18"/>
      <c r="J588" s="18"/>
      <c r="K588" s="18"/>
      <c r="L588" s="18"/>
    </row>
    <row r="589" customFormat="false" ht="15" hidden="false" customHeight="true" outlineLevel="0" collapsed="false">
      <c r="A589" s="19"/>
      <c r="B589" s="17"/>
      <c r="C589" s="11" t="str">
        <f aca="false">IF(B589="","",IFERROR(INDEX(Students!$B$4:$B$203,MATCH(B589,Students!$A$4:$A$203,0)),""))</f>
        <v/>
      </c>
      <c r="D589" s="11" t="str">
        <f aca="false">IF(B589="","",IFERROR(INDEX(Students!$H$4:$H$203,MATCH(B589,Students!$A$4:$A$203,0)),""))</f>
        <v/>
      </c>
      <c r="E589" s="18"/>
      <c r="F589" s="18"/>
      <c r="G589" s="18"/>
      <c r="H589" s="18"/>
      <c r="I589" s="18"/>
      <c r="J589" s="18"/>
      <c r="K589" s="18"/>
      <c r="L589" s="18"/>
    </row>
    <row r="590" customFormat="false" ht="15" hidden="false" customHeight="true" outlineLevel="0" collapsed="false">
      <c r="A590" s="19"/>
      <c r="B590" s="17"/>
      <c r="C590" s="11" t="str">
        <f aca="false">IF(B590="","",IFERROR(INDEX(Students!$B$4:$B$203,MATCH(B590,Students!$A$4:$A$203,0)),""))</f>
        <v/>
      </c>
      <c r="D590" s="11" t="str">
        <f aca="false">IF(B590="","",IFERROR(INDEX(Students!$H$4:$H$203,MATCH(B590,Students!$A$4:$A$203,0)),""))</f>
        <v/>
      </c>
      <c r="E590" s="18"/>
      <c r="F590" s="18"/>
      <c r="G590" s="18"/>
      <c r="H590" s="18"/>
      <c r="I590" s="18"/>
      <c r="J590" s="18"/>
      <c r="K590" s="18"/>
      <c r="L590" s="18"/>
    </row>
    <row r="591" customFormat="false" ht="15" hidden="false" customHeight="true" outlineLevel="0" collapsed="false">
      <c r="A591" s="19"/>
      <c r="B591" s="17"/>
      <c r="C591" s="11" t="str">
        <f aca="false">IF(B591="","",IFERROR(INDEX(Students!$B$4:$B$203,MATCH(B591,Students!$A$4:$A$203,0)),""))</f>
        <v/>
      </c>
      <c r="D591" s="11" t="str">
        <f aca="false">IF(B591="","",IFERROR(INDEX(Students!$H$4:$H$203,MATCH(B591,Students!$A$4:$A$203,0)),""))</f>
        <v/>
      </c>
      <c r="E591" s="18"/>
      <c r="F591" s="18"/>
      <c r="G591" s="18"/>
      <c r="H591" s="18"/>
      <c r="I591" s="18"/>
      <c r="J591" s="18"/>
      <c r="K591" s="18"/>
      <c r="L591" s="18"/>
    </row>
    <row r="592" customFormat="false" ht="15" hidden="false" customHeight="true" outlineLevel="0" collapsed="false">
      <c r="A592" s="19"/>
      <c r="B592" s="17"/>
      <c r="C592" s="11" t="str">
        <f aca="false">IF(B592="","",IFERROR(INDEX(Students!$B$4:$B$203,MATCH(B592,Students!$A$4:$A$203,0)),""))</f>
        <v/>
      </c>
      <c r="D592" s="11" t="str">
        <f aca="false">IF(B592="","",IFERROR(INDEX(Students!$H$4:$H$203,MATCH(B592,Students!$A$4:$A$203,0)),""))</f>
        <v/>
      </c>
      <c r="E592" s="18"/>
      <c r="F592" s="18"/>
      <c r="G592" s="18"/>
      <c r="H592" s="18"/>
      <c r="I592" s="18"/>
      <c r="J592" s="18"/>
      <c r="K592" s="18"/>
      <c r="L592" s="18"/>
    </row>
    <row r="593" customFormat="false" ht="15" hidden="false" customHeight="true" outlineLevel="0" collapsed="false">
      <c r="A593" s="19"/>
      <c r="B593" s="17"/>
      <c r="C593" s="11" t="str">
        <f aca="false">IF(B593="","",IFERROR(INDEX(Students!$B$4:$B$203,MATCH(B593,Students!$A$4:$A$203,0)),""))</f>
        <v/>
      </c>
      <c r="D593" s="11" t="str">
        <f aca="false">IF(B593="","",IFERROR(INDEX(Students!$H$4:$H$203,MATCH(B593,Students!$A$4:$A$203,0)),""))</f>
        <v/>
      </c>
      <c r="E593" s="18"/>
      <c r="F593" s="18"/>
      <c r="G593" s="18"/>
      <c r="H593" s="18"/>
      <c r="I593" s="18"/>
      <c r="J593" s="18"/>
      <c r="K593" s="18"/>
      <c r="L593" s="18"/>
    </row>
    <row r="594" customFormat="false" ht="15" hidden="false" customHeight="true" outlineLevel="0" collapsed="false">
      <c r="A594" s="19"/>
      <c r="B594" s="17"/>
      <c r="C594" s="11" t="str">
        <f aca="false">IF(B594="","",IFERROR(INDEX(Students!$B$4:$B$203,MATCH(B594,Students!$A$4:$A$203,0)),""))</f>
        <v/>
      </c>
      <c r="D594" s="11" t="str">
        <f aca="false">IF(B594="","",IFERROR(INDEX(Students!$H$4:$H$203,MATCH(B594,Students!$A$4:$A$203,0)),""))</f>
        <v/>
      </c>
      <c r="E594" s="18"/>
      <c r="F594" s="18"/>
      <c r="G594" s="18"/>
      <c r="H594" s="18"/>
      <c r="I594" s="18"/>
      <c r="J594" s="18"/>
      <c r="K594" s="18"/>
      <c r="L594" s="18"/>
    </row>
    <row r="595" customFormat="false" ht="15" hidden="false" customHeight="true" outlineLevel="0" collapsed="false">
      <c r="A595" s="19"/>
      <c r="B595" s="17"/>
      <c r="C595" s="11" t="str">
        <f aca="false">IF(B595="","",IFERROR(INDEX(Students!$B$4:$B$203,MATCH(B595,Students!$A$4:$A$203,0)),""))</f>
        <v/>
      </c>
      <c r="D595" s="11" t="str">
        <f aca="false">IF(B595="","",IFERROR(INDEX(Students!$H$4:$H$203,MATCH(B595,Students!$A$4:$A$203,0)),""))</f>
        <v/>
      </c>
      <c r="E595" s="18"/>
      <c r="F595" s="18"/>
      <c r="G595" s="18"/>
      <c r="H595" s="18"/>
      <c r="I595" s="18"/>
      <c r="J595" s="18"/>
      <c r="K595" s="18"/>
      <c r="L595" s="18"/>
    </row>
    <row r="596" customFormat="false" ht="15" hidden="false" customHeight="true" outlineLevel="0" collapsed="false">
      <c r="A596" s="19"/>
      <c r="B596" s="17"/>
      <c r="C596" s="11" t="str">
        <f aca="false">IF(B596="","",IFERROR(INDEX(Students!$B$4:$B$203,MATCH(B596,Students!$A$4:$A$203,0)),""))</f>
        <v/>
      </c>
      <c r="D596" s="11" t="str">
        <f aca="false">IF(B596="","",IFERROR(INDEX(Students!$H$4:$H$203,MATCH(B596,Students!$A$4:$A$203,0)),""))</f>
        <v/>
      </c>
      <c r="E596" s="18"/>
      <c r="F596" s="18"/>
      <c r="G596" s="18"/>
      <c r="H596" s="18"/>
      <c r="I596" s="18"/>
      <c r="J596" s="18"/>
      <c r="K596" s="18"/>
      <c r="L596" s="18"/>
    </row>
    <row r="597" customFormat="false" ht="15" hidden="false" customHeight="true" outlineLevel="0" collapsed="false">
      <c r="A597" s="19"/>
      <c r="B597" s="17"/>
      <c r="C597" s="11" t="str">
        <f aca="false">IF(B597="","",IFERROR(INDEX(Students!$B$4:$B$203,MATCH(B597,Students!$A$4:$A$203,0)),""))</f>
        <v/>
      </c>
      <c r="D597" s="11" t="str">
        <f aca="false">IF(B597="","",IFERROR(INDEX(Students!$H$4:$H$203,MATCH(B597,Students!$A$4:$A$203,0)),""))</f>
        <v/>
      </c>
      <c r="E597" s="18"/>
      <c r="F597" s="18"/>
      <c r="G597" s="18"/>
      <c r="H597" s="18"/>
      <c r="I597" s="18"/>
      <c r="J597" s="18"/>
      <c r="K597" s="18"/>
      <c r="L597" s="18"/>
    </row>
    <row r="598" customFormat="false" ht="15" hidden="false" customHeight="true" outlineLevel="0" collapsed="false">
      <c r="A598" s="19"/>
      <c r="B598" s="17"/>
      <c r="C598" s="11" t="str">
        <f aca="false">IF(B598="","",IFERROR(INDEX(Students!$B$4:$B$203,MATCH(B598,Students!$A$4:$A$203,0)),""))</f>
        <v/>
      </c>
      <c r="D598" s="11" t="str">
        <f aca="false">IF(B598="","",IFERROR(INDEX(Students!$H$4:$H$203,MATCH(B598,Students!$A$4:$A$203,0)),""))</f>
        <v/>
      </c>
      <c r="E598" s="18"/>
      <c r="F598" s="18"/>
      <c r="G598" s="18"/>
      <c r="H598" s="18"/>
      <c r="I598" s="18"/>
      <c r="J598" s="18"/>
      <c r="K598" s="18"/>
      <c r="L598" s="18"/>
    </row>
    <row r="599" customFormat="false" ht="15" hidden="false" customHeight="true" outlineLevel="0" collapsed="false">
      <c r="A599" s="19"/>
      <c r="B599" s="17"/>
      <c r="C599" s="11" t="str">
        <f aca="false">IF(B599="","",IFERROR(INDEX(Students!$B$4:$B$203,MATCH(B599,Students!$A$4:$A$203,0)),""))</f>
        <v/>
      </c>
      <c r="D599" s="11" t="str">
        <f aca="false">IF(B599="","",IFERROR(INDEX(Students!$H$4:$H$203,MATCH(B599,Students!$A$4:$A$203,0)),""))</f>
        <v/>
      </c>
      <c r="E599" s="18"/>
      <c r="F599" s="18"/>
      <c r="G599" s="18"/>
      <c r="H599" s="18"/>
      <c r="I599" s="18"/>
      <c r="J599" s="18"/>
      <c r="K599" s="18"/>
      <c r="L599" s="18"/>
    </row>
    <row r="600" customFormat="false" ht="15" hidden="false" customHeight="true" outlineLevel="0" collapsed="false">
      <c r="A600" s="19"/>
      <c r="B600" s="17"/>
      <c r="C600" s="11" t="str">
        <f aca="false">IF(B600="","",IFERROR(INDEX(Students!$B$4:$B$203,MATCH(B600,Students!$A$4:$A$203,0)),""))</f>
        <v/>
      </c>
      <c r="D600" s="11" t="str">
        <f aca="false">IF(B600="","",IFERROR(INDEX(Students!$H$4:$H$203,MATCH(B600,Students!$A$4:$A$203,0)),""))</f>
        <v/>
      </c>
      <c r="E600" s="18"/>
      <c r="F600" s="18"/>
      <c r="G600" s="18"/>
      <c r="H600" s="18"/>
      <c r="I600" s="18"/>
      <c r="J600" s="18"/>
      <c r="K600" s="18"/>
      <c r="L600" s="18"/>
    </row>
    <row r="601" customFormat="false" ht="15" hidden="false" customHeight="true" outlineLevel="0" collapsed="false">
      <c r="A601" s="19"/>
      <c r="B601" s="17"/>
      <c r="C601" s="11" t="str">
        <f aca="false">IF(B601="","",IFERROR(INDEX(Students!$B$4:$B$203,MATCH(B601,Students!$A$4:$A$203,0)),""))</f>
        <v/>
      </c>
      <c r="D601" s="11" t="str">
        <f aca="false">IF(B601="","",IFERROR(INDEX(Students!$H$4:$H$203,MATCH(B601,Students!$A$4:$A$203,0)),""))</f>
        <v/>
      </c>
      <c r="E601" s="18"/>
      <c r="F601" s="18"/>
      <c r="G601" s="18"/>
      <c r="H601" s="18"/>
      <c r="I601" s="18"/>
      <c r="J601" s="18"/>
      <c r="K601" s="18"/>
      <c r="L601" s="18"/>
    </row>
    <row r="602" customFormat="false" ht="15" hidden="false" customHeight="true" outlineLevel="0" collapsed="false">
      <c r="A602" s="19"/>
      <c r="B602" s="17"/>
      <c r="C602" s="11" t="str">
        <f aca="false">IF(B602="","",IFERROR(INDEX(Students!$B$4:$B$203,MATCH(B602,Students!$A$4:$A$203,0)),""))</f>
        <v/>
      </c>
      <c r="D602" s="11" t="str">
        <f aca="false">IF(B602="","",IFERROR(INDEX(Students!$H$4:$H$203,MATCH(B602,Students!$A$4:$A$203,0)),""))</f>
        <v/>
      </c>
      <c r="E602" s="18"/>
      <c r="F602" s="18"/>
      <c r="G602" s="18"/>
      <c r="H602" s="18"/>
      <c r="I602" s="18"/>
      <c r="J602" s="18"/>
      <c r="K602" s="18"/>
      <c r="L602" s="18"/>
    </row>
    <row r="603" customFormat="false" ht="15" hidden="false" customHeight="true" outlineLevel="0" collapsed="false">
      <c r="A603" s="19"/>
      <c r="B603" s="17"/>
      <c r="C603" s="11" t="str">
        <f aca="false">IF(B603="","",IFERROR(INDEX(Students!$B$4:$B$203,MATCH(B603,Students!$A$4:$A$203,0)),""))</f>
        <v/>
      </c>
      <c r="D603" s="11" t="str">
        <f aca="false">IF(B603="","",IFERROR(INDEX(Students!$H$4:$H$203,MATCH(B603,Students!$A$4:$A$203,0)),""))</f>
        <v/>
      </c>
      <c r="E603" s="18"/>
      <c r="F603" s="18"/>
      <c r="G603" s="18"/>
      <c r="H603" s="18"/>
      <c r="I603" s="18"/>
      <c r="J603" s="18"/>
      <c r="K603" s="18"/>
      <c r="L603" s="18"/>
    </row>
    <row r="604" customFormat="false" ht="15" hidden="false" customHeight="true" outlineLevel="0" collapsed="false">
      <c r="A604" s="19"/>
      <c r="B604" s="17"/>
      <c r="C604" s="11" t="str">
        <f aca="false">IF(B604="","",IFERROR(INDEX(Students!$B$4:$B$203,MATCH(B604,Students!$A$4:$A$203,0)),""))</f>
        <v/>
      </c>
      <c r="D604" s="11" t="str">
        <f aca="false">IF(B604="","",IFERROR(INDEX(Students!$H$4:$H$203,MATCH(B604,Students!$A$4:$A$203,0)),""))</f>
        <v/>
      </c>
      <c r="E604" s="18"/>
      <c r="F604" s="18"/>
      <c r="G604" s="18"/>
      <c r="H604" s="18"/>
      <c r="I604" s="18"/>
      <c r="J604" s="18"/>
      <c r="K604" s="18"/>
      <c r="L604" s="18"/>
    </row>
    <row r="605" customFormat="false" ht="15" hidden="false" customHeight="true" outlineLevel="0" collapsed="false">
      <c r="A605" s="19"/>
      <c r="B605" s="17"/>
      <c r="C605" s="11" t="str">
        <f aca="false">IF(B605="","",IFERROR(INDEX(Students!$B$4:$B$203,MATCH(B605,Students!$A$4:$A$203,0)),""))</f>
        <v/>
      </c>
      <c r="D605" s="11" t="str">
        <f aca="false">IF(B605="","",IFERROR(INDEX(Students!$H$4:$H$203,MATCH(B605,Students!$A$4:$A$203,0)),""))</f>
        <v/>
      </c>
      <c r="E605" s="18"/>
      <c r="F605" s="18"/>
      <c r="G605" s="18"/>
      <c r="H605" s="18"/>
      <c r="I605" s="18"/>
      <c r="J605" s="18"/>
      <c r="K605" s="18"/>
      <c r="L605" s="18"/>
    </row>
    <row r="606" customFormat="false" ht="15" hidden="false" customHeight="true" outlineLevel="0" collapsed="false">
      <c r="A606" s="19"/>
      <c r="B606" s="17"/>
      <c r="C606" s="11" t="str">
        <f aca="false">IF(B606="","",IFERROR(INDEX(Students!$B$4:$B$203,MATCH(B606,Students!$A$4:$A$203,0)),""))</f>
        <v/>
      </c>
      <c r="D606" s="11" t="str">
        <f aca="false">IF(B606="","",IFERROR(INDEX(Students!$H$4:$H$203,MATCH(B606,Students!$A$4:$A$203,0)),""))</f>
        <v/>
      </c>
      <c r="E606" s="18"/>
      <c r="F606" s="18"/>
      <c r="G606" s="18"/>
      <c r="H606" s="18"/>
      <c r="I606" s="18"/>
      <c r="J606" s="18"/>
      <c r="K606" s="18"/>
      <c r="L606" s="18"/>
    </row>
    <row r="607" customFormat="false" ht="15" hidden="false" customHeight="true" outlineLevel="0" collapsed="false">
      <c r="A607" s="19"/>
      <c r="B607" s="17"/>
      <c r="C607" s="11" t="str">
        <f aca="false">IF(B607="","",IFERROR(INDEX(Students!$B$4:$B$203,MATCH(B607,Students!$A$4:$A$203,0)),""))</f>
        <v/>
      </c>
      <c r="D607" s="11" t="str">
        <f aca="false">IF(B607="","",IFERROR(INDEX(Students!$H$4:$H$203,MATCH(B607,Students!$A$4:$A$203,0)),""))</f>
        <v/>
      </c>
      <c r="E607" s="18"/>
      <c r="F607" s="18"/>
      <c r="G607" s="18"/>
      <c r="H607" s="18"/>
      <c r="I607" s="18"/>
      <c r="J607" s="18"/>
      <c r="K607" s="18"/>
      <c r="L607" s="18"/>
    </row>
    <row r="608" customFormat="false" ht="15" hidden="false" customHeight="true" outlineLevel="0" collapsed="false">
      <c r="A608" s="19"/>
      <c r="B608" s="17"/>
      <c r="C608" s="11" t="str">
        <f aca="false">IF(B608="","",IFERROR(INDEX(Students!$B$4:$B$203,MATCH(B608,Students!$A$4:$A$203,0)),""))</f>
        <v/>
      </c>
      <c r="D608" s="11" t="str">
        <f aca="false">IF(B608="","",IFERROR(INDEX(Students!$H$4:$H$203,MATCH(B608,Students!$A$4:$A$203,0)),""))</f>
        <v/>
      </c>
      <c r="E608" s="18"/>
      <c r="F608" s="18"/>
      <c r="G608" s="18"/>
      <c r="H608" s="18"/>
      <c r="I608" s="18"/>
      <c r="J608" s="18"/>
      <c r="K608" s="18"/>
      <c r="L608" s="18"/>
    </row>
    <row r="609" customFormat="false" ht="15" hidden="false" customHeight="true" outlineLevel="0" collapsed="false">
      <c r="A609" s="19"/>
      <c r="B609" s="17"/>
      <c r="C609" s="11" t="str">
        <f aca="false">IF(B609="","",IFERROR(INDEX(Students!$B$4:$B$203,MATCH(B609,Students!$A$4:$A$203,0)),""))</f>
        <v/>
      </c>
      <c r="D609" s="11" t="str">
        <f aca="false">IF(B609="","",IFERROR(INDEX(Students!$H$4:$H$203,MATCH(B609,Students!$A$4:$A$203,0)),""))</f>
        <v/>
      </c>
      <c r="E609" s="18"/>
      <c r="F609" s="18"/>
      <c r="G609" s="18"/>
      <c r="H609" s="18"/>
      <c r="I609" s="18"/>
      <c r="J609" s="18"/>
      <c r="K609" s="18"/>
      <c r="L609" s="18"/>
    </row>
    <row r="610" customFormat="false" ht="15" hidden="false" customHeight="true" outlineLevel="0" collapsed="false">
      <c r="A610" s="19"/>
      <c r="B610" s="17"/>
      <c r="C610" s="11" t="str">
        <f aca="false">IF(B610="","",IFERROR(INDEX(Students!$B$4:$B$203,MATCH(B610,Students!$A$4:$A$203,0)),""))</f>
        <v/>
      </c>
      <c r="D610" s="11" t="str">
        <f aca="false">IF(B610="","",IFERROR(INDEX(Students!$H$4:$H$203,MATCH(B610,Students!$A$4:$A$203,0)),""))</f>
        <v/>
      </c>
      <c r="E610" s="18"/>
      <c r="F610" s="18"/>
      <c r="G610" s="18"/>
      <c r="H610" s="18"/>
      <c r="I610" s="18"/>
      <c r="J610" s="18"/>
      <c r="K610" s="18"/>
      <c r="L610" s="18"/>
    </row>
    <row r="611" customFormat="false" ht="15" hidden="false" customHeight="true" outlineLevel="0" collapsed="false">
      <c r="A611" s="19"/>
      <c r="B611" s="17"/>
      <c r="C611" s="11" t="str">
        <f aca="false">IF(B611="","",IFERROR(INDEX(Students!$B$4:$B$203,MATCH(B611,Students!$A$4:$A$203,0)),""))</f>
        <v/>
      </c>
      <c r="D611" s="11" t="str">
        <f aca="false">IF(B611="","",IFERROR(INDEX(Students!$H$4:$H$203,MATCH(B611,Students!$A$4:$A$203,0)),""))</f>
        <v/>
      </c>
      <c r="E611" s="18"/>
      <c r="F611" s="18"/>
      <c r="G611" s="18"/>
      <c r="H611" s="18"/>
      <c r="I611" s="18"/>
      <c r="J611" s="18"/>
      <c r="K611" s="18"/>
      <c r="L611" s="18"/>
    </row>
    <row r="612" customFormat="false" ht="15" hidden="false" customHeight="true" outlineLevel="0" collapsed="false">
      <c r="A612" s="19"/>
      <c r="B612" s="17"/>
      <c r="C612" s="11" t="str">
        <f aca="false">IF(B612="","",IFERROR(INDEX(Students!$B$4:$B$203,MATCH(B612,Students!$A$4:$A$203,0)),""))</f>
        <v/>
      </c>
      <c r="D612" s="11" t="str">
        <f aca="false">IF(B612="","",IFERROR(INDEX(Students!$H$4:$H$203,MATCH(B612,Students!$A$4:$A$203,0)),""))</f>
        <v/>
      </c>
      <c r="E612" s="18"/>
      <c r="F612" s="18"/>
      <c r="G612" s="18"/>
      <c r="H612" s="18"/>
      <c r="I612" s="18"/>
      <c r="J612" s="18"/>
      <c r="K612" s="18"/>
      <c r="L612" s="18"/>
    </row>
    <row r="613" customFormat="false" ht="15" hidden="false" customHeight="true" outlineLevel="0" collapsed="false">
      <c r="A613" s="19"/>
      <c r="B613" s="17"/>
      <c r="C613" s="11" t="str">
        <f aca="false">IF(B613="","",IFERROR(INDEX(Students!$B$4:$B$203,MATCH(B613,Students!$A$4:$A$203,0)),""))</f>
        <v/>
      </c>
      <c r="D613" s="11" t="str">
        <f aca="false">IF(B613="","",IFERROR(INDEX(Students!$H$4:$H$203,MATCH(B613,Students!$A$4:$A$203,0)),""))</f>
        <v/>
      </c>
      <c r="E613" s="18"/>
      <c r="F613" s="18"/>
      <c r="G613" s="18"/>
      <c r="H613" s="18"/>
      <c r="I613" s="18"/>
      <c r="J613" s="18"/>
      <c r="K613" s="18"/>
      <c r="L613" s="18"/>
    </row>
    <row r="614" customFormat="false" ht="15" hidden="false" customHeight="true" outlineLevel="0" collapsed="false">
      <c r="A614" s="19"/>
      <c r="B614" s="17"/>
      <c r="C614" s="11" t="str">
        <f aca="false">IF(B614="","",IFERROR(INDEX(Students!$B$4:$B$203,MATCH(B614,Students!$A$4:$A$203,0)),""))</f>
        <v/>
      </c>
      <c r="D614" s="11" t="str">
        <f aca="false">IF(B614="","",IFERROR(INDEX(Students!$H$4:$H$203,MATCH(B614,Students!$A$4:$A$203,0)),""))</f>
        <v/>
      </c>
      <c r="E614" s="18"/>
      <c r="F614" s="18"/>
      <c r="G614" s="18"/>
      <c r="H614" s="18"/>
      <c r="I614" s="18"/>
      <c r="J614" s="18"/>
      <c r="K614" s="18"/>
      <c r="L614" s="18"/>
    </row>
    <row r="615" customFormat="false" ht="15" hidden="false" customHeight="true" outlineLevel="0" collapsed="false">
      <c r="A615" s="19"/>
      <c r="B615" s="17"/>
      <c r="C615" s="11" t="str">
        <f aca="false">IF(B615="","",IFERROR(INDEX(Students!$B$4:$B$203,MATCH(B615,Students!$A$4:$A$203,0)),""))</f>
        <v/>
      </c>
      <c r="D615" s="11" t="str">
        <f aca="false">IF(B615="","",IFERROR(INDEX(Students!$H$4:$H$203,MATCH(B615,Students!$A$4:$A$203,0)),""))</f>
        <v/>
      </c>
      <c r="E615" s="18"/>
      <c r="F615" s="18"/>
      <c r="G615" s="18"/>
      <c r="H615" s="18"/>
      <c r="I615" s="18"/>
      <c r="J615" s="18"/>
      <c r="K615" s="18"/>
      <c r="L615" s="18"/>
    </row>
    <row r="616" customFormat="false" ht="15" hidden="false" customHeight="true" outlineLevel="0" collapsed="false">
      <c r="A616" s="19"/>
      <c r="B616" s="17"/>
      <c r="C616" s="11" t="str">
        <f aca="false">IF(B616="","",IFERROR(INDEX(Students!$B$4:$B$203,MATCH(B616,Students!$A$4:$A$203,0)),""))</f>
        <v/>
      </c>
      <c r="D616" s="11" t="str">
        <f aca="false">IF(B616="","",IFERROR(INDEX(Students!$H$4:$H$203,MATCH(B616,Students!$A$4:$A$203,0)),""))</f>
        <v/>
      </c>
      <c r="E616" s="18"/>
      <c r="F616" s="18"/>
      <c r="G616" s="18"/>
      <c r="H616" s="18"/>
      <c r="I616" s="18"/>
      <c r="J616" s="18"/>
      <c r="K616" s="18"/>
      <c r="L616" s="18"/>
    </row>
    <row r="617" customFormat="false" ht="15" hidden="false" customHeight="true" outlineLevel="0" collapsed="false">
      <c r="A617" s="19"/>
      <c r="B617" s="17"/>
      <c r="C617" s="11" t="str">
        <f aca="false">IF(B617="","",IFERROR(INDEX(Students!$B$4:$B$203,MATCH(B617,Students!$A$4:$A$203,0)),""))</f>
        <v/>
      </c>
      <c r="D617" s="11" t="str">
        <f aca="false">IF(B617="","",IFERROR(INDEX(Students!$H$4:$H$203,MATCH(B617,Students!$A$4:$A$203,0)),""))</f>
        <v/>
      </c>
      <c r="E617" s="18"/>
      <c r="F617" s="18"/>
      <c r="G617" s="18"/>
      <c r="H617" s="18"/>
      <c r="I617" s="18"/>
      <c r="J617" s="18"/>
      <c r="K617" s="18"/>
      <c r="L617" s="18"/>
    </row>
    <row r="618" customFormat="false" ht="15" hidden="false" customHeight="true" outlineLevel="0" collapsed="false">
      <c r="A618" s="19"/>
      <c r="B618" s="17"/>
      <c r="C618" s="11" t="str">
        <f aca="false">IF(B618="","",IFERROR(INDEX(Students!$B$4:$B$203,MATCH(B618,Students!$A$4:$A$203,0)),""))</f>
        <v/>
      </c>
      <c r="D618" s="11" t="str">
        <f aca="false">IF(B618="","",IFERROR(INDEX(Students!$H$4:$H$203,MATCH(B618,Students!$A$4:$A$203,0)),""))</f>
        <v/>
      </c>
      <c r="E618" s="18"/>
      <c r="F618" s="18"/>
      <c r="G618" s="18"/>
      <c r="H618" s="18"/>
      <c r="I618" s="18"/>
      <c r="J618" s="18"/>
      <c r="K618" s="18"/>
      <c r="L618" s="18"/>
    </row>
    <row r="619" customFormat="false" ht="15" hidden="false" customHeight="true" outlineLevel="0" collapsed="false">
      <c r="A619" s="19"/>
      <c r="B619" s="17"/>
      <c r="C619" s="11" t="str">
        <f aca="false">IF(B619="","",IFERROR(INDEX(Students!$B$4:$B$203,MATCH(B619,Students!$A$4:$A$203,0)),""))</f>
        <v/>
      </c>
      <c r="D619" s="11" t="str">
        <f aca="false">IF(B619="","",IFERROR(INDEX(Students!$H$4:$H$203,MATCH(B619,Students!$A$4:$A$203,0)),""))</f>
        <v/>
      </c>
      <c r="E619" s="18"/>
      <c r="F619" s="18"/>
      <c r="G619" s="18"/>
      <c r="H619" s="18"/>
      <c r="I619" s="18"/>
      <c r="J619" s="18"/>
      <c r="K619" s="18"/>
      <c r="L619" s="18"/>
    </row>
    <row r="620" customFormat="false" ht="15" hidden="false" customHeight="true" outlineLevel="0" collapsed="false">
      <c r="A620" s="19"/>
      <c r="B620" s="17"/>
      <c r="C620" s="11" t="str">
        <f aca="false">IF(B620="","",IFERROR(INDEX(Students!$B$4:$B$203,MATCH(B620,Students!$A$4:$A$203,0)),""))</f>
        <v/>
      </c>
      <c r="D620" s="11" t="str">
        <f aca="false">IF(B620="","",IFERROR(INDEX(Students!$H$4:$H$203,MATCH(B620,Students!$A$4:$A$203,0)),""))</f>
        <v/>
      </c>
      <c r="E620" s="18"/>
      <c r="F620" s="18"/>
      <c r="G620" s="18"/>
      <c r="H620" s="18"/>
      <c r="I620" s="18"/>
      <c r="J620" s="18"/>
      <c r="K620" s="18"/>
      <c r="L620" s="18"/>
    </row>
    <row r="621" customFormat="false" ht="15" hidden="false" customHeight="true" outlineLevel="0" collapsed="false">
      <c r="A621" s="19"/>
      <c r="B621" s="17"/>
      <c r="C621" s="11" t="str">
        <f aca="false">IF(B621="","",IFERROR(INDEX(Students!$B$4:$B$203,MATCH(B621,Students!$A$4:$A$203,0)),""))</f>
        <v/>
      </c>
      <c r="D621" s="11" t="str">
        <f aca="false">IF(B621="","",IFERROR(INDEX(Students!$H$4:$H$203,MATCH(B621,Students!$A$4:$A$203,0)),""))</f>
        <v/>
      </c>
      <c r="E621" s="18"/>
      <c r="F621" s="18"/>
      <c r="G621" s="18"/>
      <c r="H621" s="18"/>
      <c r="I621" s="18"/>
      <c r="J621" s="18"/>
      <c r="K621" s="18"/>
      <c r="L621" s="18"/>
    </row>
    <row r="622" customFormat="false" ht="15" hidden="false" customHeight="true" outlineLevel="0" collapsed="false">
      <c r="A622" s="19"/>
      <c r="B622" s="17"/>
      <c r="C622" s="11" t="str">
        <f aca="false">IF(B622="","",IFERROR(INDEX(Students!$B$4:$B$203,MATCH(B622,Students!$A$4:$A$203,0)),""))</f>
        <v/>
      </c>
      <c r="D622" s="11" t="str">
        <f aca="false">IF(B622="","",IFERROR(INDEX(Students!$H$4:$H$203,MATCH(B622,Students!$A$4:$A$203,0)),""))</f>
        <v/>
      </c>
      <c r="E622" s="18"/>
      <c r="F622" s="18"/>
      <c r="G622" s="18"/>
      <c r="H622" s="18"/>
      <c r="I622" s="18"/>
      <c r="J622" s="18"/>
      <c r="K622" s="18"/>
      <c r="L622" s="18"/>
    </row>
    <row r="623" customFormat="false" ht="15" hidden="false" customHeight="true" outlineLevel="0" collapsed="false">
      <c r="A623" s="19"/>
      <c r="B623" s="17"/>
      <c r="C623" s="11" t="str">
        <f aca="false">IF(B623="","",IFERROR(INDEX(Students!$B$4:$B$203,MATCH(B623,Students!$A$4:$A$203,0)),""))</f>
        <v/>
      </c>
      <c r="D623" s="11" t="str">
        <f aca="false">IF(B623="","",IFERROR(INDEX(Students!$H$4:$H$203,MATCH(B623,Students!$A$4:$A$203,0)),""))</f>
        <v/>
      </c>
      <c r="E623" s="18"/>
      <c r="F623" s="18"/>
      <c r="G623" s="18"/>
      <c r="H623" s="18"/>
      <c r="I623" s="18"/>
      <c r="J623" s="18"/>
      <c r="K623" s="18"/>
      <c r="L623" s="18"/>
    </row>
    <row r="624" customFormat="false" ht="15" hidden="false" customHeight="true" outlineLevel="0" collapsed="false">
      <c r="A624" s="19"/>
      <c r="B624" s="17"/>
      <c r="C624" s="11" t="str">
        <f aca="false">IF(B624="","",IFERROR(INDEX(Students!$B$4:$B$203,MATCH(B624,Students!$A$4:$A$203,0)),""))</f>
        <v/>
      </c>
      <c r="D624" s="11" t="str">
        <f aca="false">IF(B624="","",IFERROR(INDEX(Students!$H$4:$H$203,MATCH(B624,Students!$A$4:$A$203,0)),""))</f>
        <v/>
      </c>
      <c r="E624" s="18"/>
      <c r="F624" s="18"/>
      <c r="G624" s="18"/>
      <c r="H624" s="18"/>
      <c r="I624" s="18"/>
      <c r="J624" s="18"/>
      <c r="K624" s="18"/>
      <c r="L624" s="18"/>
    </row>
    <row r="625" customFormat="false" ht="15" hidden="false" customHeight="true" outlineLevel="0" collapsed="false">
      <c r="A625" s="19"/>
      <c r="B625" s="17"/>
      <c r="C625" s="11" t="str">
        <f aca="false">IF(B625="","",IFERROR(INDEX(Students!$B$4:$B$203,MATCH(B625,Students!$A$4:$A$203,0)),""))</f>
        <v/>
      </c>
      <c r="D625" s="11" t="str">
        <f aca="false">IF(B625="","",IFERROR(INDEX(Students!$H$4:$H$203,MATCH(B625,Students!$A$4:$A$203,0)),""))</f>
        <v/>
      </c>
      <c r="E625" s="18"/>
      <c r="F625" s="18"/>
      <c r="G625" s="18"/>
      <c r="H625" s="18"/>
      <c r="I625" s="18"/>
      <c r="J625" s="18"/>
      <c r="K625" s="18"/>
      <c r="L625" s="18"/>
    </row>
    <row r="626" customFormat="false" ht="15" hidden="false" customHeight="true" outlineLevel="0" collapsed="false">
      <c r="A626" s="19"/>
      <c r="B626" s="17"/>
      <c r="C626" s="11" t="str">
        <f aca="false">IF(B626="","",IFERROR(INDEX(Students!$B$4:$B$203,MATCH(B626,Students!$A$4:$A$203,0)),""))</f>
        <v/>
      </c>
      <c r="D626" s="11" t="str">
        <f aca="false">IF(B626="","",IFERROR(INDEX(Students!$H$4:$H$203,MATCH(B626,Students!$A$4:$A$203,0)),""))</f>
        <v/>
      </c>
      <c r="E626" s="18"/>
      <c r="F626" s="18"/>
      <c r="G626" s="18"/>
      <c r="H626" s="18"/>
      <c r="I626" s="18"/>
      <c r="J626" s="18"/>
      <c r="K626" s="18"/>
      <c r="L626" s="18"/>
    </row>
    <row r="627" customFormat="false" ht="15" hidden="false" customHeight="true" outlineLevel="0" collapsed="false">
      <c r="A627" s="19"/>
      <c r="B627" s="17"/>
      <c r="C627" s="11" t="str">
        <f aca="false">IF(B627="","",IFERROR(INDEX(Students!$B$4:$B$203,MATCH(B627,Students!$A$4:$A$203,0)),""))</f>
        <v/>
      </c>
      <c r="D627" s="11" t="str">
        <f aca="false">IF(B627="","",IFERROR(INDEX(Students!$H$4:$H$203,MATCH(B627,Students!$A$4:$A$203,0)),""))</f>
        <v/>
      </c>
      <c r="E627" s="18"/>
      <c r="F627" s="18"/>
      <c r="G627" s="18"/>
      <c r="H627" s="18"/>
      <c r="I627" s="18"/>
      <c r="J627" s="18"/>
      <c r="K627" s="18"/>
      <c r="L627" s="18"/>
    </row>
    <row r="628" customFormat="false" ht="15" hidden="false" customHeight="true" outlineLevel="0" collapsed="false">
      <c r="A628" s="19"/>
      <c r="B628" s="17"/>
      <c r="C628" s="11" t="str">
        <f aca="false">IF(B628="","",IFERROR(INDEX(Students!$B$4:$B$203,MATCH(B628,Students!$A$4:$A$203,0)),""))</f>
        <v/>
      </c>
      <c r="D628" s="11" t="str">
        <f aca="false">IF(B628="","",IFERROR(INDEX(Students!$H$4:$H$203,MATCH(B628,Students!$A$4:$A$203,0)),""))</f>
        <v/>
      </c>
      <c r="E628" s="18"/>
      <c r="F628" s="18"/>
      <c r="G628" s="18"/>
      <c r="H628" s="18"/>
      <c r="I628" s="18"/>
      <c r="J628" s="18"/>
      <c r="K628" s="18"/>
      <c r="L628" s="18"/>
    </row>
    <row r="629" customFormat="false" ht="15" hidden="false" customHeight="true" outlineLevel="0" collapsed="false">
      <c r="A629" s="19"/>
      <c r="B629" s="17"/>
      <c r="C629" s="11" t="str">
        <f aca="false">IF(B629="","",IFERROR(INDEX(Students!$B$4:$B$203,MATCH(B629,Students!$A$4:$A$203,0)),""))</f>
        <v/>
      </c>
      <c r="D629" s="11" t="str">
        <f aca="false">IF(B629="","",IFERROR(INDEX(Students!$H$4:$H$203,MATCH(B629,Students!$A$4:$A$203,0)),""))</f>
        <v/>
      </c>
      <c r="E629" s="18"/>
      <c r="F629" s="18"/>
      <c r="G629" s="18"/>
      <c r="H629" s="18"/>
      <c r="I629" s="18"/>
      <c r="J629" s="18"/>
      <c r="K629" s="18"/>
      <c r="L629" s="18"/>
    </row>
    <row r="630" customFormat="false" ht="15" hidden="false" customHeight="true" outlineLevel="0" collapsed="false">
      <c r="A630" s="19"/>
      <c r="B630" s="17"/>
      <c r="C630" s="11" t="str">
        <f aca="false">IF(B630="","",IFERROR(INDEX(Students!$B$4:$B$203,MATCH(B630,Students!$A$4:$A$203,0)),""))</f>
        <v/>
      </c>
      <c r="D630" s="11" t="str">
        <f aca="false">IF(B630="","",IFERROR(INDEX(Students!$H$4:$H$203,MATCH(B630,Students!$A$4:$A$203,0)),""))</f>
        <v/>
      </c>
      <c r="E630" s="18"/>
      <c r="F630" s="18"/>
      <c r="G630" s="18"/>
      <c r="H630" s="18"/>
      <c r="I630" s="18"/>
      <c r="J630" s="18"/>
      <c r="K630" s="18"/>
      <c r="L630" s="18"/>
    </row>
    <row r="631" customFormat="false" ht="15" hidden="false" customHeight="true" outlineLevel="0" collapsed="false">
      <c r="A631" s="19"/>
      <c r="B631" s="17"/>
      <c r="C631" s="11" t="str">
        <f aca="false">IF(B631="","",IFERROR(INDEX(Students!$B$4:$B$203,MATCH(B631,Students!$A$4:$A$203,0)),""))</f>
        <v/>
      </c>
      <c r="D631" s="11" t="str">
        <f aca="false">IF(B631="","",IFERROR(INDEX(Students!$H$4:$H$203,MATCH(B631,Students!$A$4:$A$203,0)),""))</f>
        <v/>
      </c>
      <c r="E631" s="18"/>
      <c r="F631" s="18"/>
      <c r="G631" s="18"/>
      <c r="H631" s="18"/>
      <c r="I631" s="18"/>
      <c r="J631" s="18"/>
      <c r="K631" s="18"/>
      <c r="L631" s="18"/>
    </row>
    <row r="632" customFormat="false" ht="15" hidden="false" customHeight="true" outlineLevel="0" collapsed="false">
      <c r="A632" s="19"/>
      <c r="B632" s="17"/>
      <c r="C632" s="11" t="str">
        <f aca="false">IF(B632="","",IFERROR(INDEX(Students!$B$4:$B$203,MATCH(B632,Students!$A$4:$A$203,0)),""))</f>
        <v/>
      </c>
      <c r="D632" s="11" t="str">
        <f aca="false">IF(B632="","",IFERROR(INDEX(Students!$H$4:$H$203,MATCH(B632,Students!$A$4:$A$203,0)),""))</f>
        <v/>
      </c>
      <c r="E632" s="18"/>
      <c r="F632" s="18"/>
      <c r="G632" s="18"/>
      <c r="H632" s="18"/>
      <c r="I632" s="18"/>
      <c r="J632" s="18"/>
      <c r="K632" s="18"/>
      <c r="L632" s="18"/>
    </row>
    <row r="633" customFormat="false" ht="15" hidden="false" customHeight="true" outlineLevel="0" collapsed="false">
      <c r="A633" s="19"/>
      <c r="B633" s="17"/>
      <c r="C633" s="11" t="str">
        <f aca="false">IF(B633="","",IFERROR(INDEX(Students!$B$4:$B$203,MATCH(B633,Students!$A$4:$A$203,0)),""))</f>
        <v/>
      </c>
      <c r="D633" s="11" t="str">
        <f aca="false">IF(B633="","",IFERROR(INDEX(Students!$H$4:$H$203,MATCH(B633,Students!$A$4:$A$203,0)),""))</f>
        <v/>
      </c>
      <c r="E633" s="18"/>
      <c r="F633" s="18"/>
      <c r="G633" s="18"/>
      <c r="H633" s="18"/>
      <c r="I633" s="18"/>
      <c r="J633" s="18"/>
      <c r="K633" s="18"/>
      <c r="L633" s="18"/>
    </row>
    <row r="634" customFormat="false" ht="15" hidden="false" customHeight="true" outlineLevel="0" collapsed="false">
      <c r="A634" s="19"/>
      <c r="B634" s="17"/>
      <c r="C634" s="11" t="str">
        <f aca="false">IF(B634="","",IFERROR(INDEX(Students!$B$4:$B$203,MATCH(B634,Students!$A$4:$A$203,0)),""))</f>
        <v/>
      </c>
      <c r="D634" s="11" t="str">
        <f aca="false">IF(B634="","",IFERROR(INDEX(Students!$H$4:$H$203,MATCH(B634,Students!$A$4:$A$203,0)),""))</f>
        <v/>
      </c>
      <c r="E634" s="18"/>
      <c r="F634" s="18"/>
      <c r="G634" s="18"/>
      <c r="H634" s="18"/>
      <c r="I634" s="18"/>
      <c r="J634" s="18"/>
      <c r="K634" s="18"/>
      <c r="L634" s="18"/>
    </row>
    <row r="635" customFormat="false" ht="15" hidden="false" customHeight="true" outlineLevel="0" collapsed="false">
      <c r="A635" s="19"/>
      <c r="B635" s="17"/>
      <c r="C635" s="11" t="str">
        <f aca="false">IF(B635="","",IFERROR(INDEX(Students!$B$4:$B$203,MATCH(B635,Students!$A$4:$A$203,0)),""))</f>
        <v/>
      </c>
      <c r="D635" s="11" t="str">
        <f aca="false">IF(B635="","",IFERROR(INDEX(Students!$H$4:$H$203,MATCH(B635,Students!$A$4:$A$203,0)),""))</f>
        <v/>
      </c>
      <c r="E635" s="18"/>
      <c r="F635" s="18"/>
      <c r="G635" s="18"/>
      <c r="H635" s="18"/>
      <c r="I635" s="18"/>
      <c r="J635" s="18"/>
      <c r="K635" s="18"/>
      <c r="L635" s="18"/>
    </row>
    <row r="636" customFormat="false" ht="15" hidden="false" customHeight="true" outlineLevel="0" collapsed="false">
      <c r="A636" s="19"/>
      <c r="B636" s="17"/>
      <c r="C636" s="11" t="str">
        <f aca="false">IF(B636="","",IFERROR(INDEX(Students!$B$4:$B$203,MATCH(B636,Students!$A$4:$A$203,0)),""))</f>
        <v/>
      </c>
      <c r="D636" s="11" t="str">
        <f aca="false">IF(B636="","",IFERROR(INDEX(Students!$H$4:$H$203,MATCH(B636,Students!$A$4:$A$203,0)),""))</f>
        <v/>
      </c>
      <c r="E636" s="18"/>
      <c r="F636" s="18"/>
      <c r="G636" s="18"/>
      <c r="H636" s="18"/>
      <c r="I636" s="18"/>
      <c r="J636" s="18"/>
      <c r="K636" s="18"/>
      <c r="L636" s="18"/>
    </row>
    <row r="637" customFormat="false" ht="15" hidden="false" customHeight="true" outlineLevel="0" collapsed="false">
      <c r="A637" s="19"/>
      <c r="B637" s="17"/>
      <c r="C637" s="11" t="str">
        <f aca="false">IF(B637="","",IFERROR(INDEX(Students!$B$4:$B$203,MATCH(B637,Students!$A$4:$A$203,0)),""))</f>
        <v/>
      </c>
      <c r="D637" s="11" t="str">
        <f aca="false">IF(B637="","",IFERROR(INDEX(Students!$H$4:$H$203,MATCH(B637,Students!$A$4:$A$203,0)),""))</f>
        <v/>
      </c>
      <c r="E637" s="18"/>
      <c r="F637" s="18"/>
      <c r="G637" s="18"/>
      <c r="H637" s="18"/>
      <c r="I637" s="18"/>
      <c r="J637" s="18"/>
      <c r="K637" s="18"/>
      <c r="L637" s="18"/>
    </row>
    <row r="638" customFormat="false" ht="15" hidden="false" customHeight="true" outlineLevel="0" collapsed="false">
      <c r="A638" s="19"/>
      <c r="B638" s="17"/>
      <c r="C638" s="11" t="str">
        <f aca="false">IF(B638="","",IFERROR(INDEX(Students!$B$4:$B$203,MATCH(B638,Students!$A$4:$A$203,0)),""))</f>
        <v/>
      </c>
      <c r="D638" s="11" t="str">
        <f aca="false">IF(B638="","",IFERROR(INDEX(Students!$H$4:$H$203,MATCH(B638,Students!$A$4:$A$203,0)),""))</f>
        <v/>
      </c>
      <c r="E638" s="18"/>
      <c r="F638" s="18"/>
      <c r="G638" s="18"/>
      <c r="H638" s="18"/>
      <c r="I638" s="18"/>
      <c r="J638" s="18"/>
      <c r="K638" s="18"/>
      <c r="L638" s="18"/>
    </row>
    <row r="639" customFormat="false" ht="15" hidden="false" customHeight="true" outlineLevel="0" collapsed="false">
      <c r="A639" s="19"/>
      <c r="B639" s="17"/>
      <c r="C639" s="11" t="str">
        <f aca="false">IF(B639="","",IFERROR(INDEX(Students!$B$4:$B$203,MATCH(B639,Students!$A$4:$A$203,0)),""))</f>
        <v/>
      </c>
      <c r="D639" s="11" t="str">
        <f aca="false">IF(B639="","",IFERROR(INDEX(Students!$H$4:$H$203,MATCH(B639,Students!$A$4:$A$203,0)),""))</f>
        <v/>
      </c>
      <c r="E639" s="18"/>
      <c r="F639" s="18"/>
      <c r="G639" s="18"/>
      <c r="H639" s="18"/>
      <c r="I639" s="18"/>
      <c r="J639" s="18"/>
      <c r="K639" s="18"/>
      <c r="L639" s="18"/>
    </row>
    <row r="640" customFormat="false" ht="15" hidden="false" customHeight="true" outlineLevel="0" collapsed="false">
      <c r="A640" s="19"/>
      <c r="B640" s="17"/>
      <c r="C640" s="11" t="str">
        <f aca="false">IF(B640="","",IFERROR(INDEX(Students!$B$4:$B$203,MATCH(B640,Students!$A$4:$A$203,0)),""))</f>
        <v/>
      </c>
      <c r="D640" s="11" t="str">
        <f aca="false">IF(B640="","",IFERROR(INDEX(Students!$H$4:$H$203,MATCH(B640,Students!$A$4:$A$203,0)),""))</f>
        <v/>
      </c>
      <c r="E640" s="18"/>
      <c r="F640" s="18"/>
      <c r="G640" s="18"/>
      <c r="H640" s="18"/>
      <c r="I640" s="18"/>
      <c r="J640" s="18"/>
      <c r="K640" s="18"/>
      <c r="L640" s="18"/>
    </row>
    <row r="641" customFormat="false" ht="15" hidden="false" customHeight="true" outlineLevel="0" collapsed="false">
      <c r="A641" s="19"/>
      <c r="B641" s="17"/>
      <c r="C641" s="11" t="str">
        <f aca="false">IF(B641="","",IFERROR(INDEX(Students!$B$4:$B$203,MATCH(B641,Students!$A$4:$A$203,0)),""))</f>
        <v/>
      </c>
      <c r="D641" s="11" t="str">
        <f aca="false">IF(B641="","",IFERROR(INDEX(Students!$H$4:$H$203,MATCH(B641,Students!$A$4:$A$203,0)),""))</f>
        <v/>
      </c>
      <c r="E641" s="18"/>
      <c r="F641" s="18"/>
      <c r="G641" s="18"/>
      <c r="H641" s="18"/>
      <c r="I641" s="18"/>
      <c r="J641" s="18"/>
      <c r="K641" s="18"/>
      <c r="L641" s="18"/>
    </row>
    <row r="642" customFormat="false" ht="15" hidden="false" customHeight="true" outlineLevel="0" collapsed="false">
      <c r="A642" s="19"/>
      <c r="B642" s="17"/>
      <c r="C642" s="11" t="str">
        <f aca="false">IF(B642="","",IFERROR(INDEX(Students!$B$4:$B$203,MATCH(B642,Students!$A$4:$A$203,0)),""))</f>
        <v/>
      </c>
      <c r="D642" s="11" t="str">
        <f aca="false">IF(B642="","",IFERROR(INDEX(Students!$H$4:$H$203,MATCH(B642,Students!$A$4:$A$203,0)),""))</f>
        <v/>
      </c>
      <c r="E642" s="18"/>
      <c r="F642" s="18"/>
      <c r="G642" s="18"/>
      <c r="H642" s="18"/>
      <c r="I642" s="18"/>
      <c r="J642" s="18"/>
      <c r="K642" s="18"/>
      <c r="L642" s="18"/>
    </row>
    <row r="643" customFormat="false" ht="15" hidden="false" customHeight="true" outlineLevel="0" collapsed="false">
      <c r="A643" s="19"/>
      <c r="B643" s="17"/>
      <c r="C643" s="11" t="str">
        <f aca="false">IF(B643="","",IFERROR(INDEX(Students!$B$4:$B$203,MATCH(B643,Students!$A$4:$A$203,0)),""))</f>
        <v/>
      </c>
      <c r="D643" s="11" t="str">
        <f aca="false">IF(B643="","",IFERROR(INDEX(Students!$H$4:$H$203,MATCH(B643,Students!$A$4:$A$203,0)),""))</f>
        <v/>
      </c>
      <c r="E643" s="18"/>
      <c r="F643" s="18"/>
      <c r="G643" s="18"/>
      <c r="H643" s="18"/>
      <c r="I643" s="18"/>
      <c r="J643" s="18"/>
      <c r="K643" s="18"/>
      <c r="L643" s="18"/>
    </row>
    <row r="644" customFormat="false" ht="15" hidden="false" customHeight="true" outlineLevel="0" collapsed="false">
      <c r="A644" s="19"/>
      <c r="B644" s="17"/>
      <c r="C644" s="11" t="str">
        <f aca="false">IF(B644="","",IFERROR(INDEX(Students!$B$4:$B$203,MATCH(B644,Students!$A$4:$A$203,0)),""))</f>
        <v/>
      </c>
      <c r="D644" s="11" t="str">
        <f aca="false">IF(B644="","",IFERROR(INDEX(Students!$H$4:$H$203,MATCH(B644,Students!$A$4:$A$203,0)),""))</f>
        <v/>
      </c>
      <c r="E644" s="18"/>
      <c r="F644" s="18"/>
      <c r="G644" s="18"/>
      <c r="H644" s="18"/>
      <c r="I644" s="18"/>
      <c r="J644" s="18"/>
      <c r="K644" s="18"/>
      <c r="L644" s="18"/>
    </row>
    <row r="645" customFormat="false" ht="15" hidden="false" customHeight="true" outlineLevel="0" collapsed="false">
      <c r="A645" s="19"/>
      <c r="B645" s="17"/>
      <c r="C645" s="11" t="str">
        <f aca="false">IF(B645="","",IFERROR(INDEX(Students!$B$4:$B$203,MATCH(B645,Students!$A$4:$A$203,0)),""))</f>
        <v/>
      </c>
      <c r="D645" s="11" t="str">
        <f aca="false">IF(B645="","",IFERROR(INDEX(Students!$H$4:$H$203,MATCH(B645,Students!$A$4:$A$203,0)),""))</f>
        <v/>
      </c>
      <c r="E645" s="18"/>
      <c r="F645" s="18"/>
      <c r="G645" s="18"/>
      <c r="H645" s="18"/>
      <c r="I645" s="18"/>
      <c r="J645" s="18"/>
      <c r="K645" s="18"/>
      <c r="L645" s="18"/>
    </row>
    <row r="646" customFormat="false" ht="15" hidden="false" customHeight="true" outlineLevel="0" collapsed="false">
      <c r="A646" s="19"/>
      <c r="B646" s="17"/>
      <c r="C646" s="11" t="str">
        <f aca="false">IF(B646="","",IFERROR(INDEX(Students!$B$4:$B$203,MATCH(B646,Students!$A$4:$A$203,0)),""))</f>
        <v/>
      </c>
      <c r="D646" s="11" t="str">
        <f aca="false">IF(B646="","",IFERROR(INDEX(Students!$H$4:$H$203,MATCH(B646,Students!$A$4:$A$203,0)),""))</f>
        <v/>
      </c>
      <c r="E646" s="18"/>
      <c r="F646" s="18"/>
      <c r="G646" s="18"/>
      <c r="H646" s="18"/>
      <c r="I646" s="18"/>
      <c r="J646" s="18"/>
      <c r="K646" s="18"/>
      <c r="L646" s="18"/>
    </row>
    <row r="647" customFormat="false" ht="15" hidden="false" customHeight="true" outlineLevel="0" collapsed="false">
      <c r="A647" s="19"/>
      <c r="B647" s="17"/>
      <c r="C647" s="11" t="str">
        <f aca="false">IF(B647="","",IFERROR(INDEX(Students!$B$4:$B$203,MATCH(B647,Students!$A$4:$A$203,0)),""))</f>
        <v/>
      </c>
      <c r="D647" s="11" t="str">
        <f aca="false">IF(B647="","",IFERROR(INDEX(Students!$H$4:$H$203,MATCH(B647,Students!$A$4:$A$203,0)),""))</f>
        <v/>
      </c>
      <c r="E647" s="18"/>
      <c r="F647" s="18"/>
      <c r="G647" s="18"/>
      <c r="H647" s="18"/>
      <c r="I647" s="18"/>
      <c r="J647" s="18"/>
      <c r="K647" s="18"/>
      <c r="L647" s="18"/>
    </row>
    <row r="648" customFormat="false" ht="15" hidden="false" customHeight="true" outlineLevel="0" collapsed="false">
      <c r="A648" s="19"/>
      <c r="B648" s="17"/>
      <c r="C648" s="11" t="str">
        <f aca="false">IF(B648="","",IFERROR(INDEX(Students!$B$4:$B$203,MATCH(B648,Students!$A$4:$A$203,0)),""))</f>
        <v/>
      </c>
      <c r="D648" s="11" t="str">
        <f aca="false">IF(B648="","",IFERROR(INDEX(Students!$H$4:$H$203,MATCH(B648,Students!$A$4:$A$203,0)),""))</f>
        <v/>
      </c>
      <c r="E648" s="18"/>
      <c r="F648" s="18"/>
      <c r="G648" s="18"/>
      <c r="H648" s="18"/>
      <c r="I648" s="18"/>
      <c r="J648" s="18"/>
      <c r="K648" s="18"/>
      <c r="L648" s="18"/>
    </row>
    <row r="649" customFormat="false" ht="15" hidden="false" customHeight="true" outlineLevel="0" collapsed="false">
      <c r="A649" s="19"/>
      <c r="B649" s="17"/>
      <c r="C649" s="11" t="str">
        <f aca="false">IF(B649="","",IFERROR(INDEX(Students!$B$4:$B$203,MATCH(B649,Students!$A$4:$A$203,0)),""))</f>
        <v/>
      </c>
      <c r="D649" s="11" t="str">
        <f aca="false">IF(B649="","",IFERROR(INDEX(Students!$H$4:$H$203,MATCH(B649,Students!$A$4:$A$203,0)),""))</f>
        <v/>
      </c>
      <c r="E649" s="18"/>
      <c r="F649" s="18"/>
      <c r="G649" s="18"/>
      <c r="H649" s="18"/>
      <c r="I649" s="18"/>
      <c r="J649" s="18"/>
      <c r="K649" s="18"/>
      <c r="L649" s="18"/>
    </row>
    <row r="650" customFormat="false" ht="15" hidden="false" customHeight="true" outlineLevel="0" collapsed="false">
      <c r="A650" s="19"/>
      <c r="B650" s="17"/>
      <c r="C650" s="11" t="str">
        <f aca="false">IF(B650="","",IFERROR(INDEX(Students!$B$4:$B$203,MATCH(B650,Students!$A$4:$A$203,0)),""))</f>
        <v/>
      </c>
      <c r="D650" s="11" t="str">
        <f aca="false">IF(B650="","",IFERROR(INDEX(Students!$H$4:$H$203,MATCH(B650,Students!$A$4:$A$203,0)),""))</f>
        <v/>
      </c>
      <c r="E650" s="18"/>
      <c r="F650" s="18"/>
      <c r="G650" s="18"/>
      <c r="H650" s="18"/>
      <c r="I650" s="18"/>
      <c r="J650" s="18"/>
      <c r="K650" s="18"/>
      <c r="L650" s="18"/>
    </row>
    <row r="651" customFormat="false" ht="15" hidden="false" customHeight="true" outlineLevel="0" collapsed="false">
      <c r="A651" s="19"/>
      <c r="B651" s="17"/>
      <c r="C651" s="11" t="str">
        <f aca="false">IF(B651="","",IFERROR(INDEX(Students!$B$4:$B$203,MATCH(B651,Students!$A$4:$A$203,0)),""))</f>
        <v/>
      </c>
      <c r="D651" s="11" t="str">
        <f aca="false">IF(B651="","",IFERROR(INDEX(Students!$H$4:$H$203,MATCH(B651,Students!$A$4:$A$203,0)),""))</f>
        <v/>
      </c>
      <c r="E651" s="18"/>
      <c r="F651" s="18"/>
      <c r="G651" s="18"/>
      <c r="H651" s="18"/>
      <c r="I651" s="18"/>
      <c r="J651" s="18"/>
      <c r="K651" s="18"/>
      <c r="L651" s="18"/>
    </row>
    <row r="652" customFormat="false" ht="15" hidden="false" customHeight="true" outlineLevel="0" collapsed="false">
      <c r="A652" s="19"/>
      <c r="B652" s="17"/>
      <c r="C652" s="11" t="str">
        <f aca="false">IF(B652="","",IFERROR(INDEX(Students!$B$4:$B$203,MATCH(B652,Students!$A$4:$A$203,0)),""))</f>
        <v/>
      </c>
      <c r="D652" s="11" t="str">
        <f aca="false">IF(B652="","",IFERROR(INDEX(Students!$H$4:$H$203,MATCH(B652,Students!$A$4:$A$203,0)),""))</f>
        <v/>
      </c>
      <c r="E652" s="18"/>
      <c r="F652" s="18"/>
      <c r="G652" s="18"/>
      <c r="H652" s="18"/>
      <c r="I652" s="18"/>
      <c r="J652" s="18"/>
      <c r="K652" s="18"/>
      <c r="L652" s="18"/>
    </row>
    <row r="653" customFormat="false" ht="15" hidden="false" customHeight="true" outlineLevel="0" collapsed="false">
      <c r="A653" s="19"/>
      <c r="B653" s="17"/>
      <c r="C653" s="11" t="str">
        <f aca="false">IF(B653="","",IFERROR(INDEX(Students!$B$4:$B$203,MATCH(B653,Students!$A$4:$A$203,0)),""))</f>
        <v/>
      </c>
      <c r="D653" s="11" t="str">
        <f aca="false">IF(B653="","",IFERROR(INDEX(Students!$H$4:$H$203,MATCH(B653,Students!$A$4:$A$203,0)),""))</f>
        <v/>
      </c>
      <c r="E653" s="18"/>
      <c r="F653" s="18"/>
      <c r="G653" s="18"/>
      <c r="H653" s="18"/>
      <c r="I653" s="18"/>
      <c r="J653" s="18"/>
      <c r="K653" s="18"/>
      <c r="L653" s="18"/>
    </row>
    <row r="654" customFormat="false" ht="15" hidden="false" customHeight="true" outlineLevel="0" collapsed="false">
      <c r="A654" s="19"/>
      <c r="B654" s="17"/>
      <c r="C654" s="11" t="str">
        <f aca="false">IF(B654="","",IFERROR(INDEX(Students!$B$4:$B$203,MATCH(B654,Students!$A$4:$A$203,0)),""))</f>
        <v/>
      </c>
      <c r="D654" s="11" t="str">
        <f aca="false">IF(B654="","",IFERROR(INDEX(Students!$H$4:$H$203,MATCH(B654,Students!$A$4:$A$203,0)),""))</f>
        <v/>
      </c>
      <c r="E654" s="18"/>
      <c r="F654" s="18"/>
      <c r="G654" s="18"/>
      <c r="H654" s="18"/>
      <c r="I654" s="18"/>
      <c r="J654" s="18"/>
      <c r="K654" s="18"/>
      <c r="L654" s="18"/>
    </row>
    <row r="655" customFormat="false" ht="15" hidden="false" customHeight="true" outlineLevel="0" collapsed="false">
      <c r="A655" s="19"/>
      <c r="B655" s="17"/>
      <c r="C655" s="11" t="str">
        <f aca="false">IF(B655="","",IFERROR(INDEX(Students!$B$4:$B$203,MATCH(B655,Students!$A$4:$A$203,0)),""))</f>
        <v/>
      </c>
      <c r="D655" s="11" t="str">
        <f aca="false">IF(B655="","",IFERROR(INDEX(Students!$H$4:$H$203,MATCH(B655,Students!$A$4:$A$203,0)),""))</f>
        <v/>
      </c>
      <c r="E655" s="18"/>
      <c r="F655" s="18"/>
      <c r="G655" s="18"/>
      <c r="H655" s="18"/>
      <c r="I655" s="18"/>
      <c r="J655" s="18"/>
      <c r="K655" s="18"/>
      <c r="L655" s="18"/>
    </row>
    <row r="656" customFormat="false" ht="15" hidden="false" customHeight="true" outlineLevel="0" collapsed="false">
      <c r="A656" s="19"/>
      <c r="B656" s="17"/>
      <c r="C656" s="11" t="str">
        <f aca="false">IF(B656="","",IFERROR(INDEX(Students!$B$4:$B$203,MATCH(B656,Students!$A$4:$A$203,0)),""))</f>
        <v/>
      </c>
      <c r="D656" s="11" t="str">
        <f aca="false">IF(B656="","",IFERROR(INDEX(Students!$H$4:$H$203,MATCH(B656,Students!$A$4:$A$203,0)),""))</f>
        <v/>
      </c>
      <c r="E656" s="18"/>
      <c r="F656" s="18"/>
      <c r="G656" s="18"/>
      <c r="H656" s="18"/>
      <c r="I656" s="18"/>
      <c r="J656" s="18"/>
      <c r="K656" s="18"/>
      <c r="L656" s="18"/>
    </row>
    <row r="657" customFormat="false" ht="15" hidden="false" customHeight="true" outlineLevel="0" collapsed="false">
      <c r="A657" s="19"/>
      <c r="B657" s="17"/>
      <c r="C657" s="11" t="str">
        <f aca="false">IF(B657="","",IFERROR(INDEX(Students!$B$4:$B$203,MATCH(B657,Students!$A$4:$A$203,0)),""))</f>
        <v/>
      </c>
      <c r="D657" s="11" t="str">
        <f aca="false">IF(B657="","",IFERROR(INDEX(Students!$H$4:$H$203,MATCH(B657,Students!$A$4:$A$203,0)),""))</f>
        <v/>
      </c>
      <c r="E657" s="18"/>
      <c r="F657" s="18"/>
      <c r="G657" s="18"/>
      <c r="H657" s="18"/>
      <c r="I657" s="18"/>
      <c r="J657" s="18"/>
      <c r="K657" s="18"/>
      <c r="L657" s="18"/>
    </row>
    <row r="658" customFormat="false" ht="15" hidden="false" customHeight="true" outlineLevel="0" collapsed="false">
      <c r="A658" s="19"/>
      <c r="B658" s="17"/>
      <c r="C658" s="11" t="str">
        <f aca="false">IF(B658="","",IFERROR(INDEX(Students!$B$4:$B$203,MATCH(B658,Students!$A$4:$A$203,0)),""))</f>
        <v/>
      </c>
      <c r="D658" s="11" t="str">
        <f aca="false">IF(B658="","",IFERROR(INDEX(Students!$H$4:$H$203,MATCH(B658,Students!$A$4:$A$203,0)),""))</f>
        <v/>
      </c>
      <c r="E658" s="18"/>
      <c r="F658" s="18"/>
      <c r="G658" s="18"/>
      <c r="H658" s="18"/>
      <c r="I658" s="18"/>
      <c r="J658" s="18"/>
      <c r="K658" s="18"/>
      <c r="L658" s="18"/>
    </row>
    <row r="659" customFormat="false" ht="15" hidden="false" customHeight="true" outlineLevel="0" collapsed="false">
      <c r="A659" s="19"/>
      <c r="B659" s="17"/>
      <c r="C659" s="11" t="str">
        <f aca="false">IF(B659="","",IFERROR(INDEX(Students!$B$4:$B$203,MATCH(B659,Students!$A$4:$A$203,0)),""))</f>
        <v/>
      </c>
      <c r="D659" s="11" t="str">
        <f aca="false">IF(B659="","",IFERROR(INDEX(Students!$H$4:$H$203,MATCH(B659,Students!$A$4:$A$203,0)),""))</f>
        <v/>
      </c>
      <c r="E659" s="18"/>
      <c r="F659" s="18"/>
      <c r="G659" s="18"/>
      <c r="H659" s="18"/>
      <c r="I659" s="18"/>
      <c r="J659" s="18"/>
      <c r="K659" s="18"/>
      <c r="L659" s="18"/>
    </row>
    <row r="660" customFormat="false" ht="15" hidden="false" customHeight="true" outlineLevel="0" collapsed="false">
      <c r="A660" s="19"/>
      <c r="B660" s="17"/>
      <c r="C660" s="11" t="str">
        <f aca="false">IF(B660="","",IFERROR(INDEX(Students!$B$4:$B$203,MATCH(B660,Students!$A$4:$A$203,0)),""))</f>
        <v/>
      </c>
      <c r="D660" s="11" t="str">
        <f aca="false">IF(B660="","",IFERROR(INDEX(Students!$H$4:$H$203,MATCH(B660,Students!$A$4:$A$203,0)),""))</f>
        <v/>
      </c>
      <c r="E660" s="18"/>
      <c r="F660" s="18"/>
      <c r="G660" s="18"/>
      <c r="H660" s="18"/>
      <c r="I660" s="18"/>
      <c r="J660" s="18"/>
      <c r="K660" s="18"/>
      <c r="L660" s="18"/>
    </row>
    <row r="661" customFormat="false" ht="15" hidden="false" customHeight="true" outlineLevel="0" collapsed="false">
      <c r="A661" s="19"/>
      <c r="B661" s="17"/>
      <c r="C661" s="11" t="str">
        <f aca="false">IF(B661="","",IFERROR(INDEX(Students!$B$4:$B$203,MATCH(B661,Students!$A$4:$A$203,0)),""))</f>
        <v/>
      </c>
      <c r="D661" s="11" t="str">
        <f aca="false">IF(B661="","",IFERROR(INDEX(Students!$H$4:$H$203,MATCH(B661,Students!$A$4:$A$203,0)),""))</f>
        <v/>
      </c>
      <c r="E661" s="18"/>
      <c r="F661" s="18"/>
      <c r="G661" s="18"/>
      <c r="H661" s="18"/>
      <c r="I661" s="18"/>
      <c r="J661" s="18"/>
      <c r="K661" s="18"/>
      <c r="L661" s="18"/>
    </row>
    <row r="662" customFormat="false" ht="15" hidden="false" customHeight="true" outlineLevel="0" collapsed="false">
      <c r="A662" s="19"/>
      <c r="B662" s="17"/>
      <c r="C662" s="11" t="str">
        <f aca="false">IF(B662="","",IFERROR(INDEX(Students!$B$4:$B$203,MATCH(B662,Students!$A$4:$A$203,0)),""))</f>
        <v/>
      </c>
      <c r="D662" s="11" t="str">
        <f aca="false">IF(B662="","",IFERROR(INDEX(Students!$H$4:$H$203,MATCH(B662,Students!$A$4:$A$203,0)),""))</f>
        <v/>
      </c>
      <c r="E662" s="18"/>
      <c r="F662" s="18"/>
      <c r="G662" s="18"/>
      <c r="H662" s="18"/>
      <c r="I662" s="18"/>
      <c r="J662" s="18"/>
      <c r="K662" s="18"/>
      <c r="L662" s="18"/>
    </row>
    <row r="663" customFormat="false" ht="15" hidden="false" customHeight="true" outlineLevel="0" collapsed="false">
      <c r="A663" s="19"/>
      <c r="B663" s="17"/>
      <c r="C663" s="11" t="str">
        <f aca="false">IF(B663="","",IFERROR(INDEX(Students!$B$4:$B$203,MATCH(B663,Students!$A$4:$A$203,0)),""))</f>
        <v/>
      </c>
      <c r="D663" s="11" t="str">
        <f aca="false">IF(B663="","",IFERROR(INDEX(Students!$H$4:$H$203,MATCH(B663,Students!$A$4:$A$203,0)),""))</f>
        <v/>
      </c>
      <c r="E663" s="18"/>
      <c r="F663" s="18"/>
      <c r="G663" s="18"/>
      <c r="H663" s="18"/>
      <c r="I663" s="18"/>
      <c r="J663" s="18"/>
      <c r="K663" s="18"/>
      <c r="L663" s="18"/>
    </row>
    <row r="664" customFormat="false" ht="15" hidden="false" customHeight="true" outlineLevel="0" collapsed="false">
      <c r="A664" s="19"/>
      <c r="B664" s="17"/>
      <c r="C664" s="11" t="str">
        <f aca="false">IF(B664="","",IFERROR(INDEX(Students!$B$4:$B$203,MATCH(B664,Students!$A$4:$A$203,0)),""))</f>
        <v/>
      </c>
      <c r="D664" s="11" t="str">
        <f aca="false">IF(B664="","",IFERROR(INDEX(Students!$H$4:$H$203,MATCH(B664,Students!$A$4:$A$203,0)),""))</f>
        <v/>
      </c>
      <c r="E664" s="18"/>
      <c r="F664" s="18"/>
      <c r="G664" s="18"/>
      <c r="H664" s="18"/>
      <c r="I664" s="18"/>
      <c r="J664" s="18"/>
      <c r="K664" s="18"/>
      <c r="L664" s="18"/>
    </row>
    <row r="665" customFormat="false" ht="15" hidden="false" customHeight="true" outlineLevel="0" collapsed="false">
      <c r="A665" s="19"/>
      <c r="B665" s="17"/>
      <c r="C665" s="11" t="str">
        <f aca="false">IF(B665="","",IFERROR(INDEX(Students!$B$4:$B$203,MATCH(B665,Students!$A$4:$A$203,0)),""))</f>
        <v/>
      </c>
      <c r="D665" s="11" t="str">
        <f aca="false">IF(B665="","",IFERROR(INDEX(Students!$H$4:$H$203,MATCH(B665,Students!$A$4:$A$203,0)),""))</f>
        <v/>
      </c>
      <c r="E665" s="18"/>
      <c r="F665" s="18"/>
      <c r="G665" s="18"/>
      <c r="H665" s="18"/>
      <c r="I665" s="18"/>
      <c r="J665" s="18"/>
      <c r="K665" s="18"/>
      <c r="L665" s="18"/>
    </row>
    <row r="666" customFormat="false" ht="15" hidden="false" customHeight="true" outlineLevel="0" collapsed="false">
      <c r="A666" s="19"/>
      <c r="B666" s="17"/>
      <c r="C666" s="11" t="str">
        <f aca="false">IF(B666="","",IFERROR(INDEX(Students!$B$4:$B$203,MATCH(B666,Students!$A$4:$A$203,0)),""))</f>
        <v/>
      </c>
      <c r="D666" s="11" t="str">
        <f aca="false">IF(B666="","",IFERROR(INDEX(Students!$H$4:$H$203,MATCH(B666,Students!$A$4:$A$203,0)),""))</f>
        <v/>
      </c>
      <c r="E666" s="18"/>
      <c r="F666" s="18"/>
      <c r="G666" s="18"/>
      <c r="H666" s="18"/>
      <c r="I666" s="18"/>
      <c r="J666" s="18"/>
      <c r="K666" s="18"/>
      <c r="L666" s="18"/>
    </row>
    <row r="667" customFormat="false" ht="15" hidden="false" customHeight="true" outlineLevel="0" collapsed="false">
      <c r="A667" s="19"/>
      <c r="B667" s="17"/>
      <c r="C667" s="11" t="str">
        <f aca="false">IF(B667="","",IFERROR(INDEX(Students!$B$4:$B$203,MATCH(B667,Students!$A$4:$A$203,0)),""))</f>
        <v/>
      </c>
      <c r="D667" s="11" t="str">
        <f aca="false">IF(B667="","",IFERROR(INDEX(Students!$H$4:$H$203,MATCH(B667,Students!$A$4:$A$203,0)),""))</f>
        <v/>
      </c>
      <c r="E667" s="18"/>
      <c r="F667" s="18"/>
      <c r="G667" s="18"/>
      <c r="H667" s="18"/>
      <c r="I667" s="18"/>
      <c r="J667" s="18"/>
      <c r="K667" s="18"/>
      <c r="L667" s="18"/>
    </row>
    <row r="668" customFormat="false" ht="15" hidden="false" customHeight="true" outlineLevel="0" collapsed="false">
      <c r="A668" s="19"/>
      <c r="B668" s="17"/>
      <c r="C668" s="11" t="str">
        <f aca="false">IF(B668="","",IFERROR(INDEX(Students!$B$4:$B$203,MATCH(B668,Students!$A$4:$A$203,0)),""))</f>
        <v/>
      </c>
      <c r="D668" s="11" t="str">
        <f aca="false">IF(B668="","",IFERROR(INDEX(Students!$H$4:$H$203,MATCH(B668,Students!$A$4:$A$203,0)),""))</f>
        <v/>
      </c>
      <c r="E668" s="18"/>
      <c r="F668" s="18"/>
      <c r="G668" s="18"/>
      <c r="H668" s="18"/>
      <c r="I668" s="18"/>
      <c r="J668" s="18"/>
      <c r="K668" s="18"/>
      <c r="L668" s="18"/>
    </row>
    <row r="669" customFormat="false" ht="15" hidden="false" customHeight="true" outlineLevel="0" collapsed="false">
      <c r="A669" s="19"/>
      <c r="B669" s="17"/>
      <c r="C669" s="11" t="str">
        <f aca="false">IF(B669="","",IFERROR(INDEX(Students!$B$4:$B$203,MATCH(B669,Students!$A$4:$A$203,0)),""))</f>
        <v/>
      </c>
      <c r="D669" s="11" t="str">
        <f aca="false">IF(B669="","",IFERROR(INDEX(Students!$H$4:$H$203,MATCH(B669,Students!$A$4:$A$203,0)),""))</f>
        <v/>
      </c>
      <c r="E669" s="18"/>
      <c r="F669" s="18"/>
      <c r="G669" s="18"/>
      <c r="H669" s="18"/>
      <c r="I669" s="18"/>
      <c r="J669" s="18"/>
      <c r="K669" s="18"/>
      <c r="L669" s="18"/>
    </row>
    <row r="670" customFormat="false" ht="15" hidden="false" customHeight="true" outlineLevel="0" collapsed="false">
      <c r="A670" s="19"/>
      <c r="B670" s="17"/>
      <c r="C670" s="11" t="str">
        <f aca="false">IF(B670="","",IFERROR(INDEX(Students!$B$4:$B$203,MATCH(B670,Students!$A$4:$A$203,0)),""))</f>
        <v/>
      </c>
      <c r="D670" s="11" t="str">
        <f aca="false">IF(B670="","",IFERROR(INDEX(Students!$H$4:$H$203,MATCH(B670,Students!$A$4:$A$203,0)),""))</f>
        <v/>
      </c>
      <c r="E670" s="18"/>
      <c r="F670" s="18"/>
      <c r="G670" s="18"/>
      <c r="H670" s="18"/>
      <c r="I670" s="18"/>
      <c r="J670" s="18"/>
      <c r="K670" s="18"/>
      <c r="L670" s="18"/>
    </row>
    <row r="671" customFormat="false" ht="15" hidden="false" customHeight="true" outlineLevel="0" collapsed="false">
      <c r="A671" s="19"/>
      <c r="B671" s="17"/>
      <c r="C671" s="11" t="str">
        <f aca="false">IF(B671="","",IFERROR(INDEX(Students!$B$4:$B$203,MATCH(B671,Students!$A$4:$A$203,0)),""))</f>
        <v/>
      </c>
      <c r="D671" s="11" t="str">
        <f aca="false">IF(B671="","",IFERROR(INDEX(Students!$H$4:$H$203,MATCH(B671,Students!$A$4:$A$203,0)),""))</f>
        <v/>
      </c>
      <c r="E671" s="18"/>
      <c r="F671" s="18"/>
      <c r="G671" s="18"/>
      <c r="H671" s="18"/>
      <c r="I671" s="18"/>
      <c r="J671" s="18"/>
      <c r="K671" s="18"/>
      <c r="L671" s="18"/>
    </row>
    <row r="672" customFormat="false" ht="15" hidden="false" customHeight="true" outlineLevel="0" collapsed="false">
      <c r="A672" s="19"/>
      <c r="B672" s="17"/>
      <c r="C672" s="11" t="str">
        <f aca="false">IF(B672="","",IFERROR(INDEX(Students!$B$4:$B$203,MATCH(B672,Students!$A$4:$A$203,0)),""))</f>
        <v/>
      </c>
      <c r="D672" s="11" t="str">
        <f aca="false">IF(B672="","",IFERROR(INDEX(Students!$H$4:$H$203,MATCH(B672,Students!$A$4:$A$203,0)),""))</f>
        <v/>
      </c>
      <c r="E672" s="18"/>
      <c r="F672" s="18"/>
      <c r="G672" s="18"/>
      <c r="H672" s="18"/>
      <c r="I672" s="18"/>
      <c r="J672" s="18"/>
      <c r="K672" s="18"/>
      <c r="L672" s="18"/>
    </row>
    <row r="673" customFormat="false" ht="15" hidden="false" customHeight="true" outlineLevel="0" collapsed="false">
      <c r="A673" s="19"/>
      <c r="B673" s="17"/>
      <c r="C673" s="11" t="str">
        <f aca="false">IF(B673="","",IFERROR(INDEX(Students!$B$4:$B$203,MATCH(B673,Students!$A$4:$A$203,0)),""))</f>
        <v/>
      </c>
      <c r="D673" s="11" t="str">
        <f aca="false">IF(B673="","",IFERROR(INDEX(Students!$H$4:$H$203,MATCH(B673,Students!$A$4:$A$203,0)),""))</f>
        <v/>
      </c>
      <c r="E673" s="18"/>
      <c r="F673" s="18"/>
      <c r="G673" s="18"/>
      <c r="H673" s="18"/>
      <c r="I673" s="18"/>
      <c r="J673" s="18"/>
      <c r="K673" s="18"/>
      <c r="L673" s="18"/>
    </row>
    <row r="674" customFormat="false" ht="15" hidden="false" customHeight="true" outlineLevel="0" collapsed="false">
      <c r="A674" s="19"/>
      <c r="B674" s="17"/>
      <c r="C674" s="11" t="str">
        <f aca="false">IF(B674="","",IFERROR(INDEX(Students!$B$4:$B$203,MATCH(B674,Students!$A$4:$A$203,0)),""))</f>
        <v/>
      </c>
      <c r="D674" s="11" t="str">
        <f aca="false">IF(B674="","",IFERROR(INDEX(Students!$H$4:$H$203,MATCH(B674,Students!$A$4:$A$203,0)),""))</f>
        <v/>
      </c>
      <c r="E674" s="18"/>
      <c r="F674" s="18"/>
      <c r="G674" s="18"/>
      <c r="H674" s="18"/>
      <c r="I674" s="18"/>
      <c r="J674" s="18"/>
      <c r="K674" s="18"/>
      <c r="L674" s="18"/>
    </row>
    <row r="675" customFormat="false" ht="15" hidden="false" customHeight="true" outlineLevel="0" collapsed="false">
      <c r="A675" s="19"/>
      <c r="B675" s="17"/>
      <c r="C675" s="11" t="str">
        <f aca="false">IF(B675="","",IFERROR(INDEX(Students!$B$4:$B$203,MATCH(B675,Students!$A$4:$A$203,0)),""))</f>
        <v/>
      </c>
      <c r="D675" s="11" t="str">
        <f aca="false">IF(B675="","",IFERROR(INDEX(Students!$H$4:$H$203,MATCH(B675,Students!$A$4:$A$203,0)),""))</f>
        <v/>
      </c>
      <c r="E675" s="18"/>
      <c r="F675" s="18"/>
      <c r="G675" s="18"/>
      <c r="H675" s="18"/>
      <c r="I675" s="18"/>
      <c r="J675" s="18"/>
      <c r="K675" s="18"/>
      <c r="L675" s="18"/>
    </row>
    <row r="676" customFormat="false" ht="15" hidden="false" customHeight="true" outlineLevel="0" collapsed="false">
      <c r="A676" s="19"/>
      <c r="B676" s="17"/>
      <c r="C676" s="11" t="str">
        <f aca="false">IF(B676="","",IFERROR(INDEX(Students!$B$4:$B$203,MATCH(B676,Students!$A$4:$A$203,0)),""))</f>
        <v/>
      </c>
      <c r="D676" s="11" t="str">
        <f aca="false">IF(B676="","",IFERROR(INDEX(Students!$H$4:$H$203,MATCH(B676,Students!$A$4:$A$203,0)),""))</f>
        <v/>
      </c>
      <c r="E676" s="18"/>
      <c r="F676" s="18"/>
      <c r="G676" s="18"/>
      <c r="H676" s="18"/>
      <c r="I676" s="18"/>
      <c r="J676" s="18"/>
      <c r="K676" s="18"/>
      <c r="L676" s="18"/>
    </row>
    <row r="677" customFormat="false" ht="15" hidden="false" customHeight="true" outlineLevel="0" collapsed="false">
      <c r="A677" s="19"/>
      <c r="B677" s="17"/>
      <c r="C677" s="11" t="str">
        <f aca="false">IF(B677="","",IFERROR(INDEX(Students!$B$4:$B$203,MATCH(B677,Students!$A$4:$A$203,0)),""))</f>
        <v/>
      </c>
      <c r="D677" s="11" t="str">
        <f aca="false">IF(B677="","",IFERROR(INDEX(Students!$H$4:$H$203,MATCH(B677,Students!$A$4:$A$203,0)),""))</f>
        <v/>
      </c>
      <c r="E677" s="18"/>
      <c r="F677" s="18"/>
      <c r="G677" s="18"/>
      <c r="H677" s="18"/>
      <c r="I677" s="18"/>
      <c r="J677" s="18"/>
      <c r="K677" s="18"/>
      <c r="L677" s="18"/>
    </row>
    <row r="678" customFormat="false" ht="15" hidden="false" customHeight="true" outlineLevel="0" collapsed="false">
      <c r="A678" s="19"/>
      <c r="B678" s="17"/>
      <c r="C678" s="11" t="str">
        <f aca="false">IF(B678="","",IFERROR(INDEX(Students!$B$4:$B$203,MATCH(B678,Students!$A$4:$A$203,0)),""))</f>
        <v/>
      </c>
      <c r="D678" s="11" t="str">
        <f aca="false">IF(B678="","",IFERROR(INDEX(Students!$H$4:$H$203,MATCH(B678,Students!$A$4:$A$203,0)),""))</f>
        <v/>
      </c>
      <c r="E678" s="18"/>
      <c r="F678" s="18"/>
      <c r="G678" s="18"/>
      <c r="H678" s="18"/>
      <c r="I678" s="18"/>
      <c r="J678" s="18"/>
      <c r="K678" s="18"/>
      <c r="L678" s="18"/>
    </row>
    <row r="679" customFormat="false" ht="15" hidden="false" customHeight="true" outlineLevel="0" collapsed="false">
      <c r="A679" s="19"/>
      <c r="B679" s="17"/>
      <c r="C679" s="11" t="str">
        <f aca="false">IF(B679="","",IFERROR(INDEX(Students!$B$4:$B$203,MATCH(B679,Students!$A$4:$A$203,0)),""))</f>
        <v/>
      </c>
      <c r="D679" s="11" t="str">
        <f aca="false">IF(B679="","",IFERROR(INDEX(Students!$H$4:$H$203,MATCH(B679,Students!$A$4:$A$203,0)),""))</f>
        <v/>
      </c>
      <c r="E679" s="18"/>
      <c r="F679" s="18"/>
      <c r="G679" s="18"/>
      <c r="H679" s="18"/>
      <c r="I679" s="18"/>
      <c r="J679" s="18"/>
      <c r="K679" s="18"/>
      <c r="L679" s="18"/>
    </row>
    <row r="680" customFormat="false" ht="15" hidden="false" customHeight="true" outlineLevel="0" collapsed="false">
      <c r="A680" s="19"/>
      <c r="B680" s="17"/>
      <c r="C680" s="11" t="str">
        <f aca="false">IF(B680="","",IFERROR(INDEX(Students!$B$4:$B$203,MATCH(B680,Students!$A$4:$A$203,0)),""))</f>
        <v/>
      </c>
      <c r="D680" s="11" t="str">
        <f aca="false">IF(B680="","",IFERROR(INDEX(Students!$H$4:$H$203,MATCH(B680,Students!$A$4:$A$203,0)),""))</f>
        <v/>
      </c>
      <c r="E680" s="18"/>
      <c r="F680" s="18"/>
      <c r="G680" s="18"/>
      <c r="H680" s="18"/>
      <c r="I680" s="18"/>
      <c r="J680" s="18"/>
      <c r="K680" s="18"/>
      <c r="L680" s="18"/>
    </row>
    <row r="681" customFormat="false" ht="15" hidden="false" customHeight="true" outlineLevel="0" collapsed="false">
      <c r="A681" s="19"/>
      <c r="B681" s="17"/>
      <c r="C681" s="11" t="str">
        <f aca="false">IF(B681="","",IFERROR(INDEX(Students!$B$4:$B$203,MATCH(B681,Students!$A$4:$A$203,0)),""))</f>
        <v/>
      </c>
      <c r="D681" s="11" t="str">
        <f aca="false">IF(B681="","",IFERROR(INDEX(Students!$H$4:$H$203,MATCH(B681,Students!$A$4:$A$203,0)),""))</f>
        <v/>
      </c>
      <c r="E681" s="18"/>
      <c r="F681" s="18"/>
      <c r="G681" s="18"/>
      <c r="H681" s="18"/>
      <c r="I681" s="18"/>
      <c r="J681" s="18"/>
      <c r="K681" s="18"/>
      <c r="L681" s="18"/>
    </row>
    <row r="682" customFormat="false" ht="15" hidden="false" customHeight="true" outlineLevel="0" collapsed="false">
      <c r="A682" s="19"/>
      <c r="B682" s="17"/>
      <c r="C682" s="11" t="str">
        <f aca="false">IF(B682="","",IFERROR(INDEX(Students!$B$4:$B$203,MATCH(B682,Students!$A$4:$A$203,0)),""))</f>
        <v/>
      </c>
      <c r="D682" s="11" t="str">
        <f aca="false">IF(B682="","",IFERROR(INDEX(Students!$H$4:$H$203,MATCH(B682,Students!$A$4:$A$203,0)),""))</f>
        <v/>
      </c>
      <c r="E682" s="18"/>
      <c r="F682" s="18"/>
      <c r="G682" s="18"/>
      <c r="H682" s="18"/>
      <c r="I682" s="18"/>
      <c r="J682" s="18"/>
      <c r="K682" s="18"/>
      <c r="L682" s="18"/>
    </row>
    <row r="683" customFormat="false" ht="15" hidden="false" customHeight="true" outlineLevel="0" collapsed="false">
      <c r="A683" s="19"/>
      <c r="B683" s="17"/>
      <c r="C683" s="11" t="str">
        <f aca="false">IF(B683="","",IFERROR(INDEX(Students!$B$4:$B$203,MATCH(B683,Students!$A$4:$A$203,0)),""))</f>
        <v/>
      </c>
      <c r="D683" s="11" t="str">
        <f aca="false">IF(B683="","",IFERROR(INDEX(Students!$H$4:$H$203,MATCH(B683,Students!$A$4:$A$203,0)),""))</f>
        <v/>
      </c>
      <c r="E683" s="18"/>
      <c r="F683" s="18"/>
      <c r="G683" s="18"/>
      <c r="H683" s="18"/>
      <c r="I683" s="18"/>
      <c r="J683" s="18"/>
      <c r="K683" s="18"/>
      <c r="L683" s="18"/>
    </row>
    <row r="684" customFormat="false" ht="15" hidden="false" customHeight="true" outlineLevel="0" collapsed="false">
      <c r="A684" s="19"/>
      <c r="B684" s="17"/>
      <c r="C684" s="11" t="str">
        <f aca="false">IF(B684="","",IFERROR(INDEX(Students!$B$4:$B$203,MATCH(B684,Students!$A$4:$A$203,0)),""))</f>
        <v/>
      </c>
      <c r="D684" s="11" t="str">
        <f aca="false">IF(B684="","",IFERROR(INDEX(Students!$H$4:$H$203,MATCH(B684,Students!$A$4:$A$203,0)),""))</f>
        <v/>
      </c>
      <c r="E684" s="18"/>
      <c r="F684" s="18"/>
      <c r="G684" s="18"/>
      <c r="H684" s="18"/>
      <c r="I684" s="18"/>
      <c r="J684" s="18"/>
      <c r="K684" s="18"/>
      <c r="L684" s="18"/>
    </row>
    <row r="685" customFormat="false" ht="15" hidden="false" customHeight="true" outlineLevel="0" collapsed="false">
      <c r="A685" s="19"/>
      <c r="B685" s="17"/>
      <c r="C685" s="11" t="str">
        <f aca="false">IF(B685="","",IFERROR(INDEX(Students!$B$4:$B$203,MATCH(B685,Students!$A$4:$A$203,0)),""))</f>
        <v/>
      </c>
      <c r="D685" s="11" t="str">
        <f aca="false">IF(B685="","",IFERROR(INDEX(Students!$H$4:$H$203,MATCH(B685,Students!$A$4:$A$203,0)),""))</f>
        <v/>
      </c>
      <c r="E685" s="18"/>
      <c r="F685" s="18"/>
      <c r="G685" s="18"/>
      <c r="H685" s="18"/>
      <c r="I685" s="18"/>
      <c r="J685" s="18"/>
      <c r="K685" s="18"/>
      <c r="L685" s="18"/>
    </row>
    <row r="686" customFormat="false" ht="15" hidden="false" customHeight="true" outlineLevel="0" collapsed="false">
      <c r="A686" s="19"/>
      <c r="B686" s="17"/>
      <c r="C686" s="11" t="str">
        <f aca="false">IF(B686="","",IFERROR(INDEX(Students!$B$4:$B$203,MATCH(B686,Students!$A$4:$A$203,0)),""))</f>
        <v/>
      </c>
      <c r="D686" s="11" t="str">
        <f aca="false">IF(B686="","",IFERROR(INDEX(Students!$H$4:$H$203,MATCH(B686,Students!$A$4:$A$203,0)),""))</f>
        <v/>
      </c>
      <c r="E686" s="18"/>
      <c r="F686" s="18"/>
      <c r="G686" s="18"/>
      <c r="H686" s="18"/>
      <c r="I686" s="18"/>
      <c r="J686" s="18"/>
      <c r="K686" s="18"/>
      <c r="L686" s="18"/>
    </row>
    <row r="687" customFormat="false" ht="15" hidden="false" customHeight="true" outlineLevel="0" collapsed="false">
      <c r="A687" s="19"/>
      <c r="B687" s="17"/>
      <c r="C687" s="11" t="str">
        <f aca="false">IF(B687="","",IFERROR(INDEX(Students!$B$4:$B$203,MATCH(B687,Students!$A$4:$A$203,0)),""))</f>
        <v/>
      </c>
      <c r="D687" s="11" t="str">
        <f aca="false">IF(B687="","",IFERROR(INDEX(Students!$H$4:$H$203,MATCH(B687,Students!$A$4:$A$203,0)),""))</f>
        <v/>
      </c>
      <c r="E687" s="18"/>
      <c r="F687" s="18"/>
      <c r="G687" s="18"/>
      <c r="H687" s="18"/>
      <c r="I687" s="18"/>
      <c r="J687" s="18"/>
      <c r="K687" s="18"/>
      <c r="L687" s="18"/>
    </row>
    <row r="688" customFormat="false" ht="15" hidden="false" customHeight="true" outlineLevel="0" collapsed="false">
      <c r="A688" s="19"/>
      <c r="B688" s="17"/>
      <c r="C688" s="11" t="str">
        <f aca="false">IF(B688="","",IFERROR(INDEX(Students!$B$4:$B$203,MATCH(B688,Students!$A$4:$A$203,0)),""))</f>
        <v/>
      </c>
      <c r="D688" s="11" t="str">
        <f aca="false">IF(B688="","",IFERROR(INDEX(Students!$H$4:$H$203,MATCH(B688,Students!$A$4:$A$203,0)),""))</f>
        <v/>
      </c>
      <c r="E688" s="18"/>
      <c r="F688" s="18"/>
      <c r="G688" s="18"/>
      <c r="H688" s="18"/>
      <c r="I688" s="18"/>
      <c r="J688" s="18"/>
      <c r="K688" s="18"/>
      <c r="L688" s="18"/>
    </row>
    <row r="689" customFormat="false" ht="15" hidden="false" customHeight="true" outlineLevel="0" collapsed="false">
      <c r="A689" s="19"/>
      <c r="B689" s="17"/>
      <c r="C689" s="11" t="str">
        <f aca="false">IF(B689="","",IFERROR(INDEX(Students!$B$4:$B$203,MATCH(B689,Students!$A$4:$A$203,0)),""))</f>
        <v/>
      </c>
      <c r="D689" s="11" t="str">
        <f aca="false">IF(B689="","",IFERROR(INDEX(Students!$H$4:$H$203,MATCH(B689,Students!$A$4:$A$203,0)),""))</f>
        <v/>
      </c>
      <c r="E689" s="18"/>
      <c r="F689" s="18"/>
      <c r="G689" s="18"/>
      <c r="H689" s="18"/>
      <c r="I689" s="18"/>
      <c r="J689" s="18"/>
      <c r="K689" s="18"/>
      <c r="L689" s="18"/>
    </row>
    <row r="690" customFormat="false" ht="15" hidden="false" customHeight="true" outlineLevel="0" collapsed="false">
      <c r="A690" s="19"/>
      <c r="B690" s="17"/>
      <c r="C690" s="11" t="str">
        <f aca="false">IF(B690="","",IFERROR(INDEX(Students!$B$4:$B$203,MATCH(B690,Students!$A$4:$A$203,0)),""))</f>
        <v/>
      </c>
      <c r="D690" s="11" t="str">
        <f aca="false">IF(B690="","",IFERROR(INDEX(Students!$H$4:$H$203,MATCH(B690,Students!$A$4:$A$203,0)),""))</f>
        <v/>
      </c>
      <c r="E690" s="18"/>
      <c r="F690" s="18"/>
      <c r="G690" s="18"/>
      <c r="H690" s="18"/>
      <c r="I690" s="18"/>
      <c r="J690" s="18"/>
      <c r="K690" s="18"/>
      <c r="L690" s="18"/>
    </row>
    <row r="691" customFormat="false" ht="15" hidden="false" customHeight="true" outlineLevel="0" collapsed="false">
      <c r="A691" s="19"/>
      <c r="B691" s="17"/>
      <c r="C691" s="11" t="str">
        <f aca="false">IF(B691="","",IFERROR(INDEX(Students!$B$4:$B$203,MATCH(B691,Students!$A$4:$A$203,0)),""))</f>
        <v/>
      </c>
      <c r="D691" s="11" t="str">
        <f aca="false">IF(B691="","",IFERROR(INDEX(Students!$H$4:$H$203,MATCH(B691,Students!$A$4:$A$203,0)),""))</f>
        <v/>
      </c>
      <c r="E691" s="18"/>
      <c r="F691" s="18"/>
      <c r="G691" s="18"/>
      <c r="H691" s="18"/>
      <c r="I691" s="18"/>
      <c r="J691" s="18"/>
      <c r="K691" s="18"/>
      <c r="L691" s="18"/>
    </row>
    <row r="692" customFormat="false" ht="15" hidden="false" customHeight="true" outlineLevel="0" collapsed="false">
      <c r="A692" s="19"/>
      <c r="B692" s="17"/>
      <c r="C692" s="11" t="str">
        <f aca="false">IF(B692="","",IFERROR(INDEX(Students!$B$4:$B$203,MATCH(B692,Students!$A$4:$A$203,0)),""))</f>
        <v/>
      </c>
      <c r="D692" s="11" t="str">
        <f aca="false">IF(B692="","",IFERROR(INDEX(Students!$H$4:$H$203,MATCH(B692,Students!$A$4:$A$203,0)),""))</f>
        <v/>
      </c>
      <c r="E692" s="18"/>
      <c r="F692" s="18"/>
      <c r="G692" s="18"/>
      <c r="H692" s="18"/>
      <c r="I692" s="18"/>
      <c r="J692" s="18"/>
      <c r="K692" s="18"/>
      <c r="L692" s="18"/>
    </row>
    <row r="693" customFormat="false" ht="15" hidden="false" customHeight="true" outlineLevel="0" collapsed="false">
      <c r="A693" s="19"/>
      <c r="B693" s="17"/>
      <c r="C693" s="11" t="str">
        <f aca="false">IF(B693="","",IFERROR(INDEX(Students!$B$4:$B$203,MATCH(B693,Students!$A$4:$A$203,0)),""))</f>
        <v/>
      </c>
      <c r="D693" s="11" t="str">
        <f aca="false">IF(B693="","",IFERROR(INDEX(Students!$H$4:$H$203,MATCH(B693,Students!$A$4:$A$203,0)),""))</f>
        <v/>
      </c>
      <c r="E693" s="18"/>
      <c r="F693" s="18"/>
      <c r="G693" s="18"/>
      <c r="H693" s="18"/>
      <c r="I693" s="18"/>
      <c r="J693" s="18"/>
      <c r="K693" s="18"/>
      <c r="L693" s="18"/>
    </row>
    <row r="694" customFormat="false" ht="15" hidden="false" customHeight="true" outlineLevel="0" collapsed="false">
      <c r="A694" s="19"/>
      <c r="B694" s="17"/>
      <c r="C694" s="11" t="str">
        <f aca="false">IF(B694="","",IFERROR(INDEX(Students!$B$4:$B$203,MATCH(B694,Students!$A$4:$A$203,0)),""))</f>
        <v/>
      </c>
      <c r="D694" s="11" t="str">
        <f aca="false">IF(B694="","",IFERROR(INDEX(Students!$H$4:$H$203,MATCH(B694,Students!$A$4:$A$203,0)),""))</f>
        <v/>
      </c>
      <c r="E694" s="18"/>
      <c r="F694" s="18"/>
      <c r="G694" s="18"/>
      <c r="H694" s="18"/>
      <c r="I694" s="18"/>
      <c r="J694" s="18"/>
      <c r="K694" s="18"/>
      <c r="L694" s="18"/>
    </row>
    <row r="695" customFormat="false" ht="15" hidden="false" customHeight="true" outlineLevel="0" collapsed="false">
      <c r="A695" s="19"/>
      <c r="B695" s="17"/>
      <c r="C695" s="11" t="str">
        <f aca="false">IF(B695="","",IFERROR(INDEX(Students!$B$4:$B$203,MATCH(B695,Students!$A$4:$A$203,0)),""))</f>
        <v/>
      </c>
      <c r="D695" s="11" t="str">
        <f aca="false">IF(B695="","",IFERROR(INDEX(Students!$H$4:$H$203,MATCH(B695,Students!$A$4:$A$203,0)),""))</f>
        <v/>
      </c>
      <c r="E695" s="18"/>
      <c r="F695" s="18"/>
      <c r="G695" s="18"/>
      <c r="H695" s="18"/>
      <c r="I695" s="18"/>
      <c r="J695" s="18"/>
      <c r="K695" s="18"/>
      <c r="L695" s="18"/>
    </row>
    <row r="696" customFormat="false" ht="15" hidden="false" customHeight="true" outlineLevel="0" collapsed="false">
      <c r="A696" s="19"/>
      <c r="B696" s="17"/>
      <c r="C696" s="11" t="str">
        <f aca="false">IF(B696="","",IFERROR(INDEX(Students!$B$4:$B$203,MATCH(B696,Students!$A$4:$A$203,0)),""))</f>
        <v/>
      </c>
      <c r="D696" s="11" t="str">
        <f aca="false">IF(B696="","",IFERROR(INDEX(Students!$H$4:$H$203,MATCH(B696,Students!$A$4:$A$203,0)),""))</f>
        <v/>
      </c>
      <c r="E696" s="18"/>
      <c r="F696" s="18"/>
      <c r="G696" s="18"/>
      <c r="H696" s="18"/>
      <c r="I696" s="18"/>
      <c r="J696" s="18"/>
      <c r="K696" s="18"/>
      <c r="L696" s="18"/>
    </row>
    <row r="697" customFormat="false" ht="15" hidden="false" customHeight="true" outlineLevel="0" collapsed="false">
      <c r="A697" s="19"/>
      <c r="B697" s="17"/>
      <c r="C697" s="11" t="str">
        <f aca="false">IF(B697="","",IFERROR(INDEX(Students!$B$4:$B$203,MATCH(B697,Students!$A$4:$A$203,0)),""))</f>
        <v/>
      </c>
      <c r="D697" s="11" t="str">
        <f aca="false">IF(B697="","",IFERROR(INDEX(Students!$H$4:$H$203,MATCH(B697,Students!$A$4:$A$203,0)),""))</f>
        <v/>
      </c>
      <c r="E697" s="18"/>
      <c r="F697" s="18"/>
      <c r="G697" s="18"/>
      <c r="H697" s="18"/>
      <c r="I697" s="18"/>
      <c r="J697" s="18"/>
      <c r="K697" s="18"/>
      <c r="L697" s="18"/>
    </row>
    <row r="698" customFormat="false" ht="15" hidden="false" customHeight="true" outlineLevel="0" collapsed="false">
      <c r="A698" s="19"/>
      <c r="B698" s="17"/>
      <c r="C698" s="11" t="str">
        <f aca="false">IF(B698="","",IFERROR(INDEX(Students!$B$4:$B$203,MATCH(B698,Students!$A$4:$A$203,0)),""))</f>
        <v/>
      </c>
      <c r="D698" s="11" t="str">
        <f aca="false">IF(B698="","",IFERROR(INDEX(Students!$H$4:$H$203,MATCH(B698,Students!$A$4:$A$203,0)),""))</f>
        <v/>
      </c>
      <c r="E698" s="18"/>
      <c r="F698" s="18"/>
      <c r="G698" s="18"/>
      <c r="H698" s="18"/>
      <c r="I698" s="18"/>
      <c r="J698" s="18"/>
      <c r="K698" s="18"/>
      <c r="L698" s="18"/>
    </row>
    <row r="699" customFormat="false" ht="15" hidden="false" customHeight="true" outlineLevel="0" collapsed="false">
      <c r="A699" s="19"/>
      <c r="B699" s="17"/>
      <c r="C699" s="11" t="str">
        <f aca="false">IF(B699="","",IFERROR(INDEX(Students!$B$4:$B$203,MATCH(B699,Students!$A$4:$A$203,0)),""))</f>
        <v/>
      </c>
      <c r="D699" s="11" t="str">
        <f aca="false">IF(B699="","",IFERROR(INDEX(Students!$H$4:$H$203,MATCH(B699,Students!$A$4:$A$203,0)),""))</f>
        <v/>
      </c>
      <c r="E699" s="18"/>
      <c r="F699" s="18"/>
      <c r="G699" s="18"/>
      <c r="H699" s="18"/>
      <c r="I699" s="18"/>
      <c r="J699" s="18"/>
      <c r="K699" s="18"/>
      <c r="L699" s="18"/>
    </row>
    <row r="700" customFormat="false" ht="15" hidden="false" customHeight="true" outlineLevel="0" collapsed="false">
      <c r="A700" s="19"/>
      <c r="B700" s="17"/>
      <c r="C700" s="11" t="str">
        <f aca="false">IF(B700="","",IFERROR(INDEX(Students!$B$4:$B$203,MATCH(B700,Students!$A$4:$A$203,0)),""))</f>
        <v/>
      </c>
      <c r="D700" s="11" t="str">
        <f aca="false">IF(B700="","",IFERROR(INDEX(Students!$H$4:$H$203,MATCH(B700,Students!$A$4:$A$203,0)),""))</f>
        <v/>
      </c>
      <c r="E700" s="18"/>
      <c r="F700" s="18"/>
      <c r="G700" s="18"/>
      <c r="H700" s="18"/>
      <c r="I700" s="18"/>
      <c r="J700" s="18"/>
      <c r="K700" s="18"/>
      <c r="L700" s="18"/>
    </row>
    <row r="701" customFormat="false" ht="15" hidden="false" customHeight="true" outlineLevel="0" collapsed="false">
      <c r="A701" s="19"/>
      <c r="B701" s="17"/>
      <c r="C701" s="11" t="str">
        <f aca="false">IF(B701="","",IFERROR(INDEX(Students!$B$4:$B$203,MATCH(B701,Students!$A$4:$A$203,0)),""))</f>
        <v/>
      </c>
      <c r="D701" s="11" t="str">
        <f aca="false">IF(B701="","",IFERROR(INDEX(Students!$H$4:$H$203,MATCH(B701,Students!$A$4:$A$203,0)),""))</f>
        <v/>
      </c>
      <c r="E701" s="18"/>
      <c r="F701" s="18"/>
      <c r="G701" s="18"/>
      <c r="H701" s="18"/>
      <c r="I701" s="18"/>
      <c r="J701" s="18"/>
      <c r="K701" s="18"/>
      <c r="L701" s="18"/>
    </row>
    <row r="702" customFormat="false" ht="15" hidden="false" customHeight="true" outlineLevel="0" collapsed="false">
      <c r="A702" s="19"/>
      <c r="B702" s="17"/>
      <c r="C702" s="11" t="str">
        <f aca="false">IF(B702="","",IFERROR(INDEX(Students!$B$4:$B$203,MATCH(B702,Students!$A$4:$A$203,0)),""))</f>
        <v/>
      </c>
      <c r="D702" s="11" t="str">
        <f aca="false">IF(B702="","",IFERROR(INDEX(Students!$H$4:$H$203,MATCH(B702,Students!$A$4:$A$203,0)),""))</f>
        <v/>
      </c>
      <c r="E702" s="18"/>
      <c r="F702" s="18"/>
      <c r="G702" s="18"/>
      <c r="H702" s="18"/>
      <c r="I702" s="18"/>
      <c r="J702" s="18"/>
      <c r="K702" s="18"/>
      <c r="L702" s="18"/>
    </row>
    <row r="703" customFormat="false" ht="15" hidden="false" customHeight="true" outlineLevel="0" collapsed="false">
      <c r="A703" s="19"/>
      <c r="B703" s="17"/>
      <c r="C703" s="11" t="str">
        <f aca="false">IF(B703="","",IFERROR(INDEX(Students!$B$4:$B$203,MATCH(B703,Students!$A$4:$A$203,0)),""))</f>
        <v/>
      </c>
      <c r="D703" s="11" t="str">
        <f aca="false">IF(B703="","",IFERROR(INDEX(Students!$H$4:$H$203,MATCH(B703,Students!$A$4:$A$203,0)),""))</f>
        <v/>
      </c>
      <c r="E703" s="18"/>
      <c r="F703" s="18"/>
      <c r="G703" s="18"/>
      <c r="H703" s="18"/>
      <c r="I703" s="18"/>
      <c r="J703" s="18"/>
      <c r="K703" s="18"/>
      <c r="L703" s="18"/>
    </row>
    <row r="704" customFormat="false" ht="15" hidden="false" customHeight="true" outlineLevel="0" collapsed="false">
      <c r="A704" s="19"/>
      <c r="B704" s="17"/>
      <c r="C704" s="11" t="str">
        <f aca="false">IF(B704="","",IFERROR(INDEX(Students!$B$4:$B$203,MATCH(B704,Students!$A$4:$A$203,0)),""))</f>
        <v/>
      </c>
      <c r="D704" s="11" t="str">
        <f aca="false">IF(B704="","",IFERROR(INDEX(Students!$H$4:$H$203,MATCH(B704,Students!$A$4:$A$203,0)),""))</f>
        <v/>
      </c>
      <c r="E704" s="18"/>
      <c r="F704" s="18"/>
      <c r="G704" s="18"/>
      <c r="H704" s="18"/>
      <c r="I704" s="18"/>
      <c r="J704" s="18"/>
      <c r="K704" s="18"/>
      <c r="L704" s="18"/>
    </row>
    <row r="705" customFormat="false" ht="15" hidden="false" customHeight="true" outlineLevel="0" collapsed="false">
      <c r="A705" s="19"/>
      <c r="B705" s="17"/>
      <c r="C705" s="11" t="str">
        <f aca="false">IF(B705="","",IFERROR(INDEX(Students!$B$4:$B$203,MATCH(B705,Students!$A$4:$A$203,0)),""))</f>
        <v/>
      </c>
      <c r="D705" s="11" t="str">
        <f aca="false">IF(B705="","",IFERROR(INDEX(Students!$H$4:$H$203,MATCH(B705,Students!$A$4:$A$203,0)),""))</f>
        <v/>
      </c>
      <c r="E705" s="18"/>
      <c r="F705" s="18"/>
      <c r="G705" s="18"/>
      <c r="H705" s="18"/>
      <c r="I705" s="18"/>
      <c r="J705" s="18"/>
      <c r="K705" s="18"/>
      <c r="L705" s="18"/>
    </row>
    <row r="706" customFormat="false" ht="15" hidden="false" customHeight="true" outlineLevel="0" collapsed="false">
      <c r="A706" s="19"/>
      <c r="B706" s="17"/>
      <c r="C706" s="11" t="str">
        <f aca="false">IF(B706="","",IFERROR(INDEX(Students!$B$4:$B$203,MATCH(B706,Students!$A$4:$A$203,0)),""))</f>
        <v/>
      </c>
      <c r="D706" s="11" t="str">
        <f aca="false">IF(B706="","",IFERROR(INDEX(Students!$H$4:$H$203,MATCH(B706,Students!$A$4:$A$203,0)),""))</f>
        <v/>
      </c>
      <c r="E706" s="18"/>
      <c r="F706" s="18"/>
      <c r="G706" s="18"/>
      <c r="H706" s="18"/>
      <c r="I706" s="18"/>
      <c r="J706" s="18"/>
      <c r="K706" s="18"/>
      <c r="L706" s="18"/>
    </row>
    <row r="707" customFormat="false" ht="15" hidden="false" customHeight="true" outlineLevel="0" collapsed="false">
      <c r="A707" s="19"/>
      <c r="B707" s="17"/>
      <c r="C707" s="11" t="str">
        <f aca="false">IF(B707="","",IFERROR(INDEX(Students!$B$4:$B$203,MATCH(B707,Students!$A$4:$A$203,0)),""))</f>
        <v/>
      </c>
      <c r="D707" s="11" t="str">
        <f aca="false">IF(B707="","",IFERROR(INDEX(Students!$H$4:$H$203,MATCH(B707,Students!$A$4:$A$203,0)),""))</f>
        <v/>
      </c>
      <c r="E707" s="18"/>
      <c r="F707" s="18"/>
      <c r="G707" s="18"/>
      <c r="H707" s="18"/>
      <c r="I707" s="18"/>
      <c r="J707" s="18"/>
      <c r="K707" s="18"/>
      <c r="L707" s="18"/>
    </row>
    <row r="708" customFormat="false" ht="15" hidden="false" customHeight="true" outlineLevel="0" collapsed="false">
      <c r="A708" s="19"/>
      <c r="B708" s="17"/>
      <c r="C708" s="11" t="str">
        <f aca="false">IF(B708="","",IFERROR(INDEX(Students!$B$4:$B$203,MATCH(B708,Students!$A$4:$A$203,0)),""))</f>
        <v/>
      </c>
      <c r="D708" s="11" t="str">
        <f aca="false">IF(B708="","",IFERROR(INDEX(Students!$H$4:$H$203,MATCH(B708,Students!$A$4:$A$203,0)),""))</f>
        <v/>
      </c>
      <c r="E708" s="18"/>
      <c r="F708" s="18"/>
      <c r="G708" s="18"/>
      <c r="H708" s="18"/>
      <c r="I708" s="18"/>
      <c r="J708" s="18"/>
      <c r="K708" s="18"/>
      <c r="L708" s="18"/>
    </row>
    <row r="709" customFormat="false" ht="15" hidden="false" customHeight="true" outlineLevel="0" collapsed="false">
      <c r="A709" s="19"/>
      <c r="B709" s="17"/>
      <c r="C709" s="11" t="str">
        <f aca="false">IF(B709="","",IFERROR(INDEX(Students!$B$4:$B$203,MATCH(B709,Students!$A$4:$A$203,0)),""))</f>
        <v/>
      </c>
      <c r="D709" s="11" t="str">
        <f aca="false">IF(B709="","",IFERROR(INDEX(Students!$H$4:$H$203,MATCH(B709,Students!$A$4:$A$203,0)),""))</f>
        <v/>
      </c>
      <c r="E709" s="18"/>
      <c r="F709" s="18"/>
      <c r="G709" s="18"/>
      <c r="H709" s="18"/>
      <c r="I709" s="18"/>
      <c r="J709" s="18"/>
      <c r="K709" s="18"/>
      <c r="L709" s="18"/>
    </row>
    <row r="710" customFormat="false" ht="15" hidden="false" customHeight="true" outlineLevel="0" collapsed="false">
      <c r="A710" s="19"/>
      <c r="B710" s="17"/>
      <c r="C710" s="11" t="str">
        <f aca="false">IF(B710="","",IFERROR(INDEX(Students!$B$4:$B$203,MATCH(B710,Students!$A$4:$A$203,0)),""))</f>
        <v/>
      </c>
      <c r="D710" s="11" t="str">
        <f aca="false">IF(B710="","",IFERROR(INDEX(Students!$H$4:$H$203,MATCH(B710,Students!$A$4:$A$203,0)),""))</f>
        <v/>
      </c>
      <c r="E710" s="18"/>
      <c r="F710" s="18"/>
      <c r="G710" s="18"/>
      <c r="H710" s="18"/>
      <c r="I710" s="18"/>
      <c r="J710" s="18"/>
      <c r="K710" s="18"/>
      <c r="L710" s="18"/>
    </row>
    <row r="711" customFormat="false" ht="15" hidden="false" customHeight="true" outlineLevel="0" collapsed="false">
      <c r="A711" s="19"/>
      <c r="B711" s="17"/>
      <c r="C711" s="11" t="str">
        <f aca="false">IF(B711="","",IFERROR(INDEX(Students!$B$4:$B$203,MATCH(B711,Students!$A$4:$A$203,0)),""))</f>
        <v/>
      </c>
      <c r="D711" s="11" t="str">
        <f aca="false">IF(B711="","",IFERROR(INDEX(Students!$H$4:$H$203,MATCH(B711,Students!$A$4:$A$203,0)),""))</f>
        <v/>
      </c>
      <c r="E711" s="18"/>
      <c r="F711" s="18"/>
      <c r="G711" s="18"/>
      <c r="H711" s="18"/>
      <c r="I711" s="18"/>
      <c r="J711" s="18"/>
      <c r="K711" s="18"/>
      <c r="L711" s="18"/>
    </row>
    <row r="712" customFormat="false" ht="15" hidden="false" customHeight="true" outlineLevel="0" collapsed="false">
      <c r="A712" s="19"/>
      <c r="B712" s="17"/>
      <c r="C712" s="11" t="str">
        <f aca="false">IF(B712="","",IFERROR(INDEX(Students!$B$4:$B$203,MATCH(B712,Students!$A$4:$A$203,0)),""))</f>
        <v/>
      </c>
      <c r="D712" s="11" t="str">
        <f aca="false">IF(B712="","",IFERROR(INDEX(Students!$H$4:$H$203,MATCH(B712,Students!$A$4:$A$203,0)),""))</f>
        <v/>
      </c>
      <c r="E712" s="18"/>
      <c r="F712" s="18"/>
      <c r="G712" s="18"/>
      <c r="H712" s="18"/>
      <c r="I712" s="18"/>
      <c r="J712" s="18"/>
      <c r="K712" s="18"/>
      <c r="L712" s="18"/>
    </row>
    <row r="713" customFormat="false" ht="15" hidden="false" customHeight="true" outlineLevel="0" collapsed="false">
      <c r="A713" s="19"/>
      <c r="B713" s="17"/>
      <c r="C713" s="11" t="str">
        <f aca="false">IF(B713="","",IFERROR(INDEX(Students!$B$4:$B$203,MATCH(B713,Students!$A$4:$A$203,0)),""))</f>
        <v/>
      </c>
      <c r="D713" s="11" t="str">
        <f aca="false">IF(B713="","",IFERROR(INDEX(Students!$H$4:$H$203,MATCH(B713,Students!$A$4:$A$203,0)),""))</f>
        <v/>
      </c>
      <c r="E713" s="18"/>
      <c r="F713" s="18"/>
      <c r="G713" s="18"/>
      <c r="H713" s="18"/>
      <c r="I713" s="18"/>
      <c r="J713" s="18"/>
      <c r="K713" s="18"/>
      <c r="L713" s="18"/>
    </row>
    <row r="714" customFormat="false" ht="15" hidden="false" customHeight="true" outlineLevel="0" collapsed="false">
      <c r="A714" s="19"/>
      <c r="B714" s="17"/>
      <c r="C714" s="11" t="str">
        <f aca="false">IF(B714="","",IFERROR(INDEX(Students!$B$4:$B$203,MATCH(B714,Students!$A$4:$A$203,0)),""))</f>
        <v/>
      </c>
      <c r="D714" s="11" t="str">
        <f aca="false">IF(B714="","",IFERROR(INDEX(Students!$H$4:$H$203,MATCH(B714,Students!$A$4:$A$203,0)),""))</f>
        <v/>
      </c>
      <c r="E714" s="18"/>
      <c r="F714" s="18"/>
      <c r="G714" s="18"/>
      <c r="H714" s="18"/>
      <c r="I714" s="18"/>
      <c r="J714" s="18"/>
      <c r="K714" s="18"/>
      <c r="L714" s="18"/>
    </row>
    <row r="715" customFormat="false" ht="15" hidden="false" customHeight="true" outlineLevel="0" collapsed="false">
      <c r="A715" s="19"/>
      <c r="B715" s="17"/>
      <c r="C715" s="11" t="str">
        <f aca="false">IF(B715="","",IFERROR(INDEX(Students!$B$4:$B$203,MATCH(B715,Students!$A$4:$A$203,0)),""))</f>
        <v/>
      </c>
      <c r="D715" s="11" t="str">
        <f aca="false">IF(B715="","",IFERROR(INDEX(Students!$H$4:$H$203,MATCH(B715,Students!$A$4:$A$203,0)),""))</f>
        <v/>
      </c>
      <c r="E715" s="18"/>
      <c r="F715" s="18"/>
      <c r="G715" s="18"/>
      <c r="H715" s="18"/>
      <c r="I715" s="18"/>
      <c r="J715" s="18"/>
      <c r="K715" s="18"/>
      <c r="L715" s="18"/>
    </row>
    <row r="716" customFormat="false" ht="15" hidden="false" customHeight="true" outlineLevel="0" collapsed="false">
      <c r="A716" s="19"/>
      <c r="B716" s="17"/>
      <c r="C716" s="11" t="str">
        <f aca="false">IF(B716="","",IFERROR(INDEX(Students!$B$4:$B$203,MATCH(B716,Students!$A$4:$A$203,0)),""))</f>
        <v/>
      </c>
      <c r="D716" s="11" t="str">
        <f aca="false">IF(B716="","",IFERROR(INDEX(Students!$H$4:$H$203,MATCH(B716,Students!$A$4:$A$203,0)),""))</f>
        <v/>
      </c>
      <c r="E716" s="18"/>
      <c r="F716" s="18"/>
      <c r="G716" s="18"/>
      <c r="H716" s="18"/>
      <c r="I716" s="18"/>
      <c r="J716" s="18"/>
      <c r="K716" s="18"/>
      <c r="L716" s="18"/>
    </row>
    <row r="717" customFormat="false" ht="15" hidden="false" customHeight="true" outlineLevel="0" collapsed="false">
      <c r="A717" s="19"/>
      <c r="B717" s="17"/>
      <c r="C717" s="11" t="str">
        <f aca="false">IF(B717="","",IFERROR(INDEX(Students!$B$4:$B$203,MATCH(B717,Students!$A$4:$A$203,0)),""))</f>
        <v/>
      </c>
      <c r="D717" s="11" t="str">
        <f aca="false">IF(B717="","",IFERROR(INDEX(Students!$H$4:$H$203,MATCH(B717,Students!$A$4:$A$203,0)),""))</f>
        <v/>
      </c>
      <c r="E717" s="18"/>
      <c r="F717" s="18"/>
      <c r="G717" s="18"/>
      <c r="H717" s="18"/>
      <c r="I717" s="18"/>
      <c r="J717" s="18"/>
      <c r="K717" s="18"/>
      <c r="L717" s="18"/>
    </row>
    <row r="718" customFormat="false" ht="15" hidden="false" customHeight="true" outlineLevel="0" collapsed="false">
      <c r="A718" s="19"/>
      <c r="B718" s="17"/>
      <c r="C718" s="11" t="str">
        <f aca="false">IF(B718="","",IFERROR(INDEX(Students!$B$4:$B$203,MATCH(B718,Students!$A$4:$A$203,0)),""))</f>
        <v/>
      </c>
      <c r="D718" s="11" t="str">
        <f aca="false">IF(B718="","",IFERROR(INDEX(Students!$H$4:$H$203,MATCH(B718,Students!$A$4:$A$203,0)),""))</f>
        <v/>
      </c>
      <c r="E718" s="18"/>
      <c r="F718" s="18"/>
      <c r="G718" s="18"/>
      <c r="H718" s="18"/>
      <c r="I718" s="18"/>
      <c r="J718" s="18"/>
      <c r="K718" s="18"/>
      <c r="L718" s="18"/>
    </row>
    <row r="719" customFormat="false" ht="15" hidden="false" customHeight="true" outlineLevel="0" collapsed="false">
      <c r="A719" s="19"/>
      <c r="B719" s="17"/>
      <c r="C719" s="11" t="str">
        <f aca="false">IF(B719="","",IFERROR(INDEX(Students!$B$4:$B$203,MATCH(B719,Students!$A$4:$A$203,0)),""))</f>
        <v/>
      </c>
      <c r="D719" s="11" t="str">
        <f aca="false">IF(B719="","",IFERROR(INDEX(Students!$H$4:$H$203,MATCH(B719,Students!$A$4:$A$203,0)),""))</f>
        <v/>
      </c>
      <c r="E719" s="18"/>
      <c r="F719" s="18"/>
      <c r="G719" s="18"/>
      <c r="H719" s="18"/>
      <c r="I719" s="18"/>
      <c r="J719" s="18"/>
      <c r="K719" s="18"/>
      <c r="L719" s="18"/>
    </row>
    <row r="720" customFormat="false" ht="15" hidden="false" customHeight="true" outlineLevel="0" collapsed="false">
      <c r="A720" s="19"/>
      <c r="B720" s="17"/>
      <c r="C720" s="11" t="str">
        <f aca="false">IF(B720="","",IFERROR(INDEX(Students!$B$4:$B$203,MATCH(B720,Students!$A$4:$A$203,0)),""))</f>
        <v/>
      </c>
      <c r="D720" s="11" t="str">
        <f aca="false">IF(B720="","",IFERROR(INDEX(Students!$H$4:$H$203,MATCH(B720,Students!$A$4:$A$203,0)),""))</f>
        <v/>
      </c>
      <c r="E720" s="18"/>
      <c r="F720" s="18"/>
      <c r="G720" s="18"/>
      <c r="H720" s="18"/>
      <c r="I720" s="18"/>
      <c r="J720" s="18"/>
      <c r="K720" s="18"/>
      <c r="L720" s="18"/>
    </row>
    <row r="721" customFormat="false" ht="15" hidden="false" customHeight="true" outlineLevel="0" collapsed="false">
      <c r="A721" s="19"/>
      <c r="B721" s="17"/>
      <c r="C721" s="11" t="str">
        <f aca="false">IF(B721="","",IFERROR(INDEX(Students!$B$4:$B$203,MATCH(B721,Students!$A$4:$A$203,0)),""))</f>
        <v/>
      </c>
      <c r="D721" s="11" t="str">
        <f aca="false">IF(B721="","",IFERROR(INDEX(Students!$H$4:$H$203,MATCH(B721,Students!$A$4:$A$203,0)),""))</f>
        <v/>
      </c>
      <c r="E721" s="18"/>
      <c r="F721" s="18"/>
      <c r="G721" s="18"/>
      <c r="H721" s="18"/>
      <c r="I721" s="18"/>
      <c r="J721" s="18"/>
      <c r="K721" s="18"/>
      <c r="L721" s="18"/>
    </row>
    <row r="722" customFormat="false" ht="15" hidden="false" customHeight="true" outlineLevel="0" collapsed="false">
      <c r="A722" s="19"/>
      <c r="B722" s="17"/>
      <c r="C722" s="11" t="str">
        <f aca="false">IF(B722="","",IFERROR(INDEX(Students!$B$4:$B$203,MATCH(B722,Students!$A$4:$A$203,0)),""))</f>
        <v/>
      </c>
      <c r="D722" s="11" t="str">
        <f aca="false">IF(B722="","",IFERROR(INDEX(Students!$H$4:$H$203,MATCH(B722,Students!$A$4:$A$203,0)),""))</f>
        <v/>
      </c>
      <c r="E722" s="18"/>
      <c r="F722" s="18"/>
      <c r="G722" s="18"/>
      <c r="H722" s="18"/>
      <c r="I722" s="18"/>
      <c r="J722" s="18"/>
      <c r="K722" s="18"/>
      <c r="L722" s="18"/>
    </row>
    <row r="723" customFormat="false" ht="15" hidden="false" customHeight="true" outlineLevel="0" collapsed="false">
      <c r="A723" s="19"/>
      <c r="B723" s="17"/>
      <c r="C723" s="11" t="str">
        <f aca="false">IF(B723="","",IFERROR(INDEX(Students!$B$4:$B$203,MATCH(B723,Students!$A$4:$A$203,0)),""))</f>
        <v/>
      </c>
      <c r="D723" s="11" t="str">
        <f aca="false">IF(B723="","",IFERROR(INDEX(Students!$H$4:$H$203,MATCH(B723,Students!$A$4:$A$203,0)),""))</f>
        <v/>
      </c>
      <c r="E723" s="18"/>
      <c r="F723" s="18"/>
      <c r="G723" s="18"/>
      <c r="H723" s="18"/>
      <c r="I723" s="18"/>
      <c r="J723" s="18"/>
      <c r="K723" s="18"/>
      <c r="L723" s="18"/>
    </row>
    <row r="724" customFormat="false" ht="15" hidden="false" customHeight="true" outlineLevel="0" collapsed="false">
      <c r="A724" s="19"/>
      <c r="B724" s="17"/>
      <c r="C724" s="11" t="str">
        <f aca="false">IF(B724="","",IFERROR(INDEX(Students!$B$4:$B$203,MATCH(B724,Students!$A$4:$A$203,0)),""))</f>
        <v/>
      </c>
      <c r="D724" s="11" t="str">
        <f aca="false">IF(B724="","",IFERROR(INDEX(Students!$H$4:$H$203,MATCH(B724,Students!$A$4:$A$203,0)),""))</f>
        <v/>
      </c>
      <c r="E724" s="18"/>
      <c r="F724" s="18"/>
      <c r="G724" s="18"/>
      <c r="H724" s="18"/>
      <c r="I724" s="18"/>
      <c r="J724" s="18"/>
      <c r="K724" s="18"/>
      <c r="L724" s="18"/>
    </row>
    <row r="725" customFormat="false" ht="15" hidden="false" customHeight="true" outlineLevel="0" collapsed="false">
      <c r="A725" s="19"/>
      <c r="B725" s="17"/>
      <c r="C725" s="11" t="str">
        <f aca="false">IF(B725="","",IFERROR(INDEX(Students!$B$4:$B$203,MATCH(B725,Students!$A$4:$A$203,0)),""))</f>
        <v/>
      </c>
      <c r="D725" s="11" t="str">
        <f aca="false">IF(B725="","",IFERROR(INDEX(Students!$H$4:$H$203,MATCH(B725,Students!$A$4:$A$203,0)),""))</f>
        <v/>
      </c>
      <c r="E725" s="18"/>
      <c r="F725" s="18"/>
      <c r="G725" s="18"/>
      <c r="H725" s="18"/>
      <c r="I725" s="18"/>
      <c r="J725" s="18"/>
      <c r="K725" s="18"/>
      <c r="L725" s="18"/>
    </row>
    <row r="726" customFormat="false" ht="15" hidden="false" customHeight="true" outlineLevel="0" collapsed="false">
      <c r="A726" s="19"/>
      <c r="B726" s="17"/>
      <c r="C726" s="11" t="str">
        <f aca="false">IF(B726="","",IFERROR(INDEX(Students!$B$4:$B$203,MATCH(B726,Students!$A$4:$A$203,0)),""))</f>
        <v/>
      </c>
      <c r="D726" s="11" t="str">
        <f aca="false">IF(B726="","",IFERROR(INDEX(Students!$H$4:$H$203,MATCH(B726,Students!$A$4:$A$203,0)),""))</f>
        <v/>
      </c>
      <c r="E726" s="18"/>
      <c r="F726" s="18"/>
      <c r="G726" s="18"/>
      <c r="H726" s="18"/>
      <c r="I726" s="18"/>
      <c r="J726" s="18"/>
      <c r="K726" s="18"/>
      <c r="L726" s="18"/>
    </row>
    <row r="727" customFormat="false" ht="15" hidden="false" customHeight="true" outlineLevel="0" collapsed="false">
      <c r="A727" s="19"/>
      <c r="B727" s="17"/>
      <c r="C727" s="11" t="str">
        <f aca="false">IF(B727="","",IFERROR(INDEX(Students!$B$4:$B$203,MATCH(B727,Students!$A$4:$A$203,0)),""))</f>
        <v/>
      </c>
      <c r="D727" s="11" t="str">
        <f aca="false">IF(B727="","",IFERROR(INDEX(Students!$H$4:$H$203,MATCH(B727,Students!$A$4:$A$203,0)),""))</f>
        <v/>
      </c>
      <c r="E727" s="18"/>
      <c r="F727" s="18"/>
      <c r="G727" s="18"/>
      <c r="H727" s="18"/>
      <c r="I727" s="18"/>
      <c r="J727" s="18"/>
      <c r="K727" s="18"/>
      <c r="L727" s="18"/>
    </row>
    <row r="728" customFormat="false" ht="15" hidden="false" customHeight="true" outlineLevel="0" collapsed="false">
      <c r="A728" s="19"/>
      <c r="B728" s="17"/>
      <c r="C728" s="11" t="str">
        <f aca="false">IF(B728="","",IFERROR(INDEX(Students!$B$4:$B$203,MATCH(B728,Students!$A$4:$A$203,0)),""))</f>
        <v/>
      </c>
      <c r="D728" s="11" t="str">
        <f aca="false">IF(B728="","",IFERROR(INDEX(Students!$H$4:$H$203,MATCH(B728,Students!$A$4:$A$203,0)),""))</f>
        <v/>
      </c>
      <c r="E728" s="18"/>
      <c r="F728" s="18"/>
      <c r="G728" s="18"/>
      <c r="H728" s="18"/>
      <c r="I728" s="18"/>
      <c r="J728" s="18"/>
      <c r="K728" s="18"/>
      <c r="L728" s="18"/>
    </row>
    <row r="729" customFormat="false" ht="15" hidden="false" customHeight="true" outlineLevel="0" collapsed="false">
      <c r="A729" s="19"/>
      <c r="B729" s="17"/>
      <c r="C729" s="11" t="str">
        <f aca="false">IF(B729="","",IFERROR(INDEX(Students!$B$4:$B$203,MATCH(B729,Students!$A$4:$A$203,0)),""))</f>
        <v/>
      </c>
      <c r="D729" s="11" t="str">
        <f aca="false">IF(B729="","",IFERROR(INDEX(Students!$H$4:$H$203,MATCH(B729,Students!$A$4:$A$203,0)),""))</f>
        <v/>
      </c>
      <c r="E729" s="18"/>
      <c r="F729" s="18"/>
      <c r="G729" s="18"/>
      <c r="H729" s="18"/>
      <c r="I729" s="18"/>
      <c r="J729" s="18"/>
      <c r="K729" s="18"/>
      <c r="L729" s="18"/>
    </row>
    <row r="730" customFormat="false" ht="15" hidden="false" customHeight="true" outlineLevel="0" collapsed="false">
      <c r="A730" s="19"/>
      <c r="B730" s="17"/>
      <c r="C730" s="11" t="str">
        <f aca="false">IF(B730="","",IFERROR(INDEX(Students!$B$4:$B$203,MATCH(B730,Students!$A$4:$A$203,0)),""))</f>
        <v/>
      </c>
      <c r="D730" s="11" t="str">
        <f aca="false">IF(B730="","",IFERROR(INDEX(Students!$H$4:$H$203,MATCH(B730,Students!$A$4:$A$203,0)),""))</f>
        <v/>
      </c>
      <c r="E730" s="18"/>
      <c r="F730" s="18"/>
      <c r="G730" s="18"/>
      <c r="H730" s="18"/>
      <c r="I730" s="18"/>
      <c r="J730" s="18"/>
      <c r="K730" s="18"/>
      <c r="L730" s="18"/>
    </row>
    <row r="731" customFormat="false" ht="15" hidden="false" customHeight="true" outlineLevel="0" collapsed="false">
      <c r="A731" s="19"/>
      <c r="B731" s="17"/>
      <c r="C731" s="11" t="str">
        <f aca="false">IF(B731="","",IFERROR(INDEX(Students!$B$4:$B$203,MATCH(B731,Students!$A$4:$A$203,0)),""))</f>
        <v/>
      </c>
      <c r="D731" s="11" t="str">
        <f aca="false">IF(B731="","",IFERROR(INDEX(Students!$H$4:$H$203,MATCH(B731,Students!$A$4:$A$203,0)),""))</f>
        <v/>
      </c>
      <c r="E731" s="18"/>
      <c r="F731" s="18"/>
      <c r="G731" s="18"/>
      <c r="H731" s="18"/>
      <c r="I731" s="18"/>
      <c r="J731" s="18"/>
      <c r="K731" s="18"/>
      <c r="L731" s="18"/>
    </row>
    <row r="732" customFormat="false" ht="15" hidden="false" customHeight="true" outlineLevel="0" collapsed="false">
      <c r="A732" s="19"/>
      <c r="B732" s="17"/>
      <c r="C732" s="11" t="str">
        <f aca="false">IF(B732="","",IFERROR(INDEX(Students!$B$4:$B$203,MATCH(B732,Students!$A$4:$A$203,0)),""))</f>
        <v/>
      </c>
      <c r="D732" s="11" t="str">
        <f aca="false">IF(B732="","",IFERROR(INDEX(Students!$H$4:$H$203,MATCH(B732,Students!$A$4:$A$203,0)),""))</f>
        <v/>
      </c>
      <c r="E732" s="18"/>
      <c r="F732" s="18"/>
      <c r="G732" s="18"/>
      <c r="H732" s="18"/>
      <c r="I732" s="18"/>
      <c r="J732" s="18"/>
      <c r="K732" s="18"/>
      <c r="L732" s="18"/>
    </row>
    <row r="733" customFormat="false" ht="15" hidden="false" customHeight="true" outlineLevel="0" collapsed="false">
      <c r="A733" s="19"/>
      <c r="B733" s="17"/>
      <c r="C733" s="11" t="str">
        <f aca="false">IF(B733="","",IFERROR(INDEX(Students!$B$4:$B$203,MATCH(B733,Students!$A$4:$A$203,0)),""))</f>
        <v/>
      </c>
      <c r="D733" s="11" t="str">
        <f aca="false">IF(B733="","",IFERROR(INDEX(Students!$H$4:$H$203,MATCH(B733,Students!$A$4:$A$203,0)),""))</f>
        <v/>
      </c>
      <c r="E733" s="18"/>
      <c r="F733" s="18"/>
      <c r="G733" s="18"/>
      <c r="H733" s="18"/>
      <c r="I733" s="18"/>
      <c r="J733" s="18"/>
      <c r="K733" s="18"/>
      <c r="L733" s="18"/>
    </row>
    <row r="734" customFormat="false" ht="15" hidden="false" customHeight="true" outlineLevel="0" collapsed="false">
      <c r="A734" s="19"/>
      <c r="B734" s="17"/>
      <c r="C734" s="11" t="str">
        <f aca="false">IF(B734="","",IFERROR(INDEX(Students!$B$4:$B$203,MATCH(B734,Students!$A$4:$A$203,0)),""))</f>
        <v/>
      </c>
      <c r="D734" s="11" t="str">
        <f aca="false">IF(B734="","",IFERROR(INDEX(Students!$H$4:$H$203,MATCH(B734,Students!$A$4:$A$203,0)),""))</f>
        <v/>
      </c>
      <c r="E734" s="18"/>
      <c r="F734" s="18"/>
      <c r="G734" s="18"/>
      <c r="H734" s="18"/>
      <c r="I734" s="18"/>
      <c r="J734" s="18"/>
      <c r="K734" s="18"/>
      <c r="L734" s="18"/>
    </row>
    <row r="735" customFormat="false" ht="15" hidden="false" customHeight="true" outlineLevel="0" collapsed="false">
      <c r="A735" s="19"/>
      <c r="B735" s="17"/>
      <c r="C735" s="11" t="str">
        <f aca="false">IF(B735="","",IFERROR(INDEX(Students!$B$4:$B$203,MATCH(B735,Students!$A$4:$A$203,0)),""))</f>
        <v/>
      </c>
      <c r="D735" s="11" t="str">
        <f aca="false">IF(B735="","",IFERROR(INDEX(Students!$H$4:$H$203,MATCH(B735,Students!$A$4:$A$203,0)),""))</f>
        <v/>
      </c>
      <c r="E735" s="18"/>
      <c r="F735" s="18"/>
      <c r="G735" s="18"/>
      <c r="H735" s="18"/>
      <c r="I735" s="18"/>
      <c r="J735" s="18"/>
      <c r="K735" s="18"/>
      <c r="L735" s="18"/>
    </row>
    <row r="736" customFormat="false" ht="15" hidden="false" customHeight="true" outlineLevel="0" collapsed="false">
      <c r="A736" s="19"/>
      <c r="B736" s="17"/>
      <c r="C736" s="11" t="str">
        <f aca="false">IF(B736="","",IFERROR(INDEX(Students!$B$4:$B$203,MATCH(B736,Students!$A$4:$A$203,0)),""))</f>
        <v/>
      </c>
      <c r="D736" s="11" t="str">
        <f aca="false">IF(B736="","",IFERROR(INDEX(Students!$H$4:$H$203,MATCH(B736,Students!$A$4:$A$203,0)),""))</f>
        <v/>
      </c>
      <c r="E736" s="18"/>
      <c r="F736" s="18"/>
      <c r="G736" s="18"/>
      <c r="H736" s="18"/>
      <c r="I736" s="18"/>
      <c r="J736" s="18"/>
      <c r="K736" s="18"/>
      <c r="L736" s="18"/>
    </row>
    <row r="737" customFormat="false" ht="15" hidden="false" customHeight="true" outlineLevel="0" collapsed="false">
      <c r="A737" s="19"/>
      <c r="B737" s="17"/>
      <c r="C737" s="11" t="str">
        <f aca="false">IF(B737="","",IFERROR(INDEX(Students!$B$4:$B$203,MATCH(B737,Students!$A$4:$A$203,0)),""))</f>
        <v/>
      </c>
      <c r="D737" s="11" t="str">
        <f aca="false">IF(B737="","",IFERROR(INDEX(Students!$H$4:$H$203,MATCH(B737,Students!$A$4:$A$203,0)),""))</f>
        <v/>
      </c>
      <c r="E737" s="18"/>
      <c r="F737" s="18"/>
      <c r="G737" s="18"/>
      <c r="H737" s="18"/>
      <c r="I737" s="18"/>
      <c r="J737" s="18"/>
      <c r="K737" s="18"/>
      <c r="L737" s="18"/>
    </row>
    <row r="738" customFormat="false" ht="15" hidden="false" customHeight="true" outlineLevel="0" collapsed="false">
      <c r="A738" s="19"/>
      <c r="B738" s="17"/>
      <c r="C738" s="11" t="str">
        <f aca="false">IF(B738="","",IFERROR(INDEX(Students!$B$4:$B$203,MATCH(B738,Students!$A$4:$A$203,0)),""))</f>
        <v/>
      </c>
      <c r="D738" s="11" t="str">
        <f aca="false">IF(B738="","",IFERROR(INDEX(Students!$H$4:$H$203,MATCH(B738,Students!$A$4:$A$203,0)),""))</f>
        <v/>
      </c>
      <c r="E738" s="18"/>
      <c r="F738" s="18"/>
      <c r="G738" s="18"/>
      <c r="H738" s="18"/>
      <c r="I738" s="18"/>
      <c r="J738" s="18"/>
      <c r="K738" s="18"/>
      <c r="L738" s="18"/>
    </row>
    <row r="739" customFormat="false" ht="15" hidden="false" customHeight="true" outlineLevel="0" collapsed="false">
      <c r="A739" s="19"/>
      <c r="B739" s="17"/>
      <c r="C739" s="11" t="str">
        <f aca="false">IF(B739="","",IFERROR(INDEX(Students!$B$4:$B$203,MATCH(B739,Students!$A$4:$A$203,0)),""))</f>
        <v/>
      </c>
      <c r="D739" s="11" t="str">
        <f aca="false">IF(B739="","",IFERROR(INDEX(Students!$H$4:$H$203,MATCH(B739,Students!$A$4:$A$203,0)),""))</f>
        <v/>
      </c>
      <c r="E739" s="18"/>
      <c r="F739" s="18"/>
      <c r="G739" s="18"/>
      <c r="H739" s="18"/>
      <c r="I739" s="18"/>
      <c r="J739" s="18"/>
      <c r="K739" s="18"/>
      <c r="L739" s="18"/>
    </row>
    <row r="740" customFormat="false" ht="15" hidden="false" customHeight="true" outlineLevel="0" collapsed="false">
      <c r="A740" s="19"/>
      <c r="B740" s="17"/>
      <c r="C740" s="11" t="str">
        <f aca="false">IF(B740="","",IFERROR(INDEX(Students!$B$4:$B$203,MATCH(B740,Students!$A$4:$A$203,0)),""))</f>
        <v/>
      </c>
      <c r="D740" s="11" t="str">
        <f aca="false">IF(B740="","",IFERROR(INDEX(Students!$H$4:$H$203,MATCH(B740,Students!$A$4:$A$203,0)),""))</f>
        <v/>
      </c>
      <c r="E740" s="18"/>
      <c r="F740" s="18"/>
      <c r="G740" s="18"/>
      <c r="H740" s="18"/>
      <c r="I740" s="18"/>
      <c r="J740" s="18"/>
      <c r="K740" s="18"/>
      <c r="L740" s="18"/>
    </row>
    <row r="741" customFormat="false" ht="15" hidden="false" customHeight="true" outlineLevel="0" collapsed="false">
      <c r="A741" s="19"/>
      <c r="B741" s="17"/>
      <c r="C741" s="11" t="str">
        <f aca="false">IF(B741="","",IFERROR(INDEX(Students!$B$4:$B$203,MATCH(B741,Students!$A$4:$A$203,0)),""))</f>
        <v/>
      </c>
      <c r="D741" s="11" t="str">
        <f aca="false">IF(B741="","",IFERROR(INDEX(Students!$H$4:$H$203,MATCH(B741,Students!$A$4:$A$203,0)),""))</f>
        <v/>
      </c>
      <c r="E741" s="18"/>
      <c r="F741" s="18"/>
      <c r="G741" s="18"/>
      <c r="H741" s="18"/>
      <c r="I741" s="18"/>
      <c r="J741" s="18"/>
      <c r="K741" s="18"/>
      <c r="L741" s="18"/>
    </row>
    <row r="742" customFormat="false" ht="15" hidden="false" customHeight="true" outlineLevel="0" collapsed="false">
      <c r="A742" s="19"/>
      <c r="B742" s="17"/>
      <c r="C742" s="11" t="str">
        <f aca="false">IF(B742="","",IFERROR(INDEX(Students!$B$4:$B$203,MATCH(B742,Students!$A$4:$A$203,0)),""))</f>
        <v/>
      </c>
      <c r="D742" s="11" t="str">
        <f aca="false">IF(B742="","",IFERROR(INDEX(Students!$H$4:$H$203,MATCH(B742,Students!$A$4:$A$203,0)),""))</f>
        <v/>
      </c>
      <c r="E742" s="18"/>
      <c r="F742" s="18"/>
      <c r="G742" s="18"/>
      <c r="H742" s="18"/>
      <c r="I742" s="18"/>
      <c r="J742" s="18"/>
      <c r="K742" s="18"/>
      <c r="L742" s="18"/>
    </row>
    <row r="743" customFormat="false" ht="15" hidden="false" customHeight="true" outlineLevel="0" collapsed="false">
      <c r="A743" s="19"/>
      <c r="B743" s="17"/>
      <c r="C743" s="11" t="str">
        <f aca="false">IF(B743="","",IFERROR(INDEX(Students!$B$4:$B$203,MATCH(B743,Students!$A$4:$A$203,0)),""))</f>
        <v/>
      </c>
      <c r="D743" s="11" t="str">
        <f aca="false">IF(B743="","",IFERROR(INDEX(Students!$H$4:$H$203,MATCH(B743,Students!$A$4:$A$203,0)),""))</f>
        <v/>
      </c>
      <c r="E743" s="18"/>
      <c r="F743" s="18"/>
      <c r="G743" s="18"/>
      <c r="H743" s="18"/>
      <c r="I743" s="18"/>
      <c r="J743" s="18"/>
      <c r="K743" s="18"/>
      <c r="L743" s="18"/>
    </row>
    <row r="744" customFormat="false" ht="15" hidden="false" customHeight="true" outlineLevel="0" collapsed="false">
      <c r="A744" s="19"/>
      <c r="B744" s="17"/>
      <c r="C744" s="11" t="str">
        <f aca="false">IF(B744="","",IFERROR(INDEX(Students!$B$4:$B$203,MATCH(B744,Students!$A$4:$A$203,0)),""))</f>
        <v/>
      </c>
      <c r="D744" s="11" t="str">
        <f aca="false">IF(B744="","",IFERROR(INDEX(Students!$H$4:$H$203,MATCH(B744,Students!$A$4:$A$203,0)),""))</f>
        <v/>
      </c>
      <c r="E744" s="18"/>
      <c r="F744" s="18"/>
      <c r="G744" s="18"/>
      <c r="H744" s="18"/>
      <c r="I744" s="18"/>
      <c r="J744" s="18"/>
      <c r="K744" s="18"/>
      <c r="L744" s="18"/>
    </row>
    <row r="745" customFormat="false" ht="15" hidden="false" customHeight="true" outlineLevel="0" collapsed="false">
      <c r="A745" s="19"/>
      <c r="B745" s="17"/>
      <c r="C745" s="11" t="str">
        <f aca="false">IF(B745="","",IFERROR(INDEX(Students!$B$4:$B$203,MATCH(B745,Students!$A$4:$A$203,0)),""))</f>
        <v/>
      </c>
      <c r="D745" s="11" t="str">
        <f aca="false">IF(B745="","",IFERROR(INDEX(Students!$H$4:$H$203,MATCH(B745,Students!$A$4:$A$203,0)),""))</f>
        <v/>
      </c>
      <c r="E745" s="18"/>
      <c r="F745" s="18"/>
      <c r="G745" s="18"/>
      <c r="H745" s="18"/>
      <c r="I745" s="18"/>
      <c r="J745" s="18"/>
      <c r="K745" s="18"/>
      <c r="L745" s="18"/>
    </row>
    <row r="746" customFormat="false" ht="15" hidden="false" customHeight="true" outlineLevel="0" collapsed="false">
      <c r="A746" s="19"/>
      <c r="B746" s="17"/>
      <c r="C746" s="11" t="str">
        <f aca="false">IF(B746="","",IFERROR(INDEX(Students!$B$4:$B$203,MATCH(B746,Students!$A$4:$A$203,0)),""))</f>
        <v/>
      </c>
      <c r="D746" s="11" t="str">
        <f aca="false">IF(B746="","",IFERROR(INDEX(Students!$H$4:$H$203,MATCH(B746,Students!$A$4:$A$203,0)),""))</f>
        <v/>
      </c>
      <c r="E746" s="18"/>
      <c r="F746" s="18"/>
      <c r="G746" s="18"/>
      <c r="H746" s="18"/>
      <c r="I746" s="18"/>
      <c r="J746" s="18"/>
      <c r="K746" s="18"/>
      <c r="L746" s="18"/>
    </row>
    <row r="747" customFormat="false" ht="15" hidden="false" customHeight="true" outlineLevel="0" collapsed="false">
      <c r="A747" s="19"/>
      <c r="B747" s="17"/>
      <c r="C747" s="11" t="str">
        <f aca="false">IF(B747="","",IFERROR(INDEX(Students!$B$4:$B$203,MATCH(B747,Students!$A$4:$A$203,0)),""))</f>
        <v/>
      </c>
      <c r="D747" s="11" t="str">
        <f aca="false">IF(B747="","",IFERROR(INDEX(Students!$H$4:$H$203,MATCH(B747,Students!$A$4:$A$203,0)),""))</f>
        <v/>
      </c>
      <c r="E747" s="18"/>
      <c r="F747" s="18"/>
      <c r="G747" s="18"/>
      <c r="H747" s="18"/>
      <c r="I747" s="18"/>
      <c r="J747" s="18"/>
      <c r="K747" s="18"/>
      <c r="L747" s="18"/>
    </row>
    <row r="748" customFormat="false" ht="15" hidden="false" customHeight="true" outlineLevel="0" collapsed="false">
      <c r="A748" s="19"/>
      <c r="B748" s="17"/>
      <c r="C748" s="11" t="str">
        <f aca="false">IF(B748="","",IFERROR(INDEX(Students!$B$4:$B$203,MATCH(B748,Students!$A$4:$A$203,0)),""))</f>
        <v/>
      </c>
      <c r="D748" s="11" t="str">
        <f aca="false">IF(B748="","",IFERROR(INDEX(Students!$H$4:$H$203,MATCH(B748,Students!$A$4:$A$203,0)),""))</f>
        <v/>
      </c>
      <c r="E748" s="18"/>
      <c r="F748" s="18"/>
      <c r="G748" s="18"/>
      <c r="H748" s="18"/>
      <c r="I748" s="18"/>
      <c r="J748" s="18"/>
      <c r="K748" s="18"/>
      <c r="L748" s="18"/>
    </row>
    <row r="749" customFormat="false" ht="15" hidden="false" customHeight="true" outlineLevel="0" collapsed="false">
      <c r="A749" s="19"/>
      <c r="B749" s="17"/>
      <c r="C749" s="11" t="str">
        <f aca="false">IF(B749="","",IFERROR(INDEX(Students!$B$4:$B$203,MATCH(B749,Students!$A$4:$A$203,0)),""))</f>
        <v/>
      </c>
      <c r="D749" s="11" t="str">
        <f aca="false">IF(B749="","",IFERROR(INDEX(Students!$H$4:$H$203,MATCH(B749,Students!$A$4:$A$203,0)),""))</f>
        <v/>
      </c>
      <c r="E749" s="18"/>
      <c r="F749" s="18"/>
      <c r="G749" s="18"/>
      <c r="H749" s="18"/>
      <c r="I749" s="18"/>
      <c r="J749" s="18"/>
      <c r="K749" s="18"/>
      <c r="L749" s="18"/>
    </row>
    <row r="750" customFormat="false" ht="15" hidden="false" customHeight="true" outlineLevel="0" collapsed="false">
      <c r="A750" s="19"/>
      <c r="B750" s="17"/>
      <c r="C750" s="11" t="str">
        <f aca="false">IF(B750="","",IFERROR(INDEX(Students!$B$4:$B$203,MATCH(B750,Students!$A$4:$A$203,0)),""))</f>
        <v/>
      </c>
      <c r="D750" s="11" t="str">
        <f aca="false">IF(B750="","",IFERROR(INDEX(Students!$H$4:$H$203,MATCH(B750,Students!$A$4:$A$203,0)),""))</f>
        <v/>
      </c>
      <c r="E750" s="18"/>
      <c r="F750" s="18"/>
      <c r="G750" s="18"/>
      <c r="H750" s="18"/>
      <c r="I750" s="18"/>
      <c r="J750" s="18"/>
      <c r="K750" s="18"/>
      <c r="L750" s="18"/>
    </row>
    <row r="751" customFormat="false" ht="15" hidden="false" customHeight="true" outlineLevel="0" collapsed="false">
      <c r="A751" s="19"/>
      <c r="B751" s="17"/>
      <c r="C751" s="11" t="str">
        <f aca="false">IF(B751="","",IFERROR(INDEX(Students!$B$4:$B$203,MATCH(B751,Students!$A$4:$A$203,0)),""))</f>
        <v/>
      </c>
      <c r="D751" s="11" t="str">
        <f aca="false">IF(B751="","",IFERROR(INDEX(Students!$H$4:$H$203,MATCH(B751,Students!$A$4:$A$203,0)),""))</f>
        <v/>
      </c>
      <c r="E751" s="18"/>
      <c r="F751" s="18"/>
      <c r="G751" s="18"/>
      <c r="H751" s="18"/>
      <c r="I751" s="18"/>
      <c r="J751" s="18"/>
      <c r="K751" s="18"/>
      <c r="L751" s="18"/>
    </row>
    <row r="752" customFormat="false" ht="15" hidden="false" customHeight="true" outlineLevel="0" collapsed="false">
      <c r="A752" s="19"/>
      <c r="B752" s="17"/>
      <c r="C752" s="11" t="str">
        <f aca="false">IF(B752="","",IFERROR(INDEX(Students!$B$4:$B$203,MATCH(B752,Students!$A$4:$A$203,0)),""))</f>
        <v/>
      </c>
      <c r="D752" s="11" t="str">
        <f aca="false">IF(B752="","",IFERROR(INDEX(Students!$H$4:$H$203,MATCH(B752,Students!$A$4:$A$203,0)),""))</f>
        <v/>
      </c>
      <c r="E752" s="18"/>
      <c r="F752" s="18"/>
      <c r="G752" s="18"/>
      <c r="H752" s="18"/>
      <c r="I752" s="18"/>
      <c r="J752" s="18"/>
      <c r="K752" s="18"/>
      <c r="L752" s="18"/>
    </row>
    <row r="753" customFormat="false" ht="15" hidden="false" customHeight="true" outlineLevel="0" collapsed="false">
      <c r="A753" s="19"/>
      <c r="B753" s="17"/>
      <c r="C753" s="11" t="str">
        <f aca="false">IF(B753="","",IFERROR(INDEX(Students!$B$4:$B$203,MATCH(B753,Students!$A$4:$A$203,0)),""))</f>
        <v/>
      </c>
      <c r="D753" s="11" t="str">
        <f aca="false">IF(B753="","",IFERROR(INDEX(Students!$H$4:$H$203,MATCH(B753,Students!$A$4:$A$203,0)),""))</f>
        <v/>
      </c>
      <c r="E753" s="18"/>
      <c r="F753" s="18"/>
      <c r="G753" s="18"/>
      <c r="H753" s="18"/>
      <c r="I753" s="18"/>
      <c r="J753" s="18"/>
      <c r="K753" s="18"/>
      <c r="L753" s="18"/>
    </row>
    <row r="754" customFormat="false" ht="15" hidden="false" customHeight="true" outlineLevel="0" collapsed="false">
      <c r="A754" s="19"/>
      <c r="B754" s="17"/>
      <c r="C754" s="11" t="str">
        <f aca="false">IF(B754="","",IFERROR(INDEX(Students!$B$4:$B$203,MATCH(B754,Students!$A$4:$A$203,0)),""))</f>
        <v/>
      </c>
      <c r="D754" s="11" t="str">
        <f aca="false">IF(B754="","",IFERROR(INDEX(Students!$H$4:$H$203,MATCH(B754,Students!$A$4:$A$203,0)),""))</f>
        <v/>
      </c>
      <c r="E754" s="18"/>
      <c r="F754" s="18"/>
      <c r="G754" s="18"/>
      <c r="H754" s="18"/>
      <c r="I754" s="18"/>
      <c r="J754" s="18"/>
      <c r="K754" s="18"/>
      <c r="L754" s="18"/>
    </row>
    <row r="755" customFormat="false" ht="15" hidden="false" customHeight="true" outlineLevel="0" collapsed="false">
      <c r="A755" s="19"/>
      <c r="B755" s="17"/>
      <c r="C755" s="11" t="str">
        <f aca="false">IF(B755="","",IFERROR(INDEX(Students!$B$4:$B$203,MATCH(B755,Students!$A$4:$A$203,0)),""))</f>
        <v/>
      </c>
      <c r="D755" s="11" t="str">
        <f aca="false">IF(B755="","",IFERROR(INDEX(Students!$H$4:$H$203,MATCH(B755,Students!$A$4:$A$203,0)),""))</f>
        <v/>
      </c>
      <c r="E755" s="18"/>
      <c r="F755" s="18"/>
      <c r="G755" s="18"/>
      <c r="H755" s="18"/>
      <c r="I755" s="18"/>
      <c r="J755" s="18"/>
      <c r="K755" s="18"/>
      <c r="L755" s="18"/>
    </row>
    <row r="756" customFormat="false" ht="15" hidden="false" customHeight="true" outlineLevel="0" collapsed="false">
      <c r="A756" s="19"/>
      <c r="B756" s="17"/>
      <c r="C756" s="11" t="str">
        <f aca="false">IF(B756="","",IFERROR(INDEX(Students!$B$4:$B$203,MATCH(B756,Students!$A$4:$A$203,0)),""))</f>
        <v/>
      </c>
      <c r="D756" s="11" t="str">
        <f aca="false">IF(B756="","",IFERROR(INDEX(Students!$H$4:$H$203,MATCH(B756,Students!$A$4:$A$203,0)),""))</f>
        <v/>
      </c>
      <c r="E756" s="18"/>
      <c r="F756" s="18"/>
      <c r="G756" s="18"/>
      <c r="H756" s="18"/>
      <c r="I756" s="18"/>
      <c r="J756" s="18"/>
      <c r="K756" s="18"/>
      <c r="L756" s="18"/>
    </row>
    <row r="757" customFormat="false" ht="15" hidden="false" customHeight="true" outlineLevel="0" collapsed="false">
      <c r="A757" s="19"/>
      <c r="B757" s="17"/>
      <c r="C757" s="11" t="str">
        <f aca="false">IF(B757="","",IFERROR(INDEX(Students!$B$4:$B$203,MATCH(B757,Students!$A$4:$A$203,0)),""))</f>
        <v/>
      </c>
      <c r="D757" s="11" t="str">
        <f aca="false">IF(B757="","",IFERROR(INDEX(Students!$H$4:$H$203,MATCH(B757,Students!$A$4:$A$203,0)),""))</f>
        <v/>
      </c>
      <c r="E757" s="18"/>
      <c r="F757" s="18"/>
      <c r="G757" s="18"/>
      <c r="H757" s="18"/>
      <c r="I757" s="18"/>
      <c r="J757" s="18"/>
      <c r="K757" s="18"/>
      <c r="L757" s="18"/>
    </row>
    <row r="758" customFormat="false" ht="15" hidden="false" customHeight="true" outlineLevel="0" collapsed="false">
      <c r="A758" s="19"/>
      <c r="B758" s="17"/>
      <c r="C758" s="11" t="str">
        <f aca="false">IF(B758="","",IFERROR(INDEX(Students!$B$4:$B$203,MATCH(B758,Students!$A$4:$A$203,0)),""))</f>
        <v/>
      </c>
      <c r="D758" s="11" t="str">
        <f aca="false">IF(B758="","",IFERROR(INDEX(Students!$H$4:$H$203,MATCH(B758,Students!$A$4:$A$203,0)),""))</f>
        <v/>
      </c>
      <c r="E758" s="18"/>
      <c r="F758" s="18"/>
      <c r="G758" s="18"/>
      <c r="H758" s="18"/>
      <c r="I758" s="18"/>
      <c r="J758" s="18"/>
      <c r="K758" s="18"/>
      <c r="L758" s="18"/>
    </row>
    <row r="759" customFormat="false" ht="15" hidden="false" customHeight="true" outlineLevel="0" collapsed="false">
      <c r="A759" s="19"/>
      <c r="B759" s="17"/>
      <c r="C759" s="11" t="str">
        <f aca="false">IF(B759="","",IFERROR(INDEX(Students!$B$4:$B$203,MATCH(B759,Students!$A$4:$A$203,0)),""))</f>
        <v/>
      </c>
      <c r="D759" s="11" t="str">
        <f aca="false">IF(B759="","",IFERROR(INDEX(Students!$H$4:$H$203,MATCH(B759,Students!$A$4:$A$203,0)),""))</f>
        <v/>
      </c>
      <c r="E759" s="18"/>
      <c r="F759" s="18"/>
      <c r="G759" s="18"/>
      <c r="H759" s="18"/>
      <c r="I759" s="18"/>
      <c r="J759" s="18"/>
      <c r="K759" s="18"/>
      <c r="L759" s="18"/>
    </row>
    <row r="760" customFormat="false" ht="15" hidden="false" customHeight="true" outlineLevel="0" collapsed="false">
      <c r="A760" s="19"/>
      <c r="B760" s="17"/>
      <c r="C760" s="11" t="str">
        <f aca="false">IF(B760="","",IFERROR(INDEX(Students!$B$4:$B$203,MATCH(B760,Students!$A$4:$A$203,0)),""))</f>
        <v/>
      </c>
      <c r="D760" s="11" t="str">
        <f aca="false">IF(B760="","",IFERROR(INDEX(Students!$H$4:$H$203,MATCH(B760,Students!$A$4:$A$203,0)),""))</f>
        <v/>
      </c>
      <c r="E760" s="18"/>
      <c r="F760" s="18"/>
      <c r="G760" s="18"/>
      <c r="H760" s="18"/>
      <c r="I760" s="18"/>
      <c r="J760" s="18"/>
      <c r="K760" s="18"/>
      <c r="L760" s="18"/>
    </row>
    <row r="761" customFormat="false" ht="15" hidden="false" customHeight="true" outlineLevel="0" collapsed="false">
      <c r="A761" s="19"/>
      <c r="B761" s="17"/>
      <c r="C761" s="11" t="str">
        <f aca="false">IF(B761="","",IFERROR(INDEX(Students!$B$4:$B$203,MATCH(B761,Students!$A$4:$A$203,0)),""))</f>
        <v/>
      </c>
      <c r="D761" s="11" t="str">
        <f aca="false">IF(B761="","",IFERROR(INDEX(Students!$H$4:$H$203,MATCH(B761,Students!$A$4:$A$203,0)),""))</f>
        <v/>
      </c>
      <c r="E761" s="18"/>
      <c r="F761" s="18"/>
      <c r="G761" s="18"/>
      <c r="H761" s="18"/>
      <c r="I761" s="18"/>
      <c r="J761" s="18"/>
      <c r="K761" s="18"/>
      <c r="L761" s="18"/>
    </row>
    <row r="762" customFormat="false" ht="15" hidden="false" customHeight="true" outlineLevel="0" collapsed="false">
      <c r="A762" s="19"/>
      <c r="B762" s="17"/>
      <c r="C762" s="11" t="str">
        <f aca="false">IF(B762="","",IFERROR(INDEX(Students!$B$4:$B$203,MATCH(B762,Students!$A$4:$A$203,0)),""))</f>
        <v/>
      </c>
      <c r="D762" s="11" t="str">
        <f aca="false">IF(B762="","",IFERROR(INDEX(Students!$H$4:$H$203,MATCH(B762,Students!$A$4:$A$203,0)),""))</f>
        <v/>
      </c>
      <c r="E762" s="18"/>
      <c r="F762" s="18"/>
      <c r="G762" s="18"/>
      <c r="H762" s="18"/>
      <c r="I762" s="18"/>
      <c r="J762" s="18"/>
      <c r="K762" s="18"/>
      <c r="L762" s="18"/>
    </row>
    <row r="763" customFormat="false" ht="15" hidden="false" customHeight="true" outlineLevel="0" collapsed="false">
      <c r="A763" s="19"/>
      <c r="B763" s="17"/>
      <c r="C763" s="11" t="str">
        <f aca="false">IF(B763="","",IFERROR(INDEX(Students!$B$4:$B$203,MATCH(B763,Students!$A$4:$A$203,0)),""))</f>
        <v/>
      </c>
      <c r="D763" s="11" t="str">
        <f aca="false">IF(B763="","",IFERROR(INDEX(Students!$H$4:$H$203,MATCH(B763,Students!$A$4:$A$203,0)),""))</f>
        <v/>
      </c>
      <c r="E763" s="18"/>
      <c r="F763" s="18"/>
      <c r="G763" s="18"/>
      <c r="H763" s="18"/>
      <c r="I763" s="18"/>
      <c r="J763" s="18"/>
      <c r="K763" s="18"/>
      <c r="L763" s="18"/>
    </row>
    <row r="764" customFormat="false" ht="15" hidden="false" customHeight="true" outlineLevel="0" collapsed="false">
      <c r="A764" s="19"/>
      <c r="B764" s="17"/>
      <c r="C764" s="11" t="str">
        <f aca="false">IF(B764="","",IFERROR(INDEX(Students!$B$4:$B$203,MATCH(B764,Students!$A$4:$A$203,0)),""))</f>
        <v/>
      </c>
      <c r="D764" s="11" t="str">
        <f aca="false">IF(B764="","",IFERROR(INDEX(Students!$H$4:$H$203,MATCH(B764,Students!$A$4:$A$203,0)),""))</f>
        <v/>
      </c>
      <c r="E764" s="18"/>
      <c r="F764" s="18"/>
      <c r="G764" s="18"/>
      <c r="H764" s="18"/>
      <c r="I764" s="18"/>
      <c r="J764" s="18"/>
      <c r="K764" s="18"/>
      <c r="L764" s="18"/>
    </row>
    <row r="765" customFormat="false" ht="15" hidden="false" customHeight="true" outlineLevel="0" collapsed="false">
      <c r="A765" s="19"/>
      <c r="B765" s="17"/>
      <c r="C765" s="11" t="str">
        <f aca="false">IF(B765="","",IFERROR(INDEX(Students!$B$4:$B$203,MATCH(B765,Students!$A$4:$A$203,0)),""))</f>
        <v/>
      </c>
      <c r="D765" s="11" t="str">
        <f aca="false">IF(B765="","",IFERROR(INDEX(Students!$H$4:$H$203,MATCH(B765,Students!$A$4:$A$203,0)),""))</f>
        <v/>
      </c>
      <c r="E765" s="18"/>
      <c r="F765" s="18"/>
      <c r="G765" s="18"/>
      <c r="H765" s="18"/>
      <c r="I765" s="18"/>
      <c r="J765" s="18"/>
      <c r="K765" s="18"/>
      <c r="L765" s="18"/>
    </row>
    <row r="766" customFormat="false" ht="15" hidden="false" customHeight="true" outlineLevel="0" collapsed="false">
      <c r="A766" s="19"/>
      <c r="B766" s="17"/>
      <c r="C766" s="11" t="str">
        <f aca="false">IF(B766="","",IFERROR(INDEX(Students!$B$4:$B$203,MATCH(B766,Students!$A$4:$A$203,0)),""))</f>
        <v/>
      </c>
      <c r="D766" s="11" t="str">
        <f aca="false">IF(B766="","",IFERROR(INDEX(Students!$H$4:$H$203,MATCH(B766,Students!$A$4:$A$203,0)),""))</f>
        <v/>
      </c>
      <c r="E766" s="18"/>
      <c r="F766" s="18"/>
      <c r="G766" s="18"/>
      <c r="H766" s="18"/>
      <c r="I766" s="18"/>
      <c r="J766" s="18"/>
      <c r="K766" s="18"/>
      <c r="L766" s="18"/>
    </row>
    <row r="767" customFormat="false" ht="15" hidden="false" customHeight="true" outlineLevel="0" collapsed="false">
      <c r="A767" s="19"/>
      <c r="B767" s="17"/>
      <c r="C767" s="11" t="str">
        <f aca="false">IF(B767="","",IFERROR(INDEX(Students!$B$4:$B$203,MATCH(B767,Students!$A$4:$A$203,0)),""))</f>
        <v/>
      </c>
      <c r="D767" s="11" t="str">
        <f aca="false">IF(B767="","",IFERROR(INDEX(Students!$H$4:$H$203,MATCH(B767,Students!$A$4:$A$203,0)),""))</f>
        <v/>
      </c>
      <c r="E767" s="18"/>
      <c r="F767" s="18"/>
      <c r="G767" s="18"/>
      <c r="H767" s="18"/>
      <c r="I767" s="18"/>
      <c r="J767" s="18"/>
      <c r="K767" s="18"/>
      <c r="L767" s="18"/>
    </row>
    <row r="768" customFormat="false" ht="15" hidden="false" customHeight="true" outlineLevel="0" collapsed="false">
      <c r="A768" s="19"/>
      <c r="B768" s="17"/>
      <c r="C768" s="11" t="str">
        <f aca="false">IF(B768="","",IFERROR(INDEX(Students!$B$4:$B$203,MATCH(B768,Students!$A$4:$A$203,0)),""))</f>
        <v/>
      </c>
      <c r="D768" s="11" t="str">
        <f aca="false">IF(B768="","",IFERROR(INDEX(Students!$H$4:$H$203,MATCH(B768,Students!$A$4:$A$203,0)),""))</f>
        <v/>
      </c>
      <c r="E768" s="18"/>
      <c r="F768" s="18"/>
      <c r="G768" s="18"/>
      <c r="H768" s="18"/>
      <c r="I768" s="18"/>
      <c r="J768" s="18"/>
      <c r="K768" s="18"/>
      <c r="L768" s="18"/>
    </row>
    <row r="769" customFormat="false" ht="15" hidden="false" customHeight="true" outlineLevel="0" collapsed="false">
      <c r="A769" s="19"/>
      <c r="B769" s="17"/>
      <c r="C769" s="11" t="str">
        <f aca="false">IF(B769="","",IFERROR(INDEX(Students!$B$4:$B$203,MATCH(B769,Students!$A$4:$A$203,0)),""))</f>
        <v/>
      </c>
      <c r="D769" s="11" t="str">
        <f aca="false">IF(B769="","",IFERROR(INDEX(Students!$H$4:$H$203,MATCH(B769,Students!$A$4:$A$203,0)),""))</f>
        <v/>
      </c>
      <c r="E769" s="18"/>
      <c r="F769" s="18"/>
      <c r="G769" s="18"/>
      <c r="H769" s="18"/>
      <c r="I769" s="18"/>
      <c r="J769" s="18"/>
      <c r="K769" s="18"/>
      <c r="L769" s="18"/>
    </row>
    <row r="770" customFormat="false" ht="15" hidden="false" customHeight="true" outlineLevel="0" collapsed="false">
      <c r="A770" s="19"/>
      <c r="B770" s="17"/>
      <c r="C770" s="11" t="str">
        <f aca="false">IF(B770="","",IFERROR(INDEX(Students!$B$4:$B$203,MATCH(B770,Students!$A$4:$A$203,0)),""))</f>
        <v/>
      </c>
      <c r="D770" s="11" t="str">
        <f aca="false">IF(B770="","",IFERROR(INDEX(Students!$H$4:$H$203,MATCH(B770,Students!$A$4:$A$203,0)),""))</f>
        <v/>
      </c>
      <c r="E770" s="18"/>
      <c r="F770" s="18"/>
      <c r="G770" s="18"/>
      <c r="H770" s="18"/>
      <c r="I770" s="18"/>
      <c r="J770" s="18"/>
      <c r="K770" s="18"/>
      <c r="L770" s="18"/>
    </row>
    <row r="771" customFormat="false" ht="15" hidden="false" customHeight="true" outlineLevel="0" collapsed="false">
      <c r="A771" s="19"/>
      <c r="B771" s="17"/>
      <c r="C771" s="11" t="str">
        <f aca="false">IF(B771="","",IFERROR(INDEX(Students!$B$4:$B$203,MATCH(B771,Students!$A$4:$A$203,0)),""))</f>
        <v/>
      </c>
      <c r="D771" s="11" t="str">
        <f aca="false">IF(B771="","",IFERROR(INDEX(Students!$H$4:$H$203,MATCH(B771,Students!$A$4:$A$203,0)),""))</f>
        <v/>
      </c>
      <c r="E771" s="18"/>
      <c r="F771" s="18"/>
      <c r="G771" s="18"/>
      <c r="H771" s="18"/>
      <c r="I771" s="18"/>
      <c r="J771" s="18"/>
      <c r="K771" s="18"/>
      <c r="L771" s="18"/>
    </row>
    <row r="772" customFormat="false" ht="15" hidden="false" customHeight="true" outlineLevel="0" collapsed="false">
      <c r="A772" s="19"/>
      <c r="B772" s="17"/>
      <c r="C772" s="11" t="str">
        <f aca="false">IF(B772="","",IFERROR(INDEX(Students!$B$4:$B$203,MATCH(B772,Students!$A$4:$A$203,0)),""))</f>
        <v/>
      </c>
      <c r="D772" s="11" t="str">
        <f aca="false">IF(B772="","",IFERROR(INDEX(Students!$H$4:$H$203,MATCH(B772,Students!$A$4:$A$203,0)),""))</f>
        <v/>
      </c>
      <c r="E772" s="18"/>
      <c r="F772" s="18"/>
      <c r="G772" s="18"/>
      <c r="H772" s="18"/>
      <c r="I772" s="18"/>
      <c r="J772" s="18"/>
      <c r="K772" s="18"/>
      <c r="L772" s="18"/>
    </row>
    <row r="773" customFormat="false" ht="15" hidden="false" customHeight="true" outlineLevel="0" collapsed="false">
      <c r="A773" s="19"/>
      <c r="B773" s="17"/>
      <c r="C773" s="11" t="str">
        <f aca="false">IF(B773="","",IFERROR(INDEX(Students!$B$4:$B$203,MATCH(B773,Students!$A$4:$A$203,0)),""))</f>
        <v/>
      </c>
      <c r="D773" s="11" t="str">
        <f aca="false">IF(B773="","",IFERROR(INDEX(Students!$H$4:$H$203,MATCH(B773,Students!$A$4:$A$203,0)),""))</f>
        <v/>
      </c>
      <c r="E773" s="18"/>
      <c r="F773" s="18"/>
      <c r="G773" s="18"/>
      <c r="H773" s="18"/>
      <c r="I773" s="18"/>
      <c r="J773" s="18"/>
      <c r="K773" s="18"/>
      <c r="L773" s="18"/>
    </row>
    <row r="774" customFormat="false" ht="15" hidden="false" customHeight="true" outlineLevel="0" collapsed="false">
      <c r="A774" s="19"/>
      <c r="B774" s="17"/>
      <c r="C774" s="11" t="str">
        <f aca="false">IF(B774="","",IFERROR(INDEX(Students!$B$4:$B$203,MATCH(B774,Students!$A$4:$A$203,0)),""))</f>
        <v/>
      </c>
      <c r="D774" s="11" t="str">
        <f aca="false">IF(B774="","",IFERROR(INDEX(Students!$H$4:$H$203,MATCH(B774,Students!$A$4:$A$203,0)),""))</f>
        <v/>
      </c>
      <c r="E774" s="18"/>
      <c r="F774" s="18"/>
      <c r="G774" s="18"/>
      <c r="H774" s="18"/>
      <c r="I774" s="18"/>
      <c r="J774" s="18"/>
      <c r="K774" s="18"/>
      <c r="L774" s="18"/>
    </row>
    <row r="775" customFormat="false" ht="15" hidden="false" customHeight="true" outlineLevel="0" collapsed="false">
      <c r="A775" s="19"/>
      <c r="B775" s="17"/>
      <c r="C775" s="11" t="str">
        <f aca="false">IF(B775="","",IFERROR(INDEX(Students!$B$4:$B$203,MATCH(B775,Students!$A$4:$A$203,0)),""))</f>
        <v/>
      </c>
      <c r="D775" s="11" t="str">
        <f aca="false">IF(B775="","",IFERROR(INDEX(Students!$H$4:$H$203,MATCH(B775,Students!$A$4:$A$203,0)),""))</f>
        <v/>
      </c>
      <c r="E775" s="18"/>
      <c r="F775" s="18"/>
      <c r="G775" s="18"/>
      <c r="H775" s="18"/>
      <c r="I775" s="18"/>
      <c r="J775" s="18"/>
      <c r="K775" s="18"/>
      <c r="L775" s="18"/>
    </row>
    <row r="776" customFormat="false" ht="15" hidden="false" customHeight="true" outlineLevel="0" collapsed="false">
      <c r="A776" s="19"/>
      <c r="B776" s="17"/>
      <c r="C776" s="11" t="str">
        <f aca="false">IF(B776="","",IFERROR(INDEX(Students!$B$4:$B$203,MATCH(B776,Students!$A$4:$A$203,0)),""))</f>
        <v/>
      </c>
      <c r="D776" s="11" t="str">
        <f aca="false">IF(B776="","",IFERROR(INDEX(Students!$H$4:$H$203,MATCH(B776,Students!$A$4:$A$203,0)),""))</f>
        <v/>
      </c>
      <c r="E776" s="18"/>
      <c r="F776" s="18"/>
      <c r="G776" s="18"/>
      <c r="H776" s="18"/>
      <c r="I776" s="18"/>
      <c r="J776" s="18"/>
      <c r="K776" s="18"/>
      <c r="L776" s="18"/>
    </row>
    <row r="777" customFormat="false" ht="15" hidden="false" customHeight="true" outlineLevel="0" collapsed="false">
      <c r="A777" s="19"/>
      <c r="B777" s="17"/>
      <c r="C777" s="11" t="str">
        <f aca="false">IF(B777="","",IFERROR(INDEX(Students!$B$4:$B$203,MATCH(B777,Students!$A$4:$A$203,0)),""))</f>
        <v/>
      </c>
      <c r="D777" s="11" t="str">
        <f aca="false">IF(B777="","",IFERROR(INDEX(Students!$H$4:$H$203,MATCH(B777,Students!$A$4:$A$203,0)),""))</f>
        <v/>
      </c>
      <c r="E777" s="18"/>
      <c r="F777" s="18"/>
      <c r="G777" s="18"/>
      <c r="H777" s="18"/>
      <c r="I777" s="18"/>
      <c r="J777" s="18"/>
      <c r="K777" s="18"/>
      <c r="L777" s="18"/>
    </row>
    <row r="778" customFormat="false" ht="15" hidden="false" customHeight="true" outlineLevel="0" collapsed="false">
      <c r="A778" s="19"/>
      <c r="B778" s="17"/>
      <c r="C778" s="11" t="str">
        <f aca="false">IF(B778="","",IFERROR(INDEX(Students!$B$4:$B$203,MATCH(B778,Students!$A$4:$A$203,0)),""))</f>
        <v/>
      </c>
      <c r="D778" s="11" t="str">
        <f aca="false">IF(B778="","",IFERROR(INDEX(Students!$H$4:$H$203,MATCH(B778,Students!$A$4:$A$203,0)),""))</f>
        <v/>
      </c>
      <c r="E778" s="18"/>
      <c r="F778" s="18"/>
      <c r="G778" s="18"/>
      <c r="H778" s="18"/>
      <c r="I778" s="18"/>
      <c r="J778" s="18"/>
      <c r="K778" s="18"/>
      <c r="L778" s="18"/>
    </row>
    <row r="779" customFormat="false" ht="15" hidden="false" customHeight="true" outlineLevel="0" collapsed="false">
      <c r="A779" s="19"/>
      <c r="B779" s="17"/>
      <c r="C779" s="11" t="str">
        <f aca="false">IF(B779="","",IFERROR(INDEX(Students!$B$4:$B$203,MATCH(B779,Students!$A$4:$A$203,0)),""))</f>
        <v/>
      </c>
      <c r="D779" s="11" t="str">
        <f aca="false">IF(B779="","",IFERROR(INDEX(Students!$H$4:$H$203,MATCH(B779,Students!$A$4:$A$203,0)),""))</f>
        <v/>
      </c>
      <c r="E779" s="18"/>
      <c r="F779" s="18"/>
      <c r="G779" s="18"/>
      <c r="H779" s="18"/>
      <c r="I779" s="18"/>
      <c r="J779" s="18"/>
      <c r="K779" s="18"/>
      <c r="L779" s="18"/>
    </row>
    <row r="780" customFormat="false" ht="15" hidden="false" customHeight="true" outlineLevel="0" collapsed="false">
      <c r="A780" s="19"/>
      <c r="B780" s="17"/>
      <c r="C780" s="11" t="str">
        <f aca="false">IF(B780="","",IFERROR(INDEX(Students!$B$4:$B$203,MATCH(B780,Students!$A$4:$A$203,0)),""))</f>
        <v/>
      </c>
      <c r="D780" s="11" t="str">
        <f aca="false">IF(B780="","",IFERROR(INDEX(Students!$H$4:$H$203,MATCH(B780,Students!$A$4:$A$203,0)),""))</f>
        <v/>
      </c>
      <c r="E780" s="18"/>
      <c r="F780" s="18"/>
      <c r="G780" s="18"/>
      <c r="H780" s="18"/>
      <c r="I780" s="18"/>
      <c r="J780" s="18"/>
      <c r="K780" s="18"/>
      <c r="L780" s="18"/>
    </row>
    <row r="781" customFormat="false" ht="15" hidden="false" customHeight="true" outlineLevel="0" collapsed="false">
      <c r="A781" s="19"/>
      <c r="B781" s="17"/>
      <c r="C781" s="11" t="str">
        <f aca="false">IF(B781="","",IFERROR(INDEX(Students!$B$4:$B$203,MATCH(B781,Students!$A$4:$A$203,0)),""))</f>
        <v/>
      </c>
      <c r="D781" s="11" t="str">
        <f aca="false">IF(B781="","",IFERROR(INDEX(Students!$H$4:$H$203,MATCH(B781,Students!$A$4:$A$203,0)),""))</f>
        <v/>
      </c>
      <c r="E781" s="18"/>
      <c r="F781" s="18"/>
      <c r="G781" s="18"/>
      <c r="H781" s="18"/>
      <c r="I781" s="18"/>
      <c r="J781" s="18"/>
      <c r="K781" s="18"/>
      <c r="L781" s="18"/>
    </row>
    <row r="782" customFormat="false" ht="15" hidden="false" customHeight="true" outlineLevel="0" collapsed="false">
      <c r="A782" s="19"/>
      <c r="B782" s="17"/>
      <c r="C782" s="11" t="str">
        <f aca="false">IF(B782="","",IFERROR(INDEX(Students!$B$4:$B$203,MATCH(B782,Students!$A$4:$A$203,0)),""))</f>
        <v/>
      </c>
      <c r="D782" s="11" t="str">
        <f aca="false">IF(B782="","",IFERROR(INDEX(Students!$H$4:$H$203,MATCH(B782,Students!$A$4:$A$203,0)),""))</f>
        <v/>
      </c>
      <c r="E782" s="18"/>
      <c r="F782" s="18"/>
      <c r="G782" s="18"/>
      <c r="H782" s="18"/>
      <c r="I782" s="18"/>
      <c r="J782" s="18"/>
      <c r="K782" s="18"/>
      <c r="L782" s="18"/>
    </row>
    <row r="783" customFormat="false" ht="15" hidden="false" customHeight="true" outlineLevel="0" collapsed="false">
      <c r="A783" s="19"/>
      <c r="B783" s="17"/>
      <c r="C783" s="11" t="str">
        <f aca="false">IF(B783="","",IFERROR(INDEX(Students!$B$4:$B$203,MATCH(B783,Students!$A$4:$A$203,0)),""))</f>
        <v/>
      </c>
      <c r="D783" s="11" t="str">
        <f aca="false">IF(B783="","",IFERROR(INDEX(Students!$H$4:$H$203,MATCH(B783,Students!$A$4:$A$203,0)),""))</f>
        <v/>
      </c>
      <c r="E783" s="18"/>
      <c r="F783" s="18"/>
      <c r="G783" s="18"/>
      <c r="H783" s="18"/>
      <c r="I783" s="18"/>
      <c r="J783" s="18"/>
      <c r="K783" s="18"/>
      <c r="L783" s="18"/>
    </row>
    <row r="784" customFormat="false" ht="15" hidden="false" customHeight="true" outlineLevel="0" collapsed="false">
      <c r="A784" s="19"/>
      <c r="B784" s="17"/>
      <c r="C784" s="11" t="str">
        <f aca="false">IF(B784="","",IFERROR(INDEX(Students!$B$4:$B$203,MATCH(B784,Students!$A$4:$A$203,0)),""))</f>
        <v/>
      </c>
      <c r="D784" s="11" t="str">
        <f aca="false">IF(B784="","",IFERROR(INDEX(Students!$H$4:$H$203,MATCH(B784,Students!$A$4:$A$203,0)),""))</f>
        <v/>
      </c>
      <c r="E784" s="18"/>
      <c r="F784" s="18"/>
      <c r="G784" s="18"/>
      <c r="H784" s="18"/>
      <c r="I784" s="18"/>
      <c r="J784" s="18"/>
      <c r="K784" s="18"/>
      <c r="L784" s="18"/>
    </row>
    <row r="785" customFormat="false" ht="15" hidden="false" customHeight="true" outlineLevel="0" collapsed="false">
      <c r="A785" s="19"/>
      <c r="B785" s="17"/>
      <c r="C785" s="11" t="str">
        <f aca="false">IF(B785="","",IFERROR(INDEX(Students!$B$4:$B$203,MATCH(B785,Students!$A$4:$A$203,0)),""))</f>
        <v/>
      </c>
      <c r="D785" s="11" t="str">
        <f aca="false">IF(B785="","",IFERROR(INDEX(Students!$H$4:$H$203,MATCH(B785,Students!$A$4:$A$203,0)),""))</f>
        <v/>
      </c>
      <c r="E785" s="18"/>
      <c r="F785" s="18"/>
      <c r="G785" s="18"/>
      <c r="H785" s="18"/>
      <c r="I785" s="18"/>
      <c r="J785" s="18"/>
      <c r="K785" s="18"/>
      <c r="L785" s="18"/>
    </row>
    <row r="786" customFormat="false" ht="15" hidden="false" customHeight="true" outlineLevel="0" collapsed="false">
      <c r="A786" s="19"/>
      <c r="B786" s="17"/>
      <c r="C786" s="11" t="str">
        <f aca="false">IF(B786="","",IFERROR(INDEX(Students!$B$4:$B$203,MATCH(B786,Students!$A$4:$A$203,0)),""))</f>
        <v/>
      </c>
      <c r="D786" s="11" t="str">
        <f aca="false">IF(B786="","",IFERROR(INDEX(Students!$H$4:$H$203,MATCH(B786,Students!$A$4:$A$203,0)),""))</f>
        <v/>
      </c>
      <c r="E786" s="18"/>
      <c r="F786" s="18"/>
      <c r="G786" s="18"/>
      <c r="H786" s="18"/>
      <c r="I786" s="18"/>
      <c r="J786" s="18"/>
      <c r="K786" s="18"/>
      <c r="L786" s="18"/>
    </row>
    <row r="787" customFormat="false" ht="15" hidden="false" customHeight="true" outlineLevel="0" collapsed="false">
      <c r="A787" s="19"/>
      <c r="B787" s="17"/>
      <c r="C787" s="11" t="str">
        <f aca="false">IF(B787="","",IFERROR(INDEX(Students!$B$4:$B$203,MATCH(B787,Students!$A$4:$A$203,0)),""))</f>
        <v/>
      </c>
      <c r="D787" s="11" t="str">
        <f aca="false">IF(B787="","",IFERROR(INDEX(Students!$H$4:$H$203,MATCH(B787,Students!$A$4:$A$203,0)),""))</f>
        <v/>
      </c>
      <c r="E787" s="18"/>
      <c r="F787" s="18"/>
      <c r="G787" s="18"/>
      <c r="H787" s="18"/>
      <c r="I787" s="18"/>
      <c r="J787" s="18"/>
      <c r="K787" s="18"/>
      <c r="L787" s="18"/>
    </row>
    <row r="788" customFormat="false" ht="15" hidden="false" customHeight="true" outlineLevel="0" collapsed="false">
      <c r="A788" s="19"/>
      <c r="B788" s="17"/>
      <c r="C788" s="11" t="str">
        <f aca="false">IF(B788="","",IFERROR(INDEX(Students!$B$4:$B$203,MATCH(B788,Students!$A$4:$A$203,0)),""))</f>
        <v/>
      </c>
      <c r="D788" s="11" t="str">
        <f aca="false">IF(B788="","",IFERROR(INDEX(Students!$H$4:$H$203,MATCH(B788,Students!$A$4:$A$203,0)),""))</f>
        <v/>
      </c>
      <c r="E788" s="18"/>
      <c r="F788" s="18"/>
      <c r="G788" s="18"/>
      <c r="H788" s="18"/>
      <c r="I788" s="18"/>
      <c r="J788" s="18"/>
      <c r="K788" s="18"/>
      <c r="L788" s="18"/>
    </row>
    <row r="789" customFormat="false" ht="15" hidden="false" customHeight="true" outlineLevel="0" collapsed="false">
      <c r="A789" s="19"/>
      <c r="B789" s="17"/>
      <c r="C789" s="11" t="str">
        <f aca="false">IF(B789="","",IFERROR(INDEX(Students!$B$4:$B$203,MATCH(B789,Students!$A$4:$A$203,0)),""))</f>
        <v/>
      </c>
      <c r="D789" s="11" t="str">
        <f aca="false">IF(B789="","",IFERROR(INDEX(Students!$H$4:$H$203,MATCH(B789,Students!$A$4:$A$203,0)),""))</f>
        <v/>
      </c>
      <c r="E789" s="18"/>
      <c r="F789" s="18"/>
      <c r="G789" s="18"/>
      <c r="H789" s="18"/>
      <c r="I789" s="18"/>
      <c r="J789" s="18"/>
      <c r="K789" s="18"/>
      <c r="L789" s="18"/>
    </row>
    <row r="790" customFormat="false" ht="15" hidden="false" customHeight="true" outlineLevel="0" collapsed="false">
      <c r="A790" s="19"/>
      <c r="B790" s="17"/>
      <c r="C790" s="11" t="str">
        <f aca="false">IF(B790="","",IFERROR(INDEX(Students!$B$4:$B$203,MATCH(B790,Students!$A$4:$A$203,0)),""))</f>
        <v/>
      </c>
      <c r="D790" s="11" t="str">
        <f aca="false">IF(B790="","",IFERROR(INDEX(Students!$H$4:$H$203,MATCH(B790,Students!$A$4:$A$203,0)),""))</f>
        <v/>
      </c>
      <c r="E790" s="18"/>
      <c r="F790" s="18"/>
      <c r="G790" s="18"/>
      <c r="H790" s="18"/>
      <c r="I790" s="18"/>
      <c r="J790" s="18"/>
      <c r="K790" s="18"/>
      <c r="L790" s="18"/>
    </row>
    <row r="791" customFormat="false" ht="15" hidden="false" customHeight="true" outlineLevel="0" collapsed="false">
      <c r="A791" s="19"/>
      <c r="B791" s="17"/>
      <c r="C791" s="11" t="str">
        <f aca="false">IF(B791="","",IFERROR(INDEX(Students!$B$4:$B$203,MATCH(B791,Students!$A$4:$A$203,0)),""))</f>
        <v/>
      </c>
      <c r="D791" s="11" t="str">
        <f aca="false">IF(B791="","",IFERROR(INDEX(Students!$H$4:$H$203,MATCH(B791,Students!$A$4:$A$203,0)),""))</f>
        <v/>
      </c>
      <c r="E791" s="18"/>
      <c r="F791" s="18"/>
      <c r="G791" s="18"/>
      <c r="H791" s="18"/>
      <c r="I791" s="18"/>
      <c r="J791" s="18"/>
      <c r="K791" s="18"/>
      <c r="L791" s="18"/>
    </row>
    <row r="792" customFormat="false" ht="15" hidden="false" customHeight="true" outlineLevel="0" collapsed="false">
      <c r="A792" s="19"/>
      <c r="B792" s="17"/>
      <c r="C792" s="11" t="str">
        <f aca="false">IF(B792="","",IFERROR(INDEX(Students!$B$4:$B$203,MATCH(B792,Students!$A$4:$A$203,0)),""))</f>
        <v/>
      </c>
      <c r="D792" s="11" t="str">
        <f aca="false">IF(B792="","",IFERROR(INDEX(Students!$H$4:$H$203,MATCH(B792,Students!$A$4:$A$203,0)),""))</f>
        <v/>
      </c>
      <c r="E792" s="18"/>
      <c r="F792" s="18"/>
      <c r="G792" s="18"/>
      <c r="H792" s="18"/>
      <c r="I792" s="18"/>
      <c r="J792" s="18"/>
      <c r="K792" s="18"/>
      <c r="L792" s="18"/>
    </row>
    <row r="793" customFormat="false" ht="15" hidden="false" customHeight="true" outlineLevel="0" collapsed="false">
      <c r="A793" s="19"/>
      <c r="B793" s="17"/>
      <c r="C793" s="11" t="str">
        <f aca="false">IF(B793="","",IFERROR(INDEX(Students!$B$4:$B$203,MATCH(B793,Students!$A$4:$A$203,0)),""))</f>
        <v/>
      </c>
      <c r="D793" s="11" t="str">
        <f aca="false">IF(B793="","",IFERROR(INDEX(Students!$H$4:$H$203,MATCH(B793,Students!$A$4:$A$203,0)),""))</f>
        <v/>
      </c>
      <c r="E793" s="18"/>
      <c r="F793" s="18"/>
      <c r="G793" s="18"/>
      <c r="H793" s="18"/>
      <c r="I793" s="18"/>
      <c r="J793" s="18"/>
      <c r="K793" s="18"/>
      <c r="L793" s="18"/>
    </row>
    <row r="794" customFormat="false" ht="15" hidden="false" customHeight="true" outlineLevel="0" collapsed="false">
      <c r="A794" s="19"/>
      <c r="B794" s="17"/>
      <c r="C794" s="11" t="str">
        <f aca="false">IF(B794="","",IFERROR(INDEX(Students!$B$4:$B$203,MATCH(B794,Students!$A$4:$A$203,0)),""))</f>
        <v/>
      </c>
      <c r="D794" s="11" t="str">
        <f aca="false">IF(B794="","",IFERROR(INDEX(Students!$H$4:$H$203,MATCH(B794,Students!$A$4:$A$203,0)),""))</f>
        <v/>
      </c>
      <c r="E794" s="18"/>
      <c r="F794" s="18"/>
      <c r="G794" s="18"/>
      <c r="H794" s="18"/>
      <c r="I794" s="18"/>
      <c r="J794" s="18"/>
      <c r="K794" s="18"/>
      <c r="L794" s="18"/>
    </row>
    <row r="795" customFormat="false" ht="15" hidden="false" customHeight="true" outlineLevel="0" collapsed="false">
      <c r="A795" s="19"/>
      <c r="B795" s="17"/>
      <c r="C795" s="11" t="str">
        <f aca="false">IF(B795="","",IFERROR(INDEX(Students!$B$4:$B$203,MATCH(B795,Students!$A$4:$A$203,0)),""))</f>
        <v/>
      </c>
      <c r="D795" s="11" t="str">
        <f aca="false">IF(B795="","",IFERROR(INDEX(Students!$H$4:$H$203,MATCH(B795,Students!$A$4:$A$203,0)),""))</f>
        <v/>
      </c>
      <c r="E795" s="18"/>
      <c r="F795" s="18"/>
      <c r="G795" s="18"/>
      <c r="H795" s="18"/>
      <c r="I795" s="18"/>
      <c r="J795" s="18"/>
      <c r="K795" s="18"/>
      <c r="L795" s="18"/>
    </row>
    <row r="796" customFormat="false" ht="15" hidden="false" customHeight="true" outlineLevel="0" collapsed="false">
      <c r="A796" s="19"/>
      <c r="B796" s="17"/>
      <c r="C796" s="11" t="str">
        <f aca="false">IF(B796="","",IFERROR(INDEX(Students!$B$4:$B$203,MATCH(B796,Students!$A$4:$A$203,0)),""))</f>
        <v/>
      </c>
      <c r="D796" s="11" t="str">
        <f aca="false">IF(B796="","",IFERROR(INDEX(Students!$H$4:$H$203,MATCH(B796,Students!$A$4:$A$203,0)),""))</f>
        <v/>
      </c>
      <c r="E796" s="18"/>
      <c r="F796" s="18"/>
      <c r="G796" s="18"/>
      <c r="H796" s="18"/>
      <c r="I796" s="18"/>
      <c r="J796" s="18"/>
      <c r="K796" s="18"/>
      <c r="L796" s="18"/>
    </row>
    <row r="797" customFormat="false" ht="15" hidden="false" customHeight="true" outlineLevel="0" collapsed="false">
      <c r="A797" s="19"/>
      <c r="B797" s="17"/>
      <c r="C797" s="11" t="str">
        <f aca="false">IF(B797="","",IFERROR(INDEX(Students!$B$4:$B$203,MATCH(B797,Students!$A$4:$A$203,0)),""))</f>
        <v/>
      </c>
      <c r="D797" s="11" t="str">
        <f aca="false">IF(B797="","",IFERROR(INDEX(Students!$H$4:$H$203,MATCH(B797,Students!$A$4:$A$203,0)),""))</f>
        <v/>
      </c>
      <c r="E797" s="18"/>
      <c r="F797" s="18"/>
      <c r="G797" s="18"/>
      <c r="H797" s="18"/>
      <c r="I797" s="18"/>
      <c r="J797" s="18"/>
      <c r="K797" s="18"/>
      <c r="L797" s="18"/>
    </row>
    <row r="798" customFormat="false" ht="15" hidden="false" customHeight="true" outlineLevel="0" collapsed="false">
      <c r="A798" s="19"/>
      <c r="B798" s="17"/>
      <c r="C798" s="11" t="str">
        <f aca="false">IF(B798="","",IFERROR(INDEX(Students!$B$4:$B$203,MATCH(B798,Students!$A$4:$A$203,0)),""))</f>
        <v/>
      </c>
      <c r="D798" s="11" t="str">
        <f aca="false">IF(B798="","",IFERROR(INDEX(Students!$H$4:$H$203,MATCH(B798,Students!$A$4:$A$203,0)),""))</f>
        <v/>
      </c>
      <c r="E798" s="18"/>
      <c r="F798" s="18"/>
      <c r="G798" s="18"/>
      <c r="H798" s="18"/>
      <c r="I798" s="18"/>
      <c r="J798" s="18"/>
      <c r="K798" s="18"/>
      <c r="L798" s="18"/>
    </row>
    <row r="799" customFormat="false" ht="15" hidden="false" customHeight="true" outlineLevel="0" collapsed="false">
      <c r="A799" s="19"/>
      <c r="B799" s="17"/>
      <c r="C799" s="11" t="str">
        <f aca="false">IF(B799="","",IFERROR(INDEX(Students!$B$4:$B$203,MATCH(B799,Students!$A$4:$A$203,0)),""))</f>
        <v/>
      </c>
      <c r="D799" s="11" t="str">
        <f aca="false">IF(B799="","",IFERROR(INDEX(Students!$H$4:$H$203,MATCH(B799,Students!$A$4:$A$203,0)),""))</f>
        <v/>
      </c>
      <c r="E799" s="18"/>
      <c r="F799" s="18"/>
      <c r="G799" s="18"/>
      <c r="H799" s="18"/>
      <c r="I799" s="18"/>
      <c r="J799" s="18"/>
      <c r="K799" s="18"/>
      <c r="L799" s="18"/>
    </row>
    <row r="800" customFormat="false" ht="15" hidden="false" customHeight="true" outlineLevel="0" collapsed="false">
      <c r="A800" s="19"/>
      <c r="B800" s="17"/>
      <c r="C800" s="11" t="str">
        <f aca="false">IF(B800="","",IFERROR(INDEX(Students!$B$4:$B$203,MATCH(B800,Students!$A$4:$A$203,0)),""))</f>
        <v/>
      </c>
      <c r="D800" s="11" t="str">
        <f aca="false">IF(B800="","",IFERROR(INDEX(Students!$H$4:$H$203,MATCH(B800,Students!$A$4:$A$203,0)),""))</f>
        <v/>
      </c>
      <c r="E800" s="18"/>
      <c r="F800" s="18"/>
      <c r="G800" s="18"/>
      <c r="H800" s="18"/>
      <c r="I800" s="18"/>
      <c r="J800" s="18"/>
      <c r="K800" s="18"/>
      <c r="L800" s="18"/>
    </row>
    <row r="801" customFormat="false" ht="15" hidden="false" customHeight="true" outlineLevel="0" collapsed="false">
      <c r="A801" s="19"/>
      <c r="B801" s="17"/>
      <c r="C801" s="11" t="str">
        <f aca="false">IF(B801="","",IFERROR(INDEX(Students!$B$4:$B$203,MATCH(B801,Students!$A$4:$A$203,0)),""))</f>
        <v/>
      </c>
      <c r="D801" s="11" t="str">
        <f aca="false">IF(B801="","",IFERROR(INDEX(Students!$H$4:$H$203,MATCH(B801,Students!$A$4:$A$203,0)),""))</f>
        <v/>
      </c>
      <c r="E801" s="18"/>
      <c r="F801" s="18"/>
      <c r="G801" s="18"/>
      <c r="H801" s="18"/>
      <c r="I801" s="18"/>
      <c r="J801" s="18"/>
      <c r="K801" s="18"/>
      <c r="L801" s="18"/>
    </row>
    <row r="802" customFormat="false" ht="15" hidden="false" customHeight="true" outlineLevel="0" collapsed="false">
      <c r="A802" s="19"/>
      <c r="B802" s="17"/>
      <c r="C802" s="11" t="str">
        <f aca="false">IF(B802="","",IFERROR(INDEX(Students!$B$4:$B$203,MATCH(B802,Students!$A$4:$A$203,0)),""))</f>
        <v/>
      </c>
      <c r="D802" s="11" t="str">
        <f aca="false">IF(B802="","",IFERROR(INDEX(Students!$H$4:$H$203,MATCH(B802,Students!$A$4:$A$203,0)),""))</f>
        <v/>
      </c>
      <c r="E802" s="18"/>
      <c r="F802" s="18"/>
      <c r="G802" s="18"/>
      <c r="H802" s="18"/>
      <c r="I802" s="18"/>
      <c r="J802" s="18"/>
      <c r="K802" s="18"/>
      <c r="L802" s="18"/>
    </row>
    <row r="803" customFormat="false" ht="15" hidden="false" customHeight="true" outlineLevel="0" collapsed="false">
      <c r="A803" s="19"/>
      <c r="B803" s="17"/>
      <c r="C803" s="11" t="str">
        <f aca="false">IF(B803="","",IFERROR(INDEX(Students!$B$4:$B$203,MATCH(B803,Students!$A$4:$A$203,0)),""))</f>
        <v/>
      </c>
      <c r="D803" s="11" t="str">
        <f aca="false">IF(B803="","",IFERROR(INDEX(Students!$H$4:$H$203,MATCH(B803,Students!$A$4:$A$203,0)),""))</f>
        <v/>
      </c>
      <c r="E803" s="18"/>
      <c r="F803" s="18"/>
      <c r="G803" s="18"/>
      <c r="H803" s="18"/>
      <c r="I803" s="18"/>
      <c r="J803" s="18"/>
      <c r="K803" s="18"/>
      <c r="L803" s="18"/>
    </row>
    <row r="804" customFormat="false" ht="15" hidden="false" customHeight="true" outlineLevel="0" collapsed="false">
      <c r="A804" s="19"/>
      <c r="B804" s="17"/>
      <c r="C804" s="11" t="str">
        <f aca="false">IF(B804="","",IFERROR(INDEX(Students!$B$4:$B$203,MATCH(B804,Students!$A$4:$A$203,0)),""))</f>
        <v/>
      </c>
      <c r="D804" s="11" t="str">
        <f aca="false">IF(B804="","",IFERROR(INDEX(Students!$H$4:$H$203,MATCH(B804,Students!$A$4:$A$203,0)),""))</f>
        <v/>
      </c>
      <c r="E804" s="18"/>
      <c r="F804" s="18"/>
      <c r="G804" s="18"/>
      <c r="H804" s="18"/>
      <c r="I804" s="18"/>
      <c r="J804" s="18"/>
      <c r="K804" s="18"/>
      <c r="L804" s="18"/>
    </row>
    <row r="805" customFormat="false" ht="15" hidden="false" customHeight="true" outlineLevel="0" collapsed="false">
      <c r="A805" s="19"/>
      <c r="B805" s="17"/>
      <c r="C805" s="11" t="str">
        <f aca="false">IF(B805="","",IFERROR(INDEX(Students!$B$4:$B$203,MATCH(B805,Students!$A$4:$A$203,0)),""))</f>
        <v/>
      </c>
      <c r="D805" s="11" t="str">
        <f aca="false">IF(B805="","",IFERROR(INDEX(Students!$H$4:$H$203,MATCH(B805,Students!$A$4:$A$203,0)),""))</f>
        <v/>
      </c>
      <c r="E805" s="18"/>
      <c r="F805" s="18"/>
      <c r="G805" s="18"/>
      <c r="H805" s="18"/>
      <c r="I805" s="18"/>
      <c r="J805" s="18"/>
      <c r="K805" s="18"/>
      <c r="L805" s="18"/>
    </row>
    <row r="806" customFormat="false" ht="15" hidden="false" customHeight="true" outlineLevel="0" collapsed="false">
      <c r="A806" s="19"/>
      <c r="B806" s="17"/>
      <c r="C806" s="11" t="str">
        <f aca="false">IF(B806="","",IFERROR(INDEX(Students!$B$4:$B$203,MATCH(B806,Students!$A$4:$A$203,0)),""))</f>
        <v/>
      </c>
      <c r="D806" s="11" t="str">
        <f aca="false">IF(B806="","",IFERROR(INDEX(Students!$H$4:$H$203,MATCH(B806,Students!$A$4:$A$203,0)),""))</f>
        <v/>
      </c>
      <c r="E806" s="18"/>
      <c r="F806" s="18"/>
      <c r="G806" s="18"/>
      <c r="H806" s="18"/>
      <c r="I806" s="18"/>
      <c r="J806" s="18"/>
      <c r="K806" s="18"/>
      <c r="L806" s="18"/>
    </row>
    <row r="807" customFormat="false" ht="15" hidden="false" customHeight="true" outlineLevel="0" collapsed="false">
      <c r="A807" s="19"/>
      <c r="B807" s="17"/>
      <c r="C807" s="11" t="str">
        <f aca="false">IF(B807="","",IFERROR(INDEX(Students!$B$4:$B$203,MATCH(B807,Students!$A$4:$A$203,0)),""))</f>
        <v/>
      </c>
      <c r="D807" s="11" t="str">
        <f aca="false">IF(B807="","",IFERROR(INDEX(Students!$H$4:$H$203,MATCH(B807,Students!$A$4:$A$203,0)),""))</f>
        <v/>
      </c>
      <c r="E807" s="18"/>
      <c r="F807" s="18"/>
      <c r="G807" s="18"/>
      <c r="H807" s="18"/>
      <c r="I807" s="18"/>
      <c r="J807" s="18"/>
      <c r="K807" s="18"/>
      <c r="L807" s="18"/>
    </row>
    <row r="808" customFormat="false" ht="15" hidden="false" customHeight="true" outlineLevel="0" collapsed="false">
      <c r="A808" s="19"/>
      <c r="B808" s="17"/>
      <c r="C808" s="11" t="str">
        <f aca="false">IF(B808="","",IFERROR(INDEX(Students!$B$4:$B$203,MATCH(B808,Students!$A$4:$A$203,0)),""))</f>
        <v/>
      </c>
      <c r="D808" s="11" t="str">
        <f aca="false">IF(B808="","",IFERROR(INDEX(Students!$H$4:$H$203,MATCH(B808,Students!$A$4:$A$203,0)),""))</f>
        <v/>
      </c>
      <c r="E808" s="18"/>
      <c r="F808" s="18"/>
      <c r="G808" s="18"/>
      <c r="H808" s="18"/>
      <c r="I808" s="18"/>
      <c r="J808" s="18"/>
      <c r="K808" s="18"/>
      <c r="L808" s="18"/>
    </row>
    <row r="809" customFormat="false" ht="15" hidden="false" customHeight="true" outlineLevel="0" collapsed="false">
      <c r="A809" s="19"/>
      <c r="B809" s="17"/>
      <c r="C809" s="11" t="str">
        <f aca="false">IF(B809="","",IFERROR(INDEX(Students!$B$4:$B$203,MATCH(B809,Students!$A$4:$A$203,0)),""))</f>
        <v/>
      </c>
      <c r="D809" s="11" t="str">
        <f aca="false">IF(B809="","",IFERROR(INDEX(Students!$H$4:$H$203,MATCH(B809,Students!$A$4:$A$203,0)),""))</f>
        <v/>
      </c>
      <c r="E809" s="18"/>
      <c r="F809" s="18"/>
      <c r="G809" s="18"/>
      <c r="H809" s="18"/>
      <c r="I809" s="18"/>
      <c r="J809" s="18"/>
      <c r="K809" s="18"/>
      <c r="L809" s="18"/>
    </row>
    <row r="810" customFormat="false" ht="15" hidden="false" customHeight="true" outlineLevel="0" collapsed="false">
      <c r="A810" s="19"/>
      <c r="B810" s="17"/>
      <c r="C810" s="11" t="str">
        <f aca="false">IF(B810="","",IFERROR(INDEX(Students!$B$4:$B$203,MATCH(B810,Students!$A$4:$A$203,0)),""))</f>
        <v/>
      </c>
      <c r="D810" s="11" t="str">
        <f aca="false">IF(B810="","",IFERROR(INDEX(Students!$H$4:$H$203,MATCH(B810,Students!$A$4:$A$203,0)),""))</f>
        <v/>
      </c>
      <c r="E810" s="18"/>
      <c r="F810" s="18"/>
      <c r="G810" s="18"/>
      <c r="H810" s="18"/>
      <c r="I810" s="18"/>
      <c r="J810" s="18"/>
      <c r="K810" s="18"/>
      <c r="L810" s="18"/>
    </row>
    <row r="811" customFormat="false" ht="15" hidden="false" customHeight="true" outlineLevel="0" collapsed="false">
      <c r="A811" s="19"/>
      <c r="B811" s="17"/>
      <c r="C811" s="11" t="str">
        <f aca="false">IF(B811="","",IFERROR(INDEX(Students!$B$4:$B$203,MATCH(B811,Students!$A$4:$A$203,0)),""))</f>
        <v/>
      </c>
      <c r="D811" s="11" t="str">
        <f aca="false">IF(B811="","",IFERROR(INDEX(Students!$H$4:$H$203,MATCH(B811,Students!$A$4:$A$203,0)),""))</f>
        <v/>
      </c>
      <c r="E811" s="18"/>
      <c r="F811" s="18"/>
      <c r="G811" s="18"/>
      <c r="H811" s="18"/>
      <c r="I811" s="18"/>
      <c r="J811" s="18"/>
      <c r="K811" s="18"/>
      <c r="L811" s="18"/>
    </row>
    <row r="812" customFormat="false" ht="15" hidden="false" customHeight="true" outlineLevel="0" collapsed="false">
      <c r="A812" s="19"/>
      <c r="B812" s="17"/>
      <c r="C812" s="11" t="str">
        <f aca="false">IF(B812="","",IFERROR(INDEX(Students!$B$4:$B$203,MATCH(B812,Students!$A$4:$A$203,0)),""))</f>
        <v/>
      </c>
      <c r="D812" s="11" t="str">
        <f aca="false">IF(B812="","",IFERROR(INDEX(Students!$H$4:$H$203,MATCH(B812,Students!$A$4:$A$203,0)),""))</f>
        <v/>
      </c>
      <c r="E812" s="18"/>
      <c r="F812" s="18"/>
      <c r="G812" s="18"/>
      <c r="H812" s="18"/>
      <c r="I812" s="18"/>
      <c r="J812" s="18"/>
      <c r="K812" s="18"/>
      <c r="L812" s="18"/>
    </row>
    <row r="813" customFormat="false" ht="15" hidden="false" customHeight="true" outlineLevel="0" collapsed="false">
      <c r="A813" s="19"/>
      <c r="B813" s="17"/>
      <c r="C813" s="11" t="str">
        <f aca="false">IF(B813="","",IFERROR(INDEX(Students!$B$4:$B$203,MATCH(B813,Students!$A$4:$A$203,0)),""))</f>
        <v/>
      </c>
      <c r="D813" s="11" t="str">
        <f aca="false">IF(B813="","",IFERROR(INDEX(Students!$H$4:$H$203,MATCH(B813,Students!$A$4:$A$203,0)),""))</f>
        <v/>
      </c>
      <c r="E813" s="18"/>
      <c r="F813" s="18"/>
      <c r="G813" s="18"/>
      <c r="H813" s="18"/>
      <c r="I813" s="18"/>
      <c r="J813" s="18"/>
      <c r="K813" s="18"/>
      <c r="L813" s="18"/>
    </row>
    <row r="814" customFormat="false" ht="15" hidden="false" customHeight="true" outlineLevel="0" collapsed="false">
      <c r="A814" s="19"/>
      <c r="B814" s="17"/>
      <c r="C814" s="11" t="str">
        <f aca="false">IF(B814="","",IFERROR(INDEX(Students!$B$4:$B$203,MATCH(B814,Students!$A$4:$A$203,0)),""))</f>
        <v/>
      </c>
      <c r="D814" s="11" t="str">
        <f aca="false">IF(B814="","",IFERROR(INDEX(Students!$H$4:$H$203,MATCH(B814,Students!$A$4:$A$203,0)),""))</f>
        <v/>
      </c>
      <c r="E814" s="18"/>
      <c r="F814" s="18"/>
      <c r="G814" s="18"/>
      <c r="H814" s="18"/>
      <c r="I814" s="18"/>
      <c r="J814" s="18"/>
      <c r="K814" s="18"/>
      <c r="L814" s="18"/>
    </row>
    <row r="815" customFormat="false" ht="15" hidden="false" customHeight="true" outlineLevel="0" collapsed="false">
      <c r="A815" s="19"/>
      <c r="B815" s="17"/>
      <c r="C815" s="11" t="str">
        <f aca="false">IF(B815="","",IFERROR(INDEX(Students!$B$4:$B$203,MATCH(B815,Students!$A$4:$A$203,0)),""))</f>
        <v/>
      </c>
      <c r="D815" s="11" t="str">
        <f aca="false">IF(B815="","",IFERROR(INDEX(Students!$H$4:$H$203,MATCH(B815,Students!$A$4:$A$203,0)),""))</f>
        <v/>
      </c>
      <c r="E815" s="18"/>
      <c r="F815" s="18"/>
      <c r="G815" s="18"/>
      <c r="H815" s="18"/>
      <c r="I815" s="18"/>
      <c r="J815" s="18"/>
      <c r="K815" s="18"/>
      <c r="L815" s="18"/>
    </row>
    <row r="816" customFormat="false" ht="15" hidden="false" customHeight="true" outlineLevel="0" collapsed="false">
      <c r="A816" s="19"/>
      <c r="B816" s="17"/>
      <c r="C816" s="11" t="str">
        <f aca="false">IF(B816="","",IFERROR(INDEX(Students!$B$4:$B$203,MATCH(B816,Students!$A$4:$A$203,0)),""))</f>
        <v/>
      </c>
      <c r="D816" s="11" t="str">
        <f aca="false">IF(B816="","",IFERROR(INDEX(Students!$H$4:$H$203,MATCH(B816,Students!$A$4:$A$203,0)),""))</f>
        <v/>
      </c>
      <c r="E816" s="18"/>
      <c r="F816" s="18"/>
      <c r="G816" s="18"/>
      <c r="H816" s="18"/>
      <c r="I816" s="18"/>
      <c r="J816" s="18"/>
      <c r="K816" s="18"/>
      <c r="L816" s="18"/>
    </row>
    <row r="817" customFormat="false" ht="15" hidden="false" customHeight="true" outlineLevel="0" collapsed="false">
      <c r="A817" s="19"/>
      <c r="B817" s="17"/>
      <c r="C817" s="11" t="str">
        <f aca="false">IF(B817="","",IFERROR(INDEX(Students!$B$4:$B$203,MATCH(B817,Students!$A$4:$A$203,0)),""))</f>
        <v/>
      </c>
      <c r="D817" s="11" t="str">
        <f aca="false">IF(B817="","",IFERROR(INDEX(Students!$H$4:$H$203,MATCH(B817,Students!$A$4:$A$203,0)),""))</f>
        <v/>
      </c>
      <c r="E817" s="18"/>
      <c r="F817" s="18"/>
      <c r="G817" s="18"/>
      <c r="H817" s="18"/>
      <c r="I817" s="18"/>
      <c r="J817" s="18"/>
      <c r="K817" s="18"/>
      <c r="L817" s="18"/>
    </row>
    <row r="818" customFormat="false" ht="15" hidden="false" customHeight="true" outlineLevel="0" collapsed="false">
      <c r="A818" s="19"/>
      <c r="B818" s="17"/>
      <c r="C818" s="11" t="str">
        <f aca="false">IF(B818="","",IFERROR(INDEX(Students!$B$4:$B$203,MATCH(B818,Students!$A$4:$A$203,0)),""))</f>
        <v/>
      </c>
      <c r="D818" s="11" t="str">
        <f aca="false">IF(B818="","",IFERROR(INDEX(Students!$H$4:$H$203,MATCH(B818,Students!$A$4:$A$203,0)),""))</f>
        <v/>
      </c>
      <c r="E818" s="18"/>
      <c r="F818" s="18"/>
      <c r="G818" s="18"/>
      <c r="H818" s="18"/>
      <c r="I818" s="18"/>
      <c r="J818" s="18"/>
      <c r="K818" s="18"/>
      <c r="L818" s="18"/>
    </row>
    <row r="819" customFormat="false" ht="15" hidden="false" customHeight="true" outlineLevel="0" collapsed="false">
      <c r="A819" s="19"/>
      <c r="B819" s="17"/>
      <c r="C819" s="11" t="str">
        <f aca="false">IF(B819="","",IFERROR(INDEX(Students!$B$4:$B$203,MATCH(B819,Students!$A$4:$A$203,0)),""))</f>
        <v/>
      </c>
      <c r="D819" s="11" t="str">
        <f aca="false">IF(B819="","",IFERROR(INDEX(Students!$H$4:$H$203,MATCH(B819,Students!$A$4:$A$203,0)),""))</f>
        <v/>
      </c>
      <c r="E819" s="18"/>
      <c r="F819" s="18"/>
      <c r="G819" s="18"/>
      <c r="H819" s="18"/>
      <c r="I819" s="18"/>
      <c r="J819" s="18"/>
      <c r="K819" s="18"/>
      <c r="L819" s="18"/>
    </row>
    <row r="820" customFormat="false" ht="15" hidden="false" customHeight="true" outlineLevel="0" collapsed="false">
      <c r="A820" s="19"/>
      <c r="B820" s="17"/>
      <c r="C820" s="11" t="str">
        <f aca="false">IF(B820="","",IFERROR(INDEX(Students!$B$4:$B$203,MATCH(B820,Students!$A$4:$A$203,0)),""))</f>
        <v/>
      </c>
      <c r="D820" s="11" t="str">
        <f aca="false">IF(B820="","",IFERROR(INDEX(Students!$H$4:$H$203,MATCH(B820,Students!$A$4:$A$203,0)),""))</f>
        <v/>
      </c>
      <c r="E820" s="18"/>
      <c r="F820" s="18"/>
      <c r="G820" s="18"/>
      <c r="H820" s="18"/>
      <c r="I820" s="18"/>
      <c r="J820" s="18"/>
      <c r="K820" s="18"/>
      <c r="L820" s="18"/>
    </row>
    <row r="821" customFormat="false" ht="15" hidden="false" customHeight="true" outlineLevel="0" collapsed="false">
      <c r="A821" s="19"/>
      <c r="B821" s="17"/>
      <c r="C821" s="11" t="str">
        <f aca="false">IF(B821="","",IFERROR(INDEX(Students!$B$4:$B$203,MATCH(B821,Students!$A$4:$A$203,0)),""))</f>
        <v/>
      </c>
      <c r="D821" s="11" t="str">
        <f aca="false">IF(B821="","",IFERROR(INDEX(Students!$H$4:$H$203,MATCH(B821,Students!$A$4:$A$203,0)),""))</f>
        <v/>
      </c>
      <c r="E821" s="18"/>
      <c r="F821" s="18"/>
      <c r="G821" s="18"/>
      <c r="H821" s="18"/>
      <c r="I821" s="18"/>
      <c r="J821" s="18"/>
      <c r="K821" s="18"/>
      <c r="L821" s="18"/>
    </row>
    <row r="822" customFormat="false" ht="15" hidden="false" customHeight="true" outlineLevel="0" collapsed="false">
      <c r="A822" s="19"/>
      <c r="B822" s="17"/>
      <c r="C822" s="11" t="str">
        <f aca="false">IF(B822="","",IFERROR(INDEX(Students!$B$4:$B$203,MATCH(B822,Students!$A$4:$A$203,0)),""))</f>
        <v/>
      </c>
      <c r="D822" s="11" t="str">
        <f aca="false">IF(B822="","",IFERROR(INDEX(Students!$H$4:$H$203,MATCH(B822,Students!$A$4:$A$203,0)),""))</f>
        <v/>
      </c>
      <c r="E822" s="18"/>
      <c r="F822" s="18"/>
      <c r="G822" s="18"/>
      <c r="H822" s="18"/>
      <c r="I822" s="18"/>
      <c r="J822" s="18"/>
      <c r="K822" s="18"/>
      <c r="L822" s="18"/>
    </row>
    <row r="823" customFormat="false" ht="15" hidden="false" customHeight="true" outlineLevel="0" collapsed="false">
      <c r="A823" s="19"/>
      <c r="B823" s="17"/>
      <c r="C823" s="11" t="str">
        <f aca="false">IF(B823="","",IFERROR(INDEX(Students!$B$4:$B$203,MATCH(B823,Students!$A$4:$A$203,0)),""))</f>
        <v/>
      </c>
      <c r="D823" s="11" t="str">
        <f aca="false">IF(B823="","",IFERROR(INDEX(Students!$H$4:$H$203,MATCH(B823,Students!$A$4:$A$203,0)),""))</f>
        <v/>
      </c>
      <c r="E823" s="18"/>
      <c r="F823" s="18"/>
      <c r="G823" s="18"/>
      <c r="H823" s="18"/>
      <c r="I823" s="18"/>
      <c r="J823" s="18"/>
      <c r="K823" s="18"/>
      <c r="L823" s="18"/>
    </row>
    <row r="824" customFormat="false" ht="15" hidden="false" customHeight="true" outlineLevel="0" collapsed="false">
      <c r="A824" s="19"/>
      <c r="B824" s="17"/>
      <c r="C824" s="11" t="str">
        <f aca="false">IF(B824="","",IFERROR(INDEX(Students!$B$4:$B$203,MATCH(B824,Students!$A$4:$A$203,0)),""))</f>
        <v/>
      </c>
      <c r="D824" s="11" t="str">
        <f aca="false">IF(B824="","",IFERROR(INDEX(Students!$H$4:$H$203,MATCH(B824,Students!$A$4:$A$203,0)),""))</f>
        <v/>
      </c>
      <c r="E824" s="18"/>
      <c r="F824" s="18"/>
      <c r="G824" s="18"/>
      <c r="H824" s="18"/>
      <c r="I824" s="18"/>
      <c r="J824" s="18"/>
      <c r="K824" s="18"/>
      <c r="L824" s="18"/>
    </row>
    <row r="825" customFormat="false" ht="15" hidden="false" customHeight="true" outlineLevel="0" collapsed="false">
      <c r="A825" s="19"/>
      <c r="B825" s="17"/>
      <c r="C825" s="11" t="str">
        <f aca="false">IF(B825="","",IFERROR(INDEX(Students!$B$4:$B$203,MATCH(B825,Students!$A$4:$A$203,0)),""))</f>
        <v/>
      </c>
      <c r="D825" s="11" t="str">
        <f aca="false">IF(B825="","",IFERROR(INDEX(Students!$H$4:$H$203,MATCH(B825,Students!$A$4:$A$203,0)),""))</f>
        <v/>
      </c>
      <c r="E825" s="18"/>
      <c r="F825" s="18"/>
      <c r="G825" s="18"/>
      <c r="H825" s="18"/>
      <c r="I825" s="18"/>
      <c r="J825" s="18"/>
      <c r="K825" s="18"/>
      <c r="L825" s="18"/>
    </row>
    <row r="826" customFormat="false" ht="15" hidden="false" customHeight="true" outlineLevel="0" collapsed="false">
      <c r="A826" s="19"/>
      <c r="B826" s="17"/>
      <c r="C826" s="11" t="str">
        <f aca="false">IF(B826="","",IFERROR(INDEX(Students!$B$4:$B$203,MATCH(B826,Students!$A$4:$A$203,0)),""))</f>
        <v/>
      </c>
      <c r="D826" s="11" t="str">
        <f aca="false">IF(B826="","",IFERROR(INDEX(Students!$H$4:$H$203,MATCH(B826,Students!$A$4:$A$203,0)),""))</f>
        <v/>
      </c>
      <c r="E826" s="18"/>
      <c r="F826" s="18"/>
      <c r="G826" s="18"/>
      <c r="H826" s="18"/>
      <c r="I826" s="18"/>
      <c r="J826" s="18"/>
      <c r="K826" s="18"/>
      <c r="L826" s="18"/>
    </row>
    <row r="827" customFormat="false" ht="15" hidden="false" customHeight="true" outlineLevel="0" collapsed="false">
      <c r="A827" s="19"/>
      <c r="B827" s="17"/>
      <c r="C827" s="11" t="str">
        <f aca="false">IF(B827="","",IFERROR(INDEX(Students!$B$4:$B$203,MATCH(B827,Students!$A$4:$A$203,0)),""))</f>
        <v/>
      </c>
      <c r="D827" s="11" t="str">
        <f aca="false">IF(B827="","",IFERROR(INDEX(Students!$H$4:$H$203,MATCH(B827,Students!$A$4:$A$203,0)),""))</f>
        <v/>
      </c>
      <c r="E827" s="18"/>
      <c r="F827" s="18"/>
      <c r="G827" s="18"/>
      <c r="H827" s="18"/>
      <c r="I827" s="18"/>
      <c r="J827" s="18"/>
      <c r="K827" s="18"/>
      <c r="L827" s="18"/>
    </row>
    <row r="828" customFormat="false" ht="15" hidden="false" customHeight="true" outlineLevel="0" collapsed="false">
      <c r="A828" s="19"/>
      <c r="B828" s="17"/>
      <c r="C828" s="11" t="str">
        <f aca="false">IF(B828="","",IFERROR(INDEX(Students!$B$4:$B$203,MATCH(B828,Students!$A$4:$A$203,0)),""))</f>
        <v/>
      </c>
      <c r="D828" s="11" t="str">
        <f aca="false">IF(B828="","",IFERROR(INDEX(Students!$H$4:$H$203,MATCH(B828,Students!$A$4:$A$203,0)),""))</f>
        <v/>
      </c>
      <c r="E828" s="18"/>
      <c r="F828" s="18"/>
      <c r="G828" s="18"/>
      <c r="H828" s="18"/>
      <c r="I828" s="18"/>
      <c r="J828" s="18"/>
      <c r="K828" s="18"/>
      <c r="L828" s="18"/>
    </row>
    <row r="829" customFormat="false" ht="15" hidden="false" customHeight="true" outlineLevel="0" collapsed="false">
      <c r="A829" s="19"/>
      <c r="B829" s="17"/>
      <c r="C829" s="11" t="str">
        <f aca="false">IF(B829="","",IFERROR(INDEX(Students!$B$4:$B$203,MATCH(B829,Students!$A$4:$A$203,0)),""))</f>
        <v/>
      </c>
      <c r="D829" s="11" t="str">
        <f aca="false">IF(B829="","",IFERROR(INDEX(Students!$H$4:$H$203,MATCH(B829,Students!$A$4:$A$203,0)),""))</f>
        <v/>
      </c>
      <c r="E829" s="18"/>
      <c r="F829" s="18"/>
      <c r="G829" s="18"/>
      <c r="H829" s="18"/>
      <c r="I829" s="18"/>
      <c r="J829" s="18"/>
      <c r="K829" s="18"/>
      <c r="L829" s="18"/>
    </row>
    <row r="830" customFormat="false" ht="15" hidden="false" customHeight="true" outlineLevel="0" collapsed="false">
      <c r="A830" s="19"/>
      <c r="B830" s="17"/>
      <c r="C830" s="11" t="str">
        <f aca="false">IF(B830="","",IFERROR(INDEX(Students!$B$4:$B$203,MATCH(B830,Students!$A$4:$A$203,0)),""))</f>
        <v/>
      </c>
      <c r="D830" s="11" t="str">
        <f aca="false">IF(B830="","",IFERROR(INDEX(Students!$H$4:$H$203,MATCH(B830,Students!$A$4:$A$203,0)),""))</f>
        <v/>
      </c>
      <c r="E830" s="18"/>
      <c r="F830" s="18"/>
      <c r="G830" s="18"/>
      <c r="H830" s="18"/>
      <c r="I830" s="18"/>
      <c r="J830" s="18"/>
      <c r="K830" s="18"/>
      <c r="L830" s="18"/>
    </row>
    <row r="831" customFormat="false" ht="15" hidden="false" customHeight="true" outlineLevel="0" collapsed="false">
      <c r="A831" s="19"/>
      <c r="B831" s="17"/>
      <c r="C831" s="11" t="str">
        <f aca="false">IF(B831="","",IFERROR(INDEX(Students!$B$4:$B$203,MATCH(B831,Students!$A$4:$A$203,0)),""))</f>
        <v/>
      </c>
      <c r="D831" s="11" t="str">
        <f aca="false">IF(B831="","",IFERROR(INDEX(Students!$H$4:$H$203,MATCH(B831,Students!$A$4:$A$203,0)),""))</f>
        <v/>
      </c>
      <c r="E831" s="18"/>
      <c r="F831" s="18"/>
      <c r="G831" s="18"/>
      <c r="H831" s="18"/>
      <c r="I831" s="18"/>
      <c r="J831" s="18"/>
      <c r="K831" s="18"/>
      <c r="L831" s="18"/>
    </row>
    <row r="832" customFormat="false" ht="15" hidden="false" customHeight="true" outlineLevel="0" collapsed="false">
      <c r="A832" s="19"/>
      <c r="B832" s="17"/>
      <c r="C832" s="11" t="str">
        <f aca="false">IF(B832="","",IFERROR(INDEX(Students!$B$4:$B$203,MATCH(B832,Students!$A$4:$A$203,0)),""))</f>
        <v/>
      </c>
      <c r="D832" s="11" t="str">
        <f aca="false">IF(B832="","",IFERROR(INDEX(Students!$H$4:$H$203,MATCH(B832,Students!$A$4:$A$203,0)),""))</f>
        <v/>
      </c>
      <c r="E832" s="18"/>
      <c r="F832" s="18"/>
      <c r="G832" s="18"/>
      <c r="H832" s="18"/>
      <c r="I832" s="18"/>
      <c r="J832" s="18"/>
      <c r="K832" s="18"/>
      <c r="L832" s="18"/>
    </row>
    <row r="833" customFormat="false" ht="15" hidden="false" customHeight="true" outlineLevel="0" collapsed="false">
      <c r="A833" s="19"/>
      <c r="B833" s="17"/>
      <c r="C833" s="11" t="str">
        <f aca="false">IF(B833="","",IFERROR(INDEX(Students!$B$4:$B$203,MATCH(B833,Students!$A$4:$A$203,0)),""))</f>
        <v/>
      </c>
      <c r="D833" s="11" t="str">
        <f aca="false">IF(B833="","",IFERROR(INDEX(Students!$H$4:$H$203,MATCH(B833,Students!$A$4:$A$203,0)),""))</f>
        <v/>
      </c>
      <c r="E833" s="18"/>
      <c r="F833" s="18"/>
      <c r="G833" s="18"/>
      <c r="H833" s="18"/>
      <c r="I833" s="18"/>
      <c r="J833" s="18"/>
      <c r="K833" s="18"/>
      <c r="L833" s="18"/>
    </row>
    <row r="834" customFormat="false" ht="15" hidden="false" customHeight="true" outlineLevel="0" collapsed="false">
      <c r="A834" s="19"/>
      <c r="B834" s="17"/>
      <c r="C834" s="11" t="str">
        <f aca="false">IF(B834="","",IFERROR(INDEX(Students!$B$4:$B$203,MATCH(B834,Students!$A$4:$A$203,0)),""))</f>
        <v/>
      </c>
      <c r="D834" s="11" t="str">
        <f aca="false">IF(B834="","",IFERROR(INDEX(Students!$H$4:$H$203,MATCH(B834,Students!$A$4:$A$203,0)),""))</f>
        <v/>
      </c>
      <c r="E834" s="18"/>
      <c r="F834" s="18"/>
      <c r="G834" s="18"/>
      <c r="H834" s="18"/>
      <c r="I834" s="18"/>
      <c r="J834" s="18"/>
      <c r="K834" s="18"/>
      <c r="L834" s="18"/>
    </row>
    <row r="835" customFormat="false" ht="15" hidden="false" customHeight="true" outlineLevel="0" collapsed="false">
      <c r="A835" s="19"/>
      <c r="B835" s="17"/>
      <c r="C835" s="11" t="str">
        <f aca="false">IF(B835="","",IFERROR(INDEX(Students!$B$4:$B$203,MATCH(B835,Students!$A$4:$A$203,0)),""))</f>
        <v/>
      </c>
      <c r="D835" s="11" t="str">
        <f aca="false">IF(B835="","",IFERROR(INDEX(Students!$H$4:$H$203,MATCH(B835,Students!$A$4:$A$203,0)),""))</f>
        <v/>
      </c>
      <c r="E835" s="18"/>
      <c r="F835" s="18"/>
      <c r="G835" s="18"/>
      <c r="H835" s="18"/>
      <c r="I835" s="18"/>
      <c r="J835" s="18"/>
      <c r="K835" s="18"/>
      <c r="L835" s="18"/>
    </row>
    <row r="836" customFormat="false" ht="15" hidden="false" customHeight="true" outlineLevel="0" collapsed="false">
      <c r="A836" s="19"/>
      <c r="B836" s="17"/>
      <c r="C836" s="11" t="str">
        <f aca="false">IF(B836="","",IFERROR(INDEX(Students!$B$4:$B$203,MATCH(B836,Students!$A$4:$A$203,0)),""))</f>
        <v/>
      </c>
      <c r="D836" s="11" t="str">
        <f aca="false">IF(B836="","",IFERROR(INDEX(Students!$H$4:$H$203,MATCH(B836,Students!$A$4:$A$203,0)),""))</f>
        <v/>
      </c>
      <c r="E836" s="18"/>
      <c r="F836" s="18"/>
      <c r="G836" s="18"/>
      <c r="H836" s="18"/>
      <c r="I836" s="18"/>
      <c r="J836" s="18"/>
      <c r="K836" s="18"/>
      <c r="L836" s="18"/>
    </row>
    <row r="837" customFormat="false" ht="15" hidden="false" customHeight="true" outlineLevel="0" collapsed="false">
      <c r="A837" s="19"/>
      <c r="B837" s="17"/>
      <c r="C837" s="11" t="str">
        <f aca="false">IF(B837="","",IFERROR(INDEX(Students!$B$4:$B$203,MATCH(B837,Students!$A$4:$A$203,0)),""))</f>
        <v/>
      </c>
      <c r="D837" s="11" t="str">
        <f aca="false">IF(B837="","",IFERROR(INDEX(Students!$H$4:$H$203,MATCH(B837,Students!$A$4:$A$203,0)),""))</f>
        <v/>
      </c>
      <c r="E837" s="18"/>
      <c r="F837" s="18"/>
      <c r="G837" s="18"/>
      <c r="H837" s="18"/>
      <c r="I837" s="18"/>
      <c r="J837" s="18"/>
      <c r="K837" s="18"/>
      <c r="L837" s="18"/>
    </row>
    <row r="838" customFormat="false" ht="15" hidden="false" customHeight="true" outlineLevel="0" collapsed="false">
      <c r="A838" s="19"/>
      <c r="B838" s="17"/>
      <c r="C838" s="11" t="str">
        <f aca="false">IF(B838="","",IFERROR(INDEX(Students!$B$4:$B$203,MATCH(B838,Students!$A$4:$A$203,0)),""))</f>
        <v/>
      </c>
      <c r="D838" s="11" t="str">
        <f aca="false">IF(B838="","",IFERROR(INDEX(Students!$H$4:$H$203,MATCH(B838,Students!$A$4:$A$203,0)),""))</f>
        <v/>
      </c>
      <c r="E838" s="18"/>
      <c r="F838" s="18"/>
      <c r="G838" s="18"/>
      <c r="H838" s="18"/>
      <c r="I838" s="18"/>
      <c r="J838" s="18"/>
      <c r="K838" s="18"/>
      <c r="L838" s="18"/>
    </row>
    <row r="839" customFormat="false" ht="15" hidden="false" customHeight="true" outlineLevel="0" collapsed="false">
      <c r="A839" s="19"/>
      <c r="B839" s="17"/>
      <c r="C839" s="11" t="str">
        <f aca="false">IF(B839="","",IFERROR(INDEX(Students!$B$4:$B$203,MATCH(B839,Students!$A$4:$A$203,0)),""))</f>
        <v/>
      </c>
      <c r="D839" s="11" t="str">
        <f aca="false">IF(B839="","",IFERROR(INDEX(Students!$H$4:$H$203,MATCH(B839,Students!$A$4:$A$203,0)),""))</f>
        <v/>
      </c>
      <c r="E839" s="18"/>
      <c r="F839" s="18"/>
      <c r="G839" s="18"/>
      <c r="H839" s="18"/>
      <c r="I839" s="18"/>
      <c r="J839" s="18"/>
      <c r="K839" s="18"/>
      <c r="L839" s="18"/>
    </row>
    <row r="840" customFormat="false" ht="15" hidden="false" customHeight="true" outlineLevel="0" collapsed="false">
      <c r="A840" s="19"/>
      <c r="B840" s="17"/>
      <c r="C840" s="11" t="str">
        <f aca="false">IF(B840="","",IFERROR(INDEX(Students!$B$4:$B$203,MATCH(B840,Students!$A$4:$A$203,0)),""))</f>
        <v/>
      </c>
      <c r="D840" s="11" t="str">
        <f aca="false">IF(B840="","",IFERROR(INDEX(Students!$H$4:$H$203,MATCH(B840,Students!$A$4:$A$203,0)),""))</f>
        <v/>
      </c>
      <c r="E840" s="18"/>
      <c r="F840" s="18"/>
      <c r="G840" s="18"/>
      <c r="H840" s="18"/>
      <c r="I840" s="18"/>
      <c r="J840" s="18"/>
      <c r="K840" s="18"/>
      <c r="L840" s="18"/>
    </row>
    <row r="841" customFormat="false" ht="15" hidden="false" customHeight="true" outlineLevel="0" collapsed="false">
      <c r="A841" s="19"/>
      <c r="B841" s="17"/>
      <c r="C841" s="11" t="str">
        <f aca="false">IF(B841="","",IFERROR(INDEX(Students!$B$4:$B$203,MATCH(B841,Students!$A$4:$A$203,0)),""))</f>
        <v/>
      </c>
      <c r="D841" s="11" t="str">
        <f aca="false">IF(B841="","",IFERROR(INDEX(Students!$H$4:$H$203,MATCH(B841,Students!$A$4:$A$203,0)),""))</f>
        <v/>
      </c>
      <c r="E841" s="18"/>
      <c r="F841" s="18"/>
      <c r="G841" s="18"/>
      <c r="H841" s="18"/>
      <c r="I841" s="18"/>
      <c r="J841" s="18"/>
      <c r="K841" s="18"/>
      <c r="L841" s="18"/>
    </row>
    <row r="842" customFormat="false" ht="15" hidden="false" customHeight="true" outlineLevel="0" collapsed="false">
      <c r="A842" s="19"/>
      <c r="B842" s="17"/>
      <c r="C842" s="11" t="str">
        <f aca="false">IF(B842="","",IFERROR(INDEX(Students!$B$4:$B$203,MATCH(B842,Students!$A$4:$A$203,0)),""))</f>
        <v/>
      </c>
      <c r="D842" s="11" t="str">
        <f aca="false">IF(B842="","",IFERROR(INDEX(Students!$H$4:$H$203,MATCH(B842,Students!$A$4:$A$203,0)),""))</f>
        <v/>
      </c>
      <c r="E842" s="18"/>
      <c r="F842" s="18"/>
      <c r="G842" s="18"/>
      <c r="H842" s="18"/>
      <c r="I842" s="18"/>
      <c r="J842" s="18"/>
      <c r="K842" s="18"/>
      <c r="L842" s="18"/>
    </row>
    <row r="843" customFormat="false" ht="15" hidden="false" customHeight="true" outlineLevel="0" collapsed="false">
      <c r="A843" s="19"/>
      <c r="B843" s="17"/>
      <c r="C843" s="11" t="str">
        <f aca="false">IF(B843="","",IFERROR(INDEX(Students!$B$4:$B$203,MATCH(B843,Students!$A$4:$A$203,0)),""))</f>
        <v/>
      </c>
      <c r="D843" s="11" t="str">
        <f aca="false">IF(B843="","",IFERROR(INDEX(Students!$H$4:$H$203,MATCH(B843,Students!$A$4:$A$203,0)),""))</f>
        <v/>
      </c>
      <c r="E843" s="18"/>
      <c r="F843" s="18"/>
      <c r="G843" s="18"/>
      <c r="H843" s="18"/>
      <c r="I843" s="18"/>
      <c r="J843" s="18"/>
      <c r="K843" s="18"/>
      <c r="L843" s="18"/>
    </row>
    <row r="844" customFormat="false" ht="15" hidden="false" customHeight="true" outlineLevel="0" collapsed="false">
      <c r="A844" s="19"/>
      <c r="B844" s="17"/>
      <c r="C844" s="11" t="str">
        <f aca="false">IF(B844="","",IFERROR(INDEX(Students!$B$4:$B$203,MATCH(B844,Students!$A$4:$A$203,0)),""))</f>
        <v/>
      </c>
      <c r="D844" s="11" t="str">
        <f aca="false">IF(B844="","",IFERROR(INDEX(Students!$H$4:$H$203,MATCH(B844,Students!$A$4:$A$203,0)),""))</f>
        <v/>
      </c>
      <c r="E844" s="18"/>
      <c r="F844" s="18"/>
      <c r="G844" s="18"/>
      <c r="H844" s="18"/>
      <c r="I844" s="18"/>
      <c r="J844" s="18"/>
      <c r="K844" s="18"/>
      <c r="L844" s="18"/>
    </row>
    <row r="845" customFormat="false" ht="15" hidden="false" customHeight="true" outlineLevel="0" collapsed="false">
      <c r="A845" s="19"/>
      <c r="B845" s="17"/>
      <c r="C845" s="11" t="str">
        <f aca="false">IF(B845="","",IFERROR(INDEX(Students!$B$4:$B$203,MATCH(B845,Students!$A$4:$A$203,0)),""))</f>
        <v/>
      </c>
      <c r="D845" s="11" t="str">
        <f aca="false">IF(B845="","",IFERROR(INDEX(Students!$H$4:$H$203,MATCH(B845,Students!$A$4:$A$203,0)),""))</f>
        <v/>
      </c>
      <c r="E845" s="18"/>
      <c r="F845" s="18"/>
      <c r="G845" s="18"/>
      <c r="H845" s="18"/>
      <c r="I845" s="18"/>
      <c r="J845" s="18"/>
      <c r="K845" s="18"/>
      <c r="L845" s="18"/>
    </row>
    <row r="846" customFormat="false" ht="15" hidden="false" customHeight="true" outlineLevel="0" collapsed="false">
      <c r="A846" s="19"/>
      <c r="B846" s="17"/>
      <c r="C846" s="11" t="str">
        <f aca="false">IF(B846="","",IFERROR(INDEX(Students!$B$4:$B$203,MATCH(B846,Students!$A$4:$A$203,0)),""))</f>
        <v/>
      </c>
      <c r="D846" s="11" t="str">
        <f aca="false">IF(B846="","",IFERROR(INDEX(Students!$H$4:$H$203,MATCH(B846,Students!$A$4:$A$203,0)),""))</f>
        <v/>
      </c>
      <c r="E846" s="18"/>
      <c r="F846" s="18"/>
      <c r="G846" s="18"/>
      <c r="H846" s="18"/>
      <c r="I846" s="18"/>
      <c r="J846" s="18"/>
      <c r="K846" s="18"/>
      <c r="L846" s="18"/>
    </row>
    <row r="847" customFormat="false" ht="15" hidden="false" customHeight="true" outlineLevel="0" collapsed="false">
      <c r="A847" s="19"/>
      <c r="B847" s="17"/>
      <c r="C847" s="11" t="str">
        <f aca="false">IF(B847="","",IFERROR(INDEX(Students!$B$4:$B$203,MATCH(B847,Students!$A$4:$A$203,0)),""))</f>
        <v/>
      </c>
      <c r="D847" s="11" t="str">
        <f aca="false">IF(B847="","",IFERROR(INDEX(Students!$H$4:$H$203,MATCH(B847,Students!$A$4:$A$203,0)),""))</f>
        <v/>
      </c>
      <c r="E847" s="18"/>
      <c r="F847" s="18"/>
      <c r="G847" s="18"/>
      <c r="H847" s="18"/>
      <c r="I847" s="18"/>
      <c r="J847" s="18"/>
      <c r="K847" s="18"/>
      <c r="L847" s="18"/>
    </row>
    <row r="848" customFormat="false" ht="15" hidden="false" customHeight="true" outlineLevel="0" collapsed="false">
      <c r="A848" s="19"/>
      <c r="B848" s="17"/>
      <c r="C848" s="11" t="str">
        <f aca="false">IF(B848="","",IFERROR(INDEX(Students!$B$4:$B$203,MATCH(B848,Students!$A$4:$A$203,0)),""))</f>
        <v/>
      </c>
      <c r="D848" s="11" t="str">
        <f aca="false">IF(B848="","",IFERROR(INDEX(Students!$H$4:$H$203,MATCH(B848,Students!$A$4:$A$203,0)),""))</f>
        <v/>
      </c>
      <c r="E848" s="18"/>
      <c r="F848" s="18"/>
      <c r="G848" s="18"/>
      <c r="H848" s="18"/>
      <c r="I848" s="18"/>
      <c r="J848" s="18"/>
      <c r="K848" s="18"/>
      <c r="L848" s="18"/>
    </row>
    <row r="849" customFormat="false" ht="15" hidden="false" customHeight="true" outlineLevel="0" collapsed="false">
      <c r="A849" s="19"/>
      <c r="B849" s="17"/>
      <c r="C849" s="11" t="str">
        <f aca="false">IF(B849="","",IFERROR(INDEX(Students!$B$4:$B$203,MATCH(B849,Students!$A$4:$A$203,0)),""))</f>
        <v/>
      </c>
      <c r="D849" s="11" t="str">
        <f aca="false">IF(B849="","",IFERROR(INDEX(Students!$H$4:$H$203,MATCH(B849,Students!$A$4:$A$203,0)),""))</f>
        <v/>
      </c>
      <c r="E849" s="18"/>
      <c r="F849" s="18"/>
      <c r="G849" s="18"/>
      <c r="H849" s="18"/>
      <c r="I849" s="18"/>
      <c r="J849" s="18"/>
      <c r="K849" s="18"/>
      <c r="L849" s="18"/>
    </row>
    <row r="850" customFormat="false" ht="15" hidden="false" customHeight="true" outlineLevel="0" collapsed="false">
      <c r="A850" s="19"/>
      <c r="B850" s="17"/>
      <c r="C850" s="11" t="str">
        <f aca="false">IF(B850="","",IFERROR(INDEX(Students!$B$4:$B$203,MATCH(B850,Students!$A$4:$A$203,0)),""))</f>
        <v/>
      </c>
      <c r="D850" s="11" t="str">
        <f aca="false">IF(B850="","",IFERROR(INDEX(Students!$H$4:$H$203,MATCH(B850,Students!$A$4:$A$203,0)),""))</f>
        <v/>
      </c>
      <c r="E850" s="18"/>
      <c r="F850" s="18"/>
      <c r="G850" s="18"/>
      <c r="H850" s="18"/>
      <c r="I850" s="18"/>
      <c r="J850" s="18"/>
      <c r="K850" s="18"/>
      <c r="L850" s="18"/>
    </row>
    <row r="851" customFormat="false" ht="15" hidden="false" customHeight="true" outlineLevel="0" collapsed="false">
      <c r="A851" s="19"/>
      <c r="B851" s="17"/>
      <c r="C851" s="11" t="str">
        <f aca="false">IF(B851="","",IFERROR(INDEX(Students!$B$4:$B$203,MATCH(B851,Students!$A$4:$A$203,0)),""))</f>
        <v/>
      </c>
      <c r="D851" s="11" t="str">
        <f aca="false">IF(B851="","",IFERROR(INDEX(Students!$H$4:$H$203,MATCH(B851,Students!$A$4:$A$203,0)),""))</f>
        <v/>
      </c>
      <c r="E851" s="18"/>
      <c r="F851" s="18"/>
      <c r="G851" s="18"/>
      <c r="H851" s="18"/>
      <c r="I851" s="18"/>
      <c r="J851" s="18"/>
      <c r="K851" s="18"/>
      <c r="L851" s="18"/>
    </row>
    <row r="852" customFormat="false" ht="15" hidden="false" customHeight="true" outlineLevel="0" collapsed="false">
      <c r="A852" s="19"/>
      <c r="B852" s="17"/>
      <c r="C852" s="11" t="str">
        <f aca="false">IF(B852="","",IFERROR(INDEX(Students!$B$4:$B$203,MATCH(B852,Students!$A$4:$A$203,0)),""))</f>
        <v/>
      </c>
      <c r="D852" s="11" t="str">
        <f aca="false">IF(B852="","",IFERROR(INDEX(Students!$H$4:$H$203,MATCH(B852,Students!$A$4:$A$203,0)),""))</f>
        <v/>
      </c>
      <c r="E852" s="18"/>
      <c r="F852" s="18"/>
      <c r="G852" s="18"/>
      <c r="H852" s="18"/>
      <c r="I852" s="18"/>
      <c r="J852" s="18"/>
      <c r="K852" s="18"/>
      <c r="L852" s="18"/>
    </row>
    <row r="853" customFormat="false" ht="15" hidden="false" customHeight="true" outlineLevel="0" collapsed="false">
      <c r="A853" s="19"/>
      <c r="B853" s="17"/>
      <c r="C853" s="11" t="str">
        <f aca="false">IF(B853="","",IFERROR(INDEX(Students!$B$4:$B$203,MATCH(B853,Students!$A$4:$A$203,0)),""))</f>
        <v/>
      </c>
      <c r="D853" s="11" t="str">
        <f aca="false">IF(B853="","",IFERROR(INDEX(Students!$H$4:$H$203,MATCH(B853,Students!$A$4:$A$203,0)),""))</f>
        <v/>
      </c>
      <c r="E853" s="18"/>
      <c r="F853" s="18"/>
      <c r="G853" s="18"/>
      <c r="H853" s="18"/>
      <c r="I853" s="18"/>
      <c r="J853" s="18"/>
      <c r="K853" s="18"/>
      <c r="L853" s="18"/>
    </row>
    <row r="854" customFormat="false" ht="15" hidden="false" customHeight="true" outlineLevel="0" collapsed="false">
      <c r="A854" s="19"/>
      <c r="B854" s="17"/>
      <c r="C854" s="11" t="str">
        <f aca="false">IF(B854="","",IFERROR(INDEX(Students!$B$4:$B$203,MATCH(B854,Students!$A$4:$A$203,0)),""))</f>
        <v/>
      </c>
      <c r="D854" s="11" t="str">
        <f aca="false">IF(B854="","",IFERROR(INDEX(Students!$H$4:$H$203,MATCH(B854,Students!$A$4:$A$203,0)),""))</f>
        <v/>
      </c>
      <c r="E854" s="18"/>
      <c r="F854" s="18"/>
      <c r="G854" s="18"/>
      <c r="H854" s="18"/>
      <c r="I854" s="18"/>
      <c r="J854" s="18"/>
      <c r="K854" s="18"/>
      <c r="L854" s="18"/>
    </row>
    <row r="855" customFormat="false" ht="15" hidden="false" customHeight="true" outlineLevel="0" collapsed="false">
      <c r="A855" s="19"/>
      <c r="B855" s="17"/>
      <c r="C855" s="11" t="str">
        <f aca="false">IF(B855="","",IFERROR(INDEX(Students!$B$4:$B$203,MATCH(B855,Students!$A$4:$A$203,0)),""))</f>
        <v/>
      </c>
      <c r="D855" s="11" t="str">
        <f aca="false">IF(B855="","",IFERROR(INDEX(Students!$H$4:$H$203,MATCH(B855,Students!$A$4:$A$203,0)),""))</f>
        <v/>
      </c>
      <c r="E855" s="18"/>
      <c r="F855" s="18"/>
      <c r="G855" s="18"/>
      <c r="H855" s="18"/>
      <c r="I855" s="18"/>
      <c r="J855" s="18"/>
      <c r="K855" s="18"/>
      <c r="L855" s="18"/>
    </row>
    <row r="856" customFormat="false" ht="15" hidden="false" customHeight="true" outlineLevel="0" collapsed="false">
      <c r="A856" s="19"/>
      <c r="B856" s="17"/>
      <c r="C856" s="11" t="str">
        <f aca="false">IF(B856="","",IFERROR(INDEX(Students!$B$4:$B$203,MATCH(B856,Students!$A$4:$A$203,0)),""))</f>
        <v/>
      </c>
      <c r="D856" s="11" t="str">
        <f aca="false">IF(B856="","",IFERROR(INDEX(Students!$H$4:$H$203,MATCH(B856,Students!$A$4:$A$203,0)),""))</f>
        <v/>
      </c>
      <c r="E856" s="18"/>
      <c r="F856" s="18"/>
      <c r="G856" s="18"/>
      <c r="H856" s="18"/>
      <c r="I856" s="18"/>
      <c r="J856" s="18"/>
      <c r="K856" s="18"/>
      <c r="L856" s="18"/>
    </row>
    <row r="857" customFormat="false" ht="15" hidden="false" customHeight="true" outlineLevel="0" collapsed="false">
      <c r="A857" s="19"/>
      <c r="B857" s="17"/>
      <c r="C857" s="11" t="str">
        <f aca="false">IF(B857="","",IFERROR(INDEX(Students!$B$4:$B$203,MATCH(B857,Students!$A$4:$A$203,0)),""))</f>
        <v/>
      </c>
      <c r="D857" s="11" t="str">
        <f aca="false">IF(B857="","",IFERROR(INDEX(Students!$H$4:$H$203,MATCH(B857,Students!$A$4:$A$203,0)),""))</f>
        <v/>
      </c>
      <c r="E857" s="18"/>
      <c r="F857" s="18"/>
      <c r="G857" s="18"/>
      <c r="H857" s="18"/>
      <c r="I857" s="18"/>
      <c r="J857" s="18"/>
      <c r="K857" s="18"/>
      <c r="L857" s="18"/>
    </row>
    <row r="858" customFormat="false" ht="15" hidden="false" customHeight="true" outlineLevel="0" collapsed="false">
      <c r="A858" s="19"/>
      <c r="B858" s="17"/>
      <c r="C858" s="11" t="str">
        <f aca="false">IF(B858="","",IFERROR(INDEX(Students!$B$4:$B$203,MATCH(B858,Students!$A$4:$A$203,0)),""))</f>
        <v/>
      </c>
      <c r="D858" s="11" t="str">
        <f aca="false">IF(B858="","",IFERROR(INDEX(Students!$H$4:$H$203,MATCH(B858,Students!$A$4:$A$203,0)),""))</f>
        <v/>
      </c>
      <c r="E858" s="18"/>
      <c r="F858" s="18"/>
      <c r="G858" s="18"/>
      <c r="H858" s="18"/>
      <c r="I858" s="18"/>
      <c r="J858" s="18"/>
      <c r="K858" s="18"/>
      <c r="L858" s="18"/>
    </row>
    <row r="859" customFormat="false" ht="15" hidden="false" customHeight="true" outlineLevel="0" collapsed="false">
      <c r="A859" s="19"/>
      <c r="B859" s="17"/>
      <c r="C859" s="11" t="str">
        <f aca="false">IF(B859="","",IFERROR(INDEX(Students!$B$4:$B$203,MATCH(B859,Students!$A$4:$A$203,0)),""))</f>
        <v/>
      </c>
      <c r="D859" s="11" t="str">
        <f aca="false">IF(B859="","",IFERROR(INDEX(Students!$H$4:$H$203,MATCH(B859,Students!$A$4:$A$203,0)),""))</f>
        <v/>
      </c>
      <c r="E859" s="18"/>
      <c r="F859" s="18"/>
      <c r="G859" s="18"/>
      <c r="H859" s="18"/>
      <c r="I859" s="18"/>
      <c r="J859" s="18"/>
      <c r="K859" s="18"/>
      <c r="L859" s="18"/>
    </row>
    <row r="860" customFormat="false" ht="15" hidden="false" customHeight="true" outlineLevel="0" collapsed="false">
      <c r="A860" s="19"/>
      <c r="B860" s="17"/>
      <c r="C860" s="11" t="str">
        <f aca="false">IF(B860="","",IFERROR(INDEX(Students!$B$4:$B$203,MATCH(B860,Students!$A$4:$A$203,0)),""))</f>
        <v/>
      </c>
      <c r="D860" s="11" t="str">
        <f aca="false">IF(B860="","",IFERROR(INDEX(Students!$H$4:$H$203,MATCH(B860,Students!$A$4:$A$203,0)),""))</f>
        <v/>
      </c>
      <c r="E860" s="18"/>
      <c r="F860" s="18"/>
      <c r="G860" s="18"/>
      <c r="H860" s="18"/>
      <c r="I860" s="18"/>
      <c r="J860" s="18"/>
      <c r="K860" s="18"/>
      <c r="L860" s="18"/>
    </row>
    <row r="861" customFormat="false" ht="15" hidden="false" customHeight="true" outlineLevel="0" collapsed="false">
      <c r="A861" s="19"/>
      <c r="B861" s="17"/>
      <c r="C861" s="11" t="str">
        <f aca="false">IF(B861="","",IFERROR(INDEX(Students!$B$4:$B$203,MATCH(B861,Students!$A$4:$A$203,0)),""))</f>
        <v/>
      </c>
      <c r="D861" s="11" t="str">
        <f aca="false">IF(B861="","",IFERROR(INDEX(Students!$H$4:$H$203,MATCH(B861,Students!$A$4:$A$203,0)),""))</f>
        <v/>
      </c>
      <c r="E861" s="18"/>
      <c r="F861" s="18"/>
      <c r="G861" s="18"/>
      <c r="H861" s="18"/>
      <c r="I861" s="18"/>
      <c r="J861" s="18"/>
      <c r="K861" s="18"/>
      <c r="L861" s="18"/>
    </row>
    <row r="862" customFormat="false" ht="15" hidden="false" customHeight="true" outlineLevel="0" collapsed="false">
      <c r="A862" s="19"/>
      <c r="B862" s="17"/>
      <c r="C862" s="11" t="str">
        <f aca="false">IF(B862="","",IFERROR(INDEX(Students!$B$4:$B$203,MATCH(B862,Students!$A$4:$A$203,0)),""))</f>
        <v/>
      </c>
      <c r="D862" s="11" t="str">
        <f aca="false">IF(B862="","",IFERROR(INDEX(Students!$H$4:$H$203,MATCH(B862,Students!$A$4:$A$203,0)),""))</f>
        <v/>
      </c>
      <c r="E862" s="18"/>
      <c r="F862" s="18"/>
      <c r="G862" s="18"/>
      <c r="H862" s="18"/>
      <c r="I862" s="18"/>
      <c r="J862" s="18"/>
      <c r="K862" s="18"/>
      <c r="L862" s="18"/>
    </row>
    <row r="863" customFormat="false" ht="15" hidden="false" customHeight="true" outlineLevel="0" collapsed="false">
      <c r="A863" s="19"/>
      <c r="B863" s="17"/>
      <c r="C863" s="11" t="str">
        <f aca="false">IF(B863="","",IFERROR(INDEX(Students!$B$4:$B$203,MATCH(B863,Students!$A$4:$A$203,0)),""))</f>
        <v/>
      </c>
      <c r="D863" s="11" t="str">
        <f aca="false">IF(B863="","",IFERROR(INDEX(Students!$H$4:$H$203,MATCH(B863,Students!$A$4:$A$203,0)),""))</f>
        <v/>
      </c>
      <c r="E863" s="18"/>
      <c r="F863" s="18"/>
      <c r="G863" s="18"/>
      <c r="H863" s="18"/>
      <c r="I863" s="18"/>
      <c r="J863" s="18"/>
      <c r="K863" s="18"/>
      <c r="L863" s="18"/>
    </row>
    <row r="864" customFormat="false" ht="15" hidden="false" customHeight="true" outlineLevel="0" collapsed="false">
      <c r="A864" s="19"/>
      <c r="B864" s="17"/>
      <c r="C864" s="11" t="str">
        <f aca="false">IF(B864="","",IFERROR(INDEX(Students!$B$4:$B$203,MATCH(B864,Students!$A$4:$A$203,0)),""))</f>
        <v/>
      </c>
      <c r="D864" s="11" t="str">
        <f aca="false">IF(B864="","",IFERROR(INDEX(Students!$H$4:$H$203,MATCH(B864,Students!$A$4:$A$203,0)),""))</f>
        <v/>
      </c>
      <c r="E864" s="18"/>
      <c r="F864" s="18"/>
      <c r="G864" s="18"/>
      <c r="H864" s="18"/>
      <c r="I864" s="18"/>
      <c r="J864" s="18"/>
      <c r="K864" s="18"/>
      <c r="L864" s="18"/>
    </row>
    <row r="865" customFormat="false" ht="15" hidden="false" customHeight="true" outlineLevel="0" collapsed="false">
      <c r="A865" s="19"/>
      <c r="B865" s="17"/>
      <c r="C865" s="11" t="str">
        <f aca="false">IF(B865="","",IFERROR(INDEX(Students!$B$4:$B$203,MATCH(B865,Students!$A$4:$A$203,0)),""))</f>
        <v/>
      </c>
      <c r="D865" s="11" t="str">
        <f aca="false">IF(B865="","",IFERROR(INDEX(Students!$H$4:$H$203,MATCH(B865,Students!$A$4:$A$203,0)),""))</f>
        <v/>
      </c>
      <c r="E865" s="18"/>
      <c r="F865" s="18"/>
      <c r="G865" s="18"/>
      <c r="H865" s="18"/>
      <c r="I865" s="18"/>
      <c r="J865" s="18"/>
      <c r="K865" s="18"/>
      <c r="L865" s="18"/>
    </row>
    <row r="866" customFormat="false" ht="15" hidden="false" customHeight="true" outlineLevel="0" collapsed="false">
      <c r="A866" s="19"/>
      <c r="B866" s="17"/>
      <c r="C866" s="11" t="str">
        <f aca="false">IF(B866="","",IFERROR(INDEX(Students!$B$4:$B$203,MATCH(B866,Students!$A$4:$A$203,0)),""))</f>
        <v/>
      </c>
      <c r="D866" s="11" t="str">
        <f aca="false">IF(B866="","",IFERROR(INDEX(Students!$H$4:$H$203,MATCH(B866,Students!$A$4:$A$203,0)),""))</f>
        <v/>
      </c>
      <c r="E866" s="18"/>
      <c r="F866" s="18"/>
      <c r="G866" s="18"/>
      <c r="H866" s="18"/>
      <c r="I866" s="18"/>
      <c r="J866" s="18"/>
      <c r="K866" s="18"/>
      <c r="L866" s="18"/>
    </row>
    <row r="867" customFormat="false" ht="15" hidden="false" customHeight="true" outlineLevel="0" collapsed="false">
      <c r="A867" s="19"/>
      <c r="B867" s="17"/>
      <c r="C867" s="11" t="str">
        <f aca="false">IF(B867="","",IFERROR(INDEX(Students!$B$4:$B$203,MATCH(B867,Students!$A$4:$A$203,0)),""))</f>
        <v/>
      </c>
      <c r="D867" s="11" t="str">
        <f aca="false">IF(B867="","",IFERROR(INDEX(Students!$H$4:$H$203,MATCH(B867,Students!$A$4:$A$203,0)),""))</f>
        <v/>
      </c>
      <c r="E867" s="18"/>
      <c r="F867" s="18"/>
      <c r="G867" s="18"/>
      <c r="H867" s="18"/>
      <c r="I867" s="18"/>
      <c r="J867" s="18"/>
      <c r="K867" s="18"/>
      <c r="L867" s="18"/>
    </row>
    <row r="868" customFormat="false" ht="15" hidden="false" customHeight="true" outlineLevel="0" collapsed="false">
      <c r="A868" s="19"/>
      <c r="B868" s="17"/>
      <c r="C868" s="11" t="str">
        <f aca="false">IF(B868="","",IFERROR(INDEX(Students!$B$4:$B$203,MATCH(B868,Students!$A$4:$A$203,0)),""))</f>
        <v/>
      </c>
      <c r="D868" s="11" t="str">
        <f aca="false">IF(B868="","",IFERROR(INDEX(Students!$H$4:$H$203,MATCH(B868,Students!$A$4:$A$203,0)),""))</f>
        <v/>
      </c>
      <c r="E868" s="18"/>
      <c r="F868" s="18"/>
      <c r="G868" s="18"/>
      <c r="H868" s="18"/>
      <c r="I868" s="18"/>
      <c r="J868" s="18"/>
      <c r="K868" s="18"/>
      <c r="L868" s="18"/>
    </row>
    <row r="869" customFormat="false" ht="15" hidden="false" customHeight="true" outlineLevel="0" collapsed="false">
      <c r="A869" s="19"/>
      <c r="B869" s="17"/>
      <c r="C869" s="11" t="str">
        <f aca="false">IF(B869="","",IFERROR(INDEX(Students!$B$4:$B$203,MATCH(B869,Students!$A$4:$A$203,0)),""))</f>
        <v/>
      </c>
      <c r="D869" s="11" t="str">
        <f aca="false">IF(B869="","",IFERROR(INDEX(Students!$H$4:$H$203,MATCH(B869,Students!$A$4:$A$203,0)),""))</f>
        <v/>
      </c>
      <c r="E869" s="18"/>
      <c r="F869" s="18"/>
      <c r="G869" s="18"/>
      <c r="H869" s="18"/>
      <c r="I869" s="18"/>
      <c r="J869" s="18"/>
      <c r="K869" s="18"/>
      <c r="L869" s="18"/>
    </row>
    <row r="870" customFormat="false" ht="15" hidden="false" customHeight="true" outlineLevel="0" collapsed="false">
      <c r="A870" s="19"/>
      <c r="B870" s="17"/>
      <c r="C870" s="11" t="str">
        <f aca="false">IF(B870="","",IFERROR(INDEX(Students!$B$4:$B$203,MATCH(B870,Students!$A$4:$A$203,0)),""))</f>
        <v/>
      </c>
      <c r="D870" s="11" t="str">
        <f aca="false">IF(B870="","",IFERROR(INDEX(Students!$H$4:$H$203,MATCH(B870,Students!$A$4:$A$203,0)),""))</f>
        <v/>
      </c>
      <c r="E870" s="18"/>
      <c r="F870" s="18"/>
      <c r="G870" s="18"/>
      <c r="H870" s="18"/>
      <c r="I870" s="18"/>
      <c r="J870" s="18"/>
      <c r="K870" s="18"/>
      <c r="L870" s="18"/>
    </row>
    <row r="871" customFormat="false" ht="15" hidden="false" customHeight="true" outlineLevel="0" collapsed="false">
      <c r="A871" s="19"/>
      <c r="B871" s="17"/>
      <c r="C871" s="11" t="str">
        <f aca="false">IF(B871="","",IFERROR(INDEX(Students!$B$4:$B$203,MATCH(B871,Students!$A$4:$A$203,0)),""))</f>
        <v/>
      </c>
      <c r="D871" s="11" t="str">
        <f aca="false">IF(B871="","",IFERROR(INDEX(Students!$H$4:$H$203,MATCH(B871,Students!$A$4:$A$203,0)),""))</f>
        <v/>
      </c>
      <c r="E871" s="18"/>
      <c r="F871" s="18"/>
      <c r="G871" s="18"/>
      <c r="H871" s="18"/>
      <c r="I871" s="18"/>
      <c r="J871" s="18"/>
      <c r="K871" s="18"/>
      <c r="L871" s="18"/>
    </row>
    <row r="872" customFormat="false" ht="15" hidden="false" customHeight="true" outlineLevel="0" collapsed="false">
      <c r="A872" s="19"/>
      <c r="B872" s="17"/>
      <c r="C872" s="11" t="str">
        <f aca="false">IF(B872="","",IFERROR(INDEX(Students!$B$4:$B$203,MATCH(B872,Students!$A$4:$A$203,0)),""))</f>
        <v/>
      </c>
      <c r="D872" s="11" t="str">
        <f aca="false">IF(B872="","",IFERROR(INDEX(Students!$H$4:$H$203,MATCH(B872,Students!$A$4:$A$203,0)),""))</f>
        <v/>
      </c>
      <c r="E872" s="18"/>
      <c r="F872" s="18"/>
      <c r="G872" s="18"/>
      <c r="H872" s="18"/>
      <c r="I872" s="18"/>
      <c r="J872" s="18"/>
      <c r="K872" s="18"/>
      <c r="L872" s="18"/>
    </row>
    <row r="873" customFormat="false" ht="15" hidden="false" customHeight="true" outlineLevel="0" collapsed="false">
      <c r="A873" s="19"/>
      <c r="B873" s="17"/>
      <c r="C873" s="11" t="str">
        <f aca="false">IF(B873="","",IFERROR(INDEX(Students!$B$4:$B$203,MATCH(B873,Students!$A$4:$A$203,0)),""))</f>
        <v/>
      </c>
      <c r="D873" s="11" t="str">
        <f aca="false">IF(B873="","",IFERROR(INDEX(Students!$H$4:$H$203,MATCH(B873,Students!$A$4:$A$203,0)),""))</f>
        <v/>
      </c>
      <c r="E873" s="18"/>
      <c r="F873" s="18"/>
      <c r="G873" s="18"/>
      <c r="H873" s="18"/>
      <c r="I873" s="18"/>
      <c r="J873" s="18"/>
      <c r="K873" s="18"/>
      <c r="L873" s="18"/>
    </row>
    <row r="874" customFormat="false" ht="15" hidden="false" customHeight="true" outlineLevel="0" collapsed="false">
      <c r="A874" s="19"/>
      <c r="B874" s="17"/>
      <c r="C874" s="11" t="str">
        <f aca="false">IF(B874="","",IFERROR(INDEX(Students!$B$4:$B$203,MATCH(B874,Students!$A$4:$A$203,0)),""))</f>
        <v/>
      </c>
      <c r="D874" s="11" t="str">
        <f aca="false">IF(B874="","",IFERROR(INDEX(Students!$H$4:$H$203,MATCH(B874,Students!$A$4:$A$203,0)),""))</f>
        <v/>
      </c>
      <c r="E874" s="18"/>
      <c r="F874" s="18"/>
      <c r="G874" s="18"/>
      <c r="H874" s="18"/>
      <c r="I874" s="18"/>
      <c r="J874" s="18"/>
      <c r="K874" s="18"/>
      <c r="L874" s="18"/>
    </row>
    <row r="875" customFormat="false" ht="15" hidden="false" customHeight="true" outlineLevel="0" collapsed="false">
      <c r="A875" s="19"/>
      <c r="B875" s="17"/>
      <c r="C875" s="11" t="str">
        <f aca="false">IF(B875="","",IFERROR(INDEX(Students!$B$4:$B$203,MATCH(B875,Students!$A$4:$A$203,0)),""))</f>
        <v/>
      </c>
      <c r="D875" s="11" t="str">
        <f aca="false">IF(B875="","",IFERROR(INDEX(Students!$H$4:$H$203,MATCH(B875,Students!$A$4:$A$203,0)),""))</f>
        <v/>
      </c>
      <c r="E875" s="18"/>
      <c r="F875" s="18"/>
      <c r="G875" s="18"/>
      <c r="H875" s="18"/>
      <c r="I875" s="18"/>
      <c r="J875" s="18"/>
      <c r="K875" s="18"/>
      <c r="L875" s="18"/>
    </row>
    <row r="876" customFormat="false" ht="15" hidden="false" customHeight="true" outlineLevel="0" collapsed="false">
      <c r="A876" s="19"/>
      <c r="B876" s="17"/>
      <c r="C876" s="11" t="str">
        <f aca="false">IF(B876="","",IFERROR(INDEX(Students!$B$4:$B$203,MATCH(B876,Students!$A$4:$A$203,0)),""))</f>
        <v/>
      </c>
      <c r="D876" s="11" t="str">
        <f aca="false">IF(B876="","",IFERROR(INDEX(Students!$H$4:$H$203,MATCH(B876,Students!$A$4:$A$203,0)),""))</f>
        <v/>
      </c>
      <c r="E876" s="18"/>
      <c r="F876" s="18"/>
      <c r="G876" s="18"/>
      <c r="H876" s="18"/>
      <c r="I876" s="18"/>
      <c r="J876" s="18"/>
      <c r="K876" s="18"/>
      <c r="L876" s="18"/>
    </row>
    <row r="877" customFormat="false" ht="15" hidden="false" customHeight="true" outlineLevel="0" collapsed="false">
      <c r="A877" s="19"/>
      <c r="B877" s="17"/>
      <c r="C877" s="11" t="str">
        <f aca="false">IF(B877="","",IFERROR(INDEX(Students!$B$4:$B$203,MATCH(B877,Students!$A$4:$A$203,0)),""))</f>
        <v/>
      </c>
      <c r="D877" s="11" t="str">
        <f aca="false">IF(B877="","",IFERROR(INDEX(Students!$H$4:$H$203,MATCH(B877,Students!$A$4:$A$203,0)),""))</f>
        <v/>
      </c>
      <c r="E877" s="18"/>
      <c r="F877" s="18"/>
      <c r="G877" s="18"/>
      <c r="H877" s="18"/>
      <c r="I877" s="18"/>
      <c r="J877" s="18"/>
      <c r="K877" s="18"/>
      <c r="L877" s="18"/>
    </row>
    <row r="878" customFormat="false" ht="15" hidden="false" customHeight="true" outlineLevel="0" collapsed="false">
      <c r="A878" s="19"/>
      <c r="B878" s="17"/>
      <c r="C878" s="11" t="str">
        <f aca="false">IF(B878="","",IFERROR(INDEX(Students!$B$4:$B$203,MATCH(B878,Students!$A$4:$A$203,0)),""))</f>
        <v/>
      </c>
      <c r="D878" s="11" t="str">
        <f aca="false">IF(B878="","",IFERROR(INDEX(Students!$H$4:$H$203,MATCH(B878,Students!$A$4:$A$203,0)),""))</f>
        <v/>
      </c>
      <c r="E878" s="18"/>
      <c r="F878" s="18"/>
      <c r="G878" s="18"/>
      <c r="H878" s="18"/>
      <c r="I878" s="18"/>
      <c r="J878" s="18"/>
      <c r="K878" s="18"/>
      <c r="L878" s="18"/>
    </row>
    <row r="879" customFormat="false" ht="15" hidden="false" customHeight="true" outlineLevel="0" collapsed="false">
      <c r="A879" s="19"/>
      <c r="B879" s="17"/>
      <c r="C879" s="11" t="str">
        <f aca="false">IF(B879="","",IFERROR(INDEX(Students!$B$4:$B$203,MATCH(B879,Students!$A$4:$A$203,0)),""))</f>
        <v/>
      </c>
      <c r="D879" s="11" t="str">
        <f aca="false">IF(B879="","",IFERROR(INDEX(Students!$H$4:$H$203,MATCH(B879,Students!$A$4:$A$203,0)),""))</f>
        <v/>
      </c>
      <c r="E879" s="18"/>
      <c r="F879" s="18"/>
      <c r="G879" s="18"/>
      <c r="H879" s="18"/>
      <c r="I879" s="18"/>
      <c r="J879" s="18"/>
      <c r="K879" s="18"/>
      <c r="L879" s="18"/>
    </row>
    <row r="880" customFormat="false" ht="15" hidden="false" customHeight="true" outlineLevel="0" collapsed="false">
      <c r="A880" s="19"/>
      <c r="B880" s="17"/>
      <c r="C880" s="11" t="str">
        <f aca="false">IF(B880="","",IFERROR(INDEX(Students!$B$4:$B$203,MATCH(B880,Students!$A$4:$A$203,0)),""))</f>
        <v/>
      </c>
      <c r="D880" s="11" t="str">
        <f aca="false">IF(B880="","",IFERROR(INDEX(Students!$H$4:$H$203,MATCH(B880,Students!$A$4:$A$203,0)),""))</f>
        <v/>
      </c>
      <c r="E880" s="18"/>
      <c r="F880" s="18"/>
      <c r="G880" s="18"/>
      <c r="H880" s="18"/>
      <c r="I880" s="18"/>
      <c r="J880" s="18"/>
      <c r="K880" s="18"/>
      <c r="L880" s="18"/>
    </row>
    <row r="881" customFormat="false" ht="15" hidden="false" customHeight="true" outlineLevel="0" collapsed="false">
      <c r="A881" s="19"/>
      <c r="B881" s="17"/>
      <c r="C881" s="11" t="str">
        <f aca="false">IF(B881="","",IFERROR(INDEX(Students!$B$4:$B$203,MATCH(B881,Students!$A$4:$A$203,0)),""))</f>
        <v/>
      </c>
      <c r="D881" s="11" t="str">
        <f aca="false">IF(B881="","",IFERROR(INDEX(Students!$H$4:$H$203,MATCH(B881,Students!$A$4:$A$203,0)),""))</f>
        <v/>
      </c>
      <c r="E881" s="18"/>
      <c r="F881" s="18"/>
      <c r="G881" s="18"/>
      <c r="H881" s="18"/>
      <c r="I881" s="18"/>
      <c r="J881" s="18"/>
      <c r="K881" s="18"/>
      <c r="L881" s="18"/>
    </row>
    <row r="882" customFormat="false" ht="15" hidden="false" customHeight="true" outlineLevel="0" collapsed="false">
      <c r="A882" s="19"/>
      <c r="B882" s="17"/>
      <c r="C882" s="11" t="str">
        <f aca="false">IF(B882="","",IFERROR(INDEX(Students!$B$4:$B$203,MATCH(B882,Students!$A$4:$A$203,0)),""))</f>
        <v/>
      </c>
      <c r="D882" s="11" t="str">
        <f aca="false">IF(B882="","",IFERROR(INDEX(Students!$H$4:$H$203,MATCH(B882,Students!$A$4:$A$203,0)),""))</f>
        <v/>
      </c>
      <c r="E882" s="18"/>
      <c r="F882" s="18"/>
      <c r="G882" s="18"/>
      <c r="H882" s="18"/>
      <c r="I882" s="18"/>
      <c r="J882" s="18"/>
      <c r="K882" s="18"/>
      <c r="L882" s="18"/>
    </row>
    <row r="883" customFormat="false" ht="15" hidden="false" customHeight="true" outlineLevel="0" collapsed="false">
      <c r="A883" s="19"/>
      <c r="B883" s="17"/>
      <c r="C883" s="11" t="str">
        <f aca="false">IF(B883="","",IFERROR(INDEX(Students!$B$4:$B$203,MATCH(B883,Students!$A$4:$A$203,0)),""))</f>
        <v/>
      </c>
      <c r="D883" s="11" t="str">
        <f aca="false">IF(B883="","",IFERROR(INDEX(Students!$H$4:$H$203,MATCH(B883,Students!$A$4:$A$203,0)),""))</f>
        <v/>
      </c>
      <c r="E883" s="18"/>
      <c r="F883" s="18"/>
      <c r="G883" s="18"/>
      <c r="H883" s="18"/>
      <c r="I883" s="18"/>
      <c r="J883" s="18"/>
      <c r="K883" s="18"/>
      <c r="L883" s="18"/>
    </row>
    <row r="884" customFormat="false" ht="15" hidden="false" customHeight="true" outlineLevel="0" collapsed="false">
      <c r="A884" s="19"/>
      <c r="B884" s="17"/>
      <c r="C884" s="11" t="str">
        <f aca="false">IF(B884="","",IFERROR(INDEX(Students!$B$4:$B$203,MATCH(B884,Students!$A$4:$A$203,0)),""))</f>
        <v/>
      </c>
      <c r="D884" s="11" t="str">
        <f aca="false">IF(B884="","",IFERROR(INDEX(Students!$H$4:$H$203,MATCH(B884,Students!$A$4:$A$203,0)),""))</f>
        <v/>
      </c>
      <c r="E884" s="18"/>
      <c r="F884" s="18"/>
      <c r="G884" s="18"/>
      <c r="H884" s="18"/>
      <c r="I884" s="18"/>
      <c r="J884" s="18"/>
      <c r="K884" s="18"/>
      <c r="L884" s="18"/>
    </row>
    <row r="885" customFormat="false" ht="15" hidden="false" customHeight="true" outlineLevel="0" collapsed="false">
      <c r="A885" s="19"/>
      <c r="B885" s="17"/>
      <c r="C885" s="11" t="str">
        <f aca="false">IF(B885="","",IFERROR(INDEX(Students!$B$4:$B$203,MATCH(B885,Students!$A$4:$A$203,0)),""))</f>
        <v/>
      </c>
      <c r="D885" s="11" t="str">
        <f aca="false">IF(B885="","",IFERROR(INDEX(Students!$H$4:$H$203,MATCH(B885,Students!$A$4:$A$203,0)),""))</f>
        <v/>
      </c>
      <c r="E885" s="18"/>
      <c r="F885" s="18"/>
      <c r="G885" s="18"/>
      <c r="H885" s="18"/>
      <c r="I885" s="18"/>
      <c r="J885" s="18"/>
      <c r="K885" s="18"/>
      <c r="L885" s="18"/>
    </row>
    <row r="886" customFormat="false" ht="15" hidden="false" customHeight="true" outlineLevel="0" collapsed="false">
      <c r="A886" s="19"/>
      <c r="B886" s="17"/>
      <c r="C886" s="11" t="str">
        <f aca="false">IF(B886="","",IFERROR(INDEX(Students!$B$4:$B$203,MATCH(B886,Students!$A$4:$A$203,0)),""))</f>
        <v/>
      </c>
      <c r="D886" s="11" t="str">
        <f aca="false">IF(B886="","",IFERROR(INDEX(Students!$H$4:$H$203,MATCH(B886,Students!$A$4:$A$203,0)),""))</f>
        <v/>
      </c>
      <c r="E886" s="18"/>
      <c r="F886" s="18"/>
      <c r="G886" s="18"/>
      <c r="H886" s="18"/>
      <c r="I886" s="18"/>
      <c r="J886" s="18"/>
      <c r="K886" s="18"/>
      <c r="L886" s="18"/>
    </row>
    <row r="887" customFormat="false" ht="15" hidden="false" customHeight="true" outlineLevel="0" collapsed="false">
      <c r="A887" s="19"/>
      <c r="B887" s="17"/>
      <c r="C887" s="11" t="str">
        <f aca="false">IF(B887="","",IFERROR(INDEX(Students!$B$4:$B$203,MATCH(B887,Students!$A$4:$A$203,0)),""))</f>
        <v/>
      </c>
      <c r="D887" s="11" t="str">
        <f aca="false">IF(B887="","",IFERROR(INDEX(Students!$H$4:$H$203,MATCH(B887,Students!$A$4:$A$203,0)),""))</f>
        <v/>
      </c>
      <c r="E887" s="18"/>
      <c r="F887" s="18"/>
      <c r="G887" s="18"/>
      <c r="H887" s="18"/>
      <c r="I887" s="18"/>
      <c r="J887" s="18"/>
      <c r="K887" s="18"/>
      <c r="L887" s="18"/>
    </row>
    <row r="888" customFormat="false" ht="15" hidden="false" customHeight="true" outlineLevel="0" collapsed="false">
      <c r="A888" s="19"/>
      <c r="B888" s="17"/>
      <c r="C888" s="11" t="str">
        <f aca="false">IF(B888="","",IFERROR(INDEX(Students!$B$4:$B$203,MATCH(B888,Students!$A$4:$A$203,0)),""))</f>
        <v/>
      </c>
      <c r="D888" s="11" t="str">
        <f aca="false">IF(B888="","",IFERROR(INDEX(Students!$H$4:$H$203,MATCH(B888,Students!$A$4:$A$203,0)),""))</f>
        <v/>
      </c>
      <c r="E888" s="18"/>
      <c r="F888" s="18"/>
      <c r="G888" s="18"/>
      <c r="H888" s="18"/>
      <c r="I888" s="18"/>
      <c r="J888" s="18"/>
      <c r="K888" s="18"/>
      <c r="L888" s="18"/>
    </row>
    <row r="889" customFormat="false" ht="15" hidden="false" customHeight="true" outlineLevel="0" collapsed="false">
      <c r="A889" s="19"/>
      <c r="B889" s="17"/>
      <c r="C889" s="11" t="str">
        <f aca="false">IF(B889="","",IFERROR(INDEX(Students!$B$4:$B$203,MATCH(B889,Students!$A$4:$A$203,0)),""))</f>
        <v/>
      </c>
      <c r="D889" s="11" t="str">
        <f aca="false">IF(B889="","",IFERROR(INDEX(Students!$H$4:$H$203,MATCH(B889,Students!$A$4:$A$203,0)),""))</f>
        <v/>
      </c>
      <c r="E889" s="18"/>
      <c r="F889" s="18"/>
      <c r="G889" s="18"/>
      <c r="H889" s="18"/>
      <c r="I889" s="18"/>
      <c r="J889" s="18"/>
      <c r="K889" s="18"/>
      <c r="L889" s="18"/>
    </row>
    <row r="890" customFormat="false" ht="15" hidden="false" customHeight="true" outlineLevel="0" collapsed="false">
      <c r="A890" s="19"/>
      <c r="B890" s="17"/>
      <c r="C890" s="11" t="str">
        <f aca="false">IF(B890="","",IFERROR(INDEX(Students!$B$4:$B$203,MATCH(B890,Students!$A$4:$A$203,0)),""))</f>
        <v/>
      </c>
      <c r="D890" s="11" t="str">
        <f aca="false">IF(B890="","",IFERROR(INDEX(Students!$H$4:$H$203,MATCH(B890,Students!$A$4:$A$203,0)),""))</f>
        <v/>
      </c>
      <c r="E890" s="18"/>
      <c r="F890" s="18"/>
      <c r="G890" s="18"/>
      <c r="H890" s="18"/>
      <c r="I890" s="18"/>
      <c r="J890" s="18"/>
      <c r="K890" s="18"/>
      <c r="L890" s="18"/>
    </row>
    <row r="891" customFormat="false" ht="15" hidden="false" customHeight="true" outlineLevel="0" collapsed="false">
      <c r="A891" s="19"/>
      <c r="B891" s="17"/>
      <c r="C891" s="11" t="str">
        <f aca="false">IF(B891="","",IFERROR(INDEX(Students!$B$4:$B$203,MATCH(B891,Students!$A$4:$A$203,0)),""))</f>
        <v/>
      </c>
      <c r="D891" s="11" t="str">
        <f aca="false">IF(B891="","",IFERROR(INDEX(Students!$H$4:$H$203,MATCH(B891,Students!$A$4:$A$203,0)),""))</f>
        <v/>
      </c>
      <c r="E891" s="18"/>
      <c r="F891" s="18"/>
      <c r="G891" s="18"/>
      <c r="H891" s="18"/>
      <c r="I891" s="18"/>
      <c r="J891" s="18"/>
      <c r="K891" s="18"/>
      <c r="L891" s="18"/>
    </row>
    <row r="892" customFormat="false" ht="15" hidden="false" customHeight="true" outlineLevel="0" collapsed="false">
      <c r="A892" s="19"/>
      <c r="B892" s="17"/>
      <c r="C892" s="11" t="str">
        <f aca="false">IF(B892="","",IFERROR(INDEX(Students!$B$4:$B$203,MATCH(B892,Students!$A$4:$A$203,0)),""))</f>
        <v/>
      </c>
      <c r="D892" s="11" t="str">
        <f aca="false">IF(B892="","",IFERROR(INDEX(Students!$H$4:$H$203,MATCH(B892,Students!$A$4:$A$203,0)),""))</f>
        <v/>
      </c>
      <c r="E892" s="18"/>
      <c r="F892" s="18"/>
      <c r="G892" s="18"/>
      <c r="H892" s="18"/>
      <c r="I892" s="18"/>
      <c r="J892" s="18"/>
      <c r="K892" s="18"/>
      <c r="L892" s="18"/>
    </row>
    <row r="893" customFormat="false" ht="15" hidden="false" customHeight="true" outlineLevel="0" collapsed="false">
      <c r="A893" s="19"/>
      <c r="B893" s="17"/>
      <c r="C893" s="11" t="str">
        <f aca="false">IF(B893="","",IFERROR(INDEX(Students!$B$4:$B$203,MATCH(B893,Students!$A$4:$A$203,0)),""))</f>
        <v/>
      </c>
      <c r="D893" s="11" t="str">
        <f aca="false">IF(B893="","",IFERROR(INDEX(Students!$H$4:$H$203,MATCH(B893,Students!$A$4:$A$203,0)),""))</f>
        <v/>
      </c>
      <c r="E893" s="18"/>
      <c r="F893" s="18"/>
      <c r="G893" s="18"/>
      <c r="H893" s="18"/>
      <c r="I893" s="18"/>
      <c r="J893" s="18"/>
      <c r="K893" s="18"/>
      <c r="L893" s="18"/>
    </row>
    <row r="894" customFormat="false" ht="15" hidden="false" customHeight="true" outlineLevel="0" collapsed="false">
      <c r="A894" s="19"/>
      <c r="B894" s="17"/>
      <c r="C894" s="11" t="str">
        <f aca="false">IF(B894="","",IFERROR(INDEX(Students!$B$4:$B$203,MATCH(B894,Students!$A$4:$A$203,0)),""))</f>
        <v/>
      </c>
      <c r="D894" s="11" t="str">
        <f aca="false">IF(B894="","",IFERROR(INDEX(Students!$H$4:$H$203,MATCH(B894,Students!$A$4:$A$203,0)),""))</f>
        <v/>
      </c>
      <c r="E894" s="18"/>
      <c r="F894" s="18"/>
      <c r="G894" s="18"/>
      <c r="H894" s="18"/>
      <c r="I894" s="18"/>
      <c r="J894" s="18"/>
      <c r="K894" s="18"/>
      <c r="L894" s="18"/>
    </row>
    <row r="895" customFormat="false" ht="15" hidden="false" customHeight="true" outlineLevel="0" collapsed="false">
      <c r="A895" s="19"/>
      <c r="B895" s="17"/>
      <c r="C895" s="11" t="str">
        <f aca="false">IF(B895="","",IFERROR(INDEX(Students!$B$4:$B$203,MATCH(B895,Students!$A$4:$A$203,0)),""))</f>
        <v/>
      </c>
      <c r="D895" s="11" t="str">
        <f aca="false">IF(B895="","",IFERROR(INDEX(Students!$H$4:$H$203,MATCH(B895,Students!$A$4:$A$203,0)),""))</f>
        <v/>
      </c>
      <c r="E895" s="18"/>
      <c r="F895" s="18"/>
      <c r="G895" s="18"/>
      <c r="H895" s="18"/>
      <c r="I895" s="18"/>
      <c r="J895" s="18"/>
      <c r="K895" s="18"/>
      <c r="L895" s="18"/>
    </row>
    <row r="896" customFormat="false" ht="15" hidden="false" customHeight="true" outlineLevel="0" collapsed="false">
      <c r="A896" s="19"/>
      <c r="B896" s="17"/>
      <c r="C896" s="11" t="str">
        <f aca="false">IF(B896="","",IFERROR(INDEX(Students!$B$4:$B$203,MATCH(B896,Students!$A$4:$A$203,0)),""))</f>
        <v/>
      </c>
      <c r="D896" s="11" t="str">
        <f aca="false">IF(B896="","",IFERROR(INDEX(Students!$H$4:$H$203,MATCH(B896,Students!$A$4:$A$203,0)),""))</f>
        <v/>
      </c>
      <c r="E896" s="18"/>
      <c r="F896" s="18"/>
      <c r="G896" s="18"/>
      <c r="H896" s="18"/>
      <c r="I896" s="18"/>
      <c r="J896" s="18"/>
      <c r="K896" s="18"/>
      <c r="L896" s="18"/>
    </row>
    <row r="897" customFormat="false" ht="15" hidden="false" customHeight="true" outlineLevel="0" collapsed="false">
      <c r="A897" s="19"/>
      <c r="B897" s="17"/>
      <c r="C897" s="11" t="str">
        <f aca="false">IF(B897="","",IFERROR(INDEX(Students!$B$4:$B$203,MATCH(B897,Students!$A$4:$A$203,0)),""))</f>
        <v/>
      </c>
      <c r="D897" s="11" t="str">
        <f aca="false">IF(B897="","",IFERROR(INDEX(Students!$H$4:$H$203,MATCH(B897,Students!$A$4:$A$203,0)),""))</f>
        <v/>
      </c>
      <c r="E897" s="18"/>
      <c r="F897" s="18"/>
      <c r="G897" s="18"/>
      <c r="H897" s="18"/>
      <c r="I897" s="18"/>
      <c r="J897" s="18"/>
      <c r="K897" s="18"/>
      <c r="L897" s="18"/>
    </row>
    <row r="898" customFormat="false" ht="15" hidden="false" customHeight="true" outlineLevel="0" collapsed="false">
      <c r="A898" s="19"/>
      <c r="B898" s="17"/>
      <c r="C898" s="11" t="str">
        <f aca="false">IF(B898="","",IFERROR(INDEX(Students!$B$4:$B$203,MATCH(B898,Students!$A$4:$A$203,0)),""))</f>
        <v/>
      </c>
      <c r="D898" s="11" t="str">
        <f aca="false">IF(B898="","",IFERROR(INDEX(Students!$H$4:$H$203,MATCH(B898,Students!$A$4:$A$203,0)),""))</f>
        <v/>
      </c>
      <c r="E898" s="18"/>
      <c r="F898" s="18"/>
      <c r="G898" s="18"/>
      <c r="H898" s="18"/>
      <c r="I898" s="18"/>
      <c r="J898" s="18"/>
      <c r="K898" s="18"/>
      <c r="L898" s="18"/>
    </row>
    <row r="899" customFormat="false" ht="15" hidden="false" customHeight="true" outlineLevel="0" collapsed="false">
      <c r="A899" s="19"/>
      <c r="B899" s="17"/>
      <c r="C899" s="11" t="str">
        <f aca="false">IF(B899="","",IFERROR(INDEX(Students!$B$4:$B$203,MATCH(B899,Students!$A$4:$A$203,0)),""))</f>
        <v/>
      </c>
      <c r="D899" s="11" t="str">
        <f aca="false">IF(B899="","",IFERROR(INDEX(Students!$H$4:$H$203,MATCH(B899,Students!$A$4:$A$203,0)),""))</f>
        <v/>
      </c>
      <c r="E899" s="18"/>
      <c r="F899" s="18"/>
      <c r="G899" s="18"/>
      <c r="H899" s="18"/>
      <c r="I899" s="18"/>
      <c r="J899" s="18"/>
      <c r="K899" s="18"/>
      <c r="L899" s="18"/>
    </row>
    <row r="900" customFormat="false" ht="15" hidden="false" customHeight="true" outlineLevel="0" collapsed="false">
      <c r="A900" s="19"/>
      <c r="B900" s="17"/>
      <c r="C900" s="11" t="str">
        <f aca="false">IF(B900="","",IFERROR(INDEX(Students!$B$4:$B$203,MATCH(B900,Students!$A$4:$A$203,0)),""))</f>
        <v/>
      </c>
      <c r="D900" s="11" t="str">
        <f aca="false">IF(B900="","",IFERROR(INDEX(Students!$H$4:$H$203,MATCH(B900,Students!$A$4:$A$203,0)),""))</f>
        <v/>
      </c>
      <c r="E900" s="18"/>
      <c r="F900" s="18"/>
      <c r="G900" s="18"/>
      <c r="H900" s="18"/>
      <c r="I900" s="18"/>
      <c r="J900" s="18"/>
      <c r="K900" s="18"/>
      <c r="L900" s="18"/>
    </row>
    <row r="901" customFormat="false" ht="15" hidden="false" customHeight="true" outlineLevel="0" collapsed="false">
      <c r="A901" s="19"/>
      <c r="B901" s="17"/>
      <c r="C901" s="11" t="str">
        <f aca="false">IF(B901="","",IFERROR(INDEX(Students!$B$4:$B$203,MATCH(B901,Students!$A$4:$A$203,0)),""))</f>
        <v/>
      </c>
      <c r="D901" s="11" t="str">
        <f aca="false">IF(B901="","",IFERROR(INDEX(Students!$H$4:$H$203,MATCH(B901,Students!$A$4:$A$203,0)),""))</f>
        <v/>
      </c>
      <c r="E901" s="18"/>
      <c r="F901" s="18"/>
      <c r="G901" s="18"/>
      <c r="H901" s="18"/>
      <c r="I901" s="18"/>
      <c r="J901" s="18"/>
      <c r="K901" s="18"/>
      <c r="L901" s="18"/>
    </row>
    <row r="902" customFormat="false" ht="15" hidden="false" customHeight="true" outlineLevel="0" collapsed="false">
      <c r="A902" s="19"/>
      <c r="B902" s="17"/>
      <c r="C902" s="11" t="str">
        <f aca="false">IF(B902="","",IFERROR(INDEX(Students!$B$4:$B$203,MATCH(B902,Students!$A$4:$A$203,0)),""))</f>
        <v/>
      </c>
      <c r="D902" s="11" t="str">
        <f aca="false">IF(B902="","",IFERROR(INDEX(Students!$H$4:$H$203,MATCH(B902,Students!$A$4:$A$203,0)),""))</f>
        <v/>
      </c>
      <c r="E902" s="18"/>
      <c r="F902" s="18"/>
      <c r="G902" s="18"/>
      <c r="H902" s="18"/>
      <c r="I902" s="18"/>
      <c r="J902" s="18"/>
      <c r="K902" s="18"/>
      <c r="L902" s="18"/>
    </row>
    <row r="903" customFormat="false" ht="15" hidden="false" customHeight="true" outlineLevel="0" collapsed="false">
      <c r="A903" s="19"/>
      <c r="B903" s="17"/>
      <c r="C903" s="11" t="str">
        <f aca="false">IF(B903="","",IFERROR(INDEX(Students!$B$4:$B$203,MATCH(B903,Students!$A$4:$A$203,0)),""))</f>
        <v/>
      </c>
      <c r="D903" s="11" t="str">
        <f aca="false">IF(B903="","",IFERROR(INDEX(Students!$H$4:$H$203,MATCH(B903,Students!$A$4:$A$203,0)),""))</f>
        <v/>
      </c>
      <c r="E903" s="18"/>
      <c r="F903" s="18"/>
      <c r="G903" s="18"/>
      <c r="H903" s="18"/>
      <c r="I903" s="18"/>
      <c r="J903" s="18"/>
      <c r="K903" s="18"/>
      <c r="L903" s="18"/>
    </row>
    <row r="904" customFormat="false" ht="15" hidden="false" customHeight="true" outlineLevel="0" collapsed="false">
      <c r="A904" s="19"/>
      <c r="B904" s="17"/>
      <c r="C904" s="11" t="str">
        <f aca="false">IF(B904="","",IFERROR(INDEX(Students!$B$4:$B$203,MATCH(B904,Students!$A$4:$A$203,0)),""))</f>
        <v/>
      </c>
      <c r="D904" s="11" t="str">
        <f aca="false">IF(B904="","",IFERROR(INDEX(Students!$H$4:$H$203,MATCH(B904,Students!$A$4:$A$203,0)),""))</f>
        <v/>
      </c>
      <c r="E904" s="18"/>
      <c r="F904" s="18"/>
      <c r="G904" s="18"/>
      <c r="H904" s="18"/>
      <c r="I904" s="18"/>
      <c r="J904" s="18"/>
      <c r="K904" s="18"/>
      <c r="L904" s="18"/>
    </row>
    <row r="905" customFormat="false" ht="15" hidden="false" customHeight="true" outlineLevel="0" collapsed="false">
      <c r="A905" s="19"/>
      <c r="B905" s="17"/>
      <c r="C905" s="11" t="str">
        <f aca="false">IF(B905="","",IFERROR(INDEX(Students!$B$4:$B$203,MATCH(B905,Students!$A$4:$A$203,0)),""))</f>
        <v/>
      </c>
      <c r="D905" s="11" t="str">
        <f aca="false">IF(B905="","",IFERROR(INDEX(Students!$H$4:$H$203,MATCH(B905,Students!$A$4:$A$203,0)),""))</f>
        <v/>
      </c>
      <c r="E905" s="18"/>
      <c r="F905" s="18"/>
      <c r="G905" s="18"/>
      <c r="H905" s="18"/>
      <c r="I905" s="18"/>
      <c r="J905" s="18"/>
      <c r="K905" s="18"/>
      <c r="L905" s="18"/>
    </row>
    <row r="906" customFormat="false" ht="15" hidden="false" customHeight="true" outlineLevel="0" collapsed="false">
      <c r="A906" s="19"/>
      <c r="B906" s="17"/>
      <c r="C906" s="11" t="str">
        <f aca="false">IF(B906="","",IFERROR(INDEX(Students!$B$4:$B$203,MATCH(B906,Students!$A$4:$A$203,0)),""))</f>
        <v/>
      </c>
      <c r="D906" s="11" t="str">
        <f aca="false">IF(B906="","",IFERROR(INDEX(Students!$H$4:$H$203,MATCH(B906,Students!$A$4:$A$203,0)),""))</f>
        <v/>
      </c>
      <c r="E906" s="18"/>
      <c r="F906" s="18"/>
      <c r="G906" s="18"/>
      <c r="H906" s="18"/>
      <c r="I906" s="18"/>
      <c r="J906" s="18"/>
      <c r="K906" s="18"/>
      <c r="L906" s="18"/>
    </row>
    <row r="907" customFormat="false" ht="15" hidden="false" customHeight="true" outlineLevel="0" collapsed="false">
      <c r="A907" s="19"/>
      <c r="B907" s="17"/>
      <c r="C907" s="11" t="str">
        <f aca="false">IF(B907="","",IFERROR(INDEX(Students!$B$4:$B$203,MATCH(B907,Students!$A$4:$A$203,0)),""))</f>
        <v/>
      </c>
      <c r="D907" s="11" t="str">
        <f aca="false">IF(B907="","",IFERROR(INDEX(Students!$H$4:$H$203,MATCH(B907,Students!$A$4:$A$203,0)),""))</f>
        <v/>
      </c>
      <c r="E907" s="18"/>
      <c r="F907" s="18"/>
      <c r="G907" s="18"/>
      <c r="H907" s="18"/>
      <c r="I907" s="18"/>
      <c r="J907" s="18"/>
      <c r="K907" s="18"/>
      <c r="L907" s="18"/>
    </row>
    <row r="908" customFormat="false" ht="15" hidden="false" customHeight="true" outlineLevel="0" collapsed="false">
      <c r="A908" s="19"/>
      <c r="B908" s="17"/>
      <c r="C908" s="11" t="str">
        <f aca="false">IF(B908="","",IFERROR(INDEX(Students!$B$4:$B$203,MATCH(B908,Students!$A$4:$A$203,0)),""))</f>
        <v/>
      </c>
      <c r="D908" s="11" t="str">
        <f aca="false">IF(B908="","",IFERROR(INDEX(Students!$H$4:$H$203,MATCH(B908,Students!$A$4:$A$203,0)),""))</f>
        <v/>
      </c>
      <c r="E908" s="18"/>
      <c r="F908" s="18"/>
      <c r="G908" s="18"/>
      <c r="H908" s="18"/>
      <c r="I908" s="18"/>
      <c r="J908" s="18"/>
      <c r="K908" s="18"/>
      <c r="L908" s="18"/>
    </row>
    <row r="909" customFormat="false" ht="15" hidden="false" customHeight="true" outlineLevel="0" collapsed="false">
      <c r="A909" s="19"/>
      <c r="B909" s="17"/>
      <c r="C909" s="11" t="str">
        <f aca="false">IF(B909="","",IFERROR(INDEX(Students!$B$4:$B$203,MATCH(B909,Students!$A$4:$A$203,0)),""))</f>
        <v/>
      </c>
      <c r="D909" s="11" t="str">
        <f aca="false">IF(B909="","",IFERROR(INDEX(Students!$H$4:$H$203,MATCH(B909,Students!$A$4:$A$203,0)),""))</f>
        <v/>
      </c>
      <c r="E909" s="18"/>
      <c r="F909" s="18"/>
      <c r="G909" s="18"/>
      <c r="H909" s="18"/>
      <c r="I909" s="18"/>
      <c r="J909" s="18"/>
      <c r="K909" s="18"/>
      <c r="L909" s="18"/>
    </row>
    <row r="910" customFormat="false" ht="15" hidden="false" customHeight="true" outlineLevel="0" collapsed="false">
      <c r="A910" s="19"/>
      <c r="B910" s="17"/>
      <c r="C910" s="11" t="str">
        <f aca="false">IF(B910="","",IFERROR(INDEX(Students!$B$4:$B$203,MATCH(B910,Students!$A$4:$A$203,0)),""))</f>
        <v/>
      </c>
      <c r="D910" s="11" t="str">
        <f aca="false">IF(B910="","",IFERROR(INDEX(Students!$H$4:$H$203,MATCH(B910,Students!$A$4:$A$203,0)),""))</f>
        <v/>
      </c>
      <c r="E910" s="18"/>
      <c r="F910" s="18"/>
      <c r="G910" s="18"/>
      <c r="H910" s="18"/>
      <c r="I910" s="18"/>
      <c r="J910" s="18"/>
      <c r="K910" s="18"/>
      <c r="L910" s="18"/>
    </row>
    <row r="911" customFormat="false" ht="15" hidden="false" customHeight="true" outlineLevel="0" collapsed="false">
      <c r="A911" s="19"/>
      <c r="B911" s="17"/>
      <c r="C911" s="11" t="str">
        <f aca="false">IF(B911="","",IFERROR(INDEX(Students!$B$4:$B$203,MATCH(B911,Students!$A$4:$A$203,0)),""))</f>
        <v/>
      </c>
      <c r="D911" s="11" t="str">
        <f aca="false">IF(B911="","",IFERROR(INDEX(Students!$H$4:$H$203,MATCH(B911,Students!$A$4:$A$203,0)),""))</f>
        <v/>
      </c>
      <c r="E911" s="18"/>
      <c r="F911" s="18"/>
      <c r="G911" s="18"/>
      <c r="H911" s="18"/>
      <c r="I911" s="18"/>
      <c r="J911" s="18"/>
      <c r="K911" s="18"/>
      <c r="L911" s="18"/>
    </row>
    <row r="912" customFormat="false" ht="15" hidden="false" customHeight="true" outlineLevel="0" collapsed="false">
      <c r="A912" s="19"/>
      <c r="B912" s="17"/>
      <c r="C912" s="11" t="str">
        <f aca="false">IF(B912="","",IFERROR(INDEX(Students!$B$4:$B$203,MATCH(B912,Students!$A$4:$A$203,0)),""))</f>
        <v/>
      </c>
      <c r="D912" s="11" t="str">
        <f aca="false">IF(B912="","",IFERROR(INDEX(Students!$H$4:$H$203,MATCH(B912,Students!$A$4:$A$203,0)),""))</f>
        <v/>
      </c>
      <c r="E912" s="18"/>
      <c r="F912" s="18"/>
      <c r="G912" s="18"/>
      <c r="H912" s="18"/>
      <c r="I912" s="18"/>
      <c r="J912" s="18"/>
      <c r="K912" s="18"/>
      <c r="L912" s="18"/>
    </row>
    <row r="913" customFormat="false" ht="15" hidden="false" customHeight="true" outlineLevel="0" collapsed="false">
      <c r="A913" s="19"/>
      <c r="B913" s="17"/>
      <c r="C913" s="11" t="str">
        <f aca="false">IF(B913="","",IFERROR(INDEX(Students!$B$4:$B$203,MATCH(B913,Students!$A$4:$A$203,0)),""))</f>
        <v/>
      </c>
      <c r="D913" s="11" t="str">
        <f aca="false">IF(B913="","",IFERROR(INDEX(Students!$H$4:$H$203,MATCH(B913,Students!$A$4:$A$203,0)),""))</f>
        <v/>
      </c>
      <c r="E913" s="18"/>
      <c r="F913" s="18"/>
      <c r="G913" s="18"/>
      <c r="H913" s="18"/>
      <c r="I913" s="18"/>
      <c r="J913" s="18"/>
      <c r="K913" s="18"/>
      <c r="L913" s="18"/>
    </row>
    <row r="914" customFormat="false" ht="15" hidden="false" customHeight="true" outlineLevel="0" collapsed="false">
      <c r="A914" s="19"/>
      <c r="B914" s="17"/>
      <c r="C914" s="11" t="str">
        <f aca="false">IF(B914="","",IFERROR(INDEX(Students!$B$4:$B$203,MATCH(B914,Students!$A$4:$A$203,0)),""))</f>
        <v/>
      </c>
      <c r="D914" s="11" t="str">
        <f aca="false">IF(B914="","",IFERROR(INDEX(Students!$H$4:$H$203,MATCH(B914,Students!$A$4:$A$203,0)),""))</f>
        <v/>
      </c>
      <c r="E914" s="18"/>
      <c r="F914" s="18"/>
      <c r="G914" s="18"/>
      <c r="H914" s="18"/>
      <c r="I914" s="18"/>
      <c r="J914" s="18"/>
      <c r="K914" s="18"/>
      <c r="L914" s="18"/>
    </row>
    <row r="915" customFormat="false" ht="15" hidden="false" customHeight="true" outlineLevel="0" collapsed="false">
      <c r="A915" s="19"/>
      <c r="B915" s="17"/>
      <c r="C915" s="11" t="str">
        <f aca="false">IF(B915="","",IFERROR(INDEX(Students!$B$4:$B$203,MATCH(B915,Students!$A$4:$A$203,0)),""))</f>
        <v/>
      </c>
      <c r="D915" s="11" t="str">
        <f aca="false">IF(B915="","",IFERROR(INDEX(Students!$H$4:$H$203,MATCH(B915,Students!$A$4:$A$203,0)),""))</f>
        <v/>
      </c>
      <c r="E915" s="18"/>
      <c r="F915" s="18"/>
      <c r="G915" s="18"/>
      <c r="H915" s="18"/>
      <c r="I915" s="18"/>
      <c r="J915" s="18"/>
      <c r="K915" s="18"/>
      <c r="L915" s="18"/>
    </row>
    <row r="916" customFormat="false" ht="15" hidden="false" customHeight="true" outlineLevel="0" collapsed="false">
      <c r="A916" s="19"/>
      <c r="B916" s="17"/>
      <c r="C916" s="11" t="str">
        <f aca="false">IF(B916="","",IFERROR(INDEX(Students!$B$4:$B$203,MATCH(B916,Students!$A$4:$A$203,0)),""))</f>
        <v/>
      </c>
      <c r="D916" s="11" t="str">
        <f aca="false">IF(B916="","",IFERROR(INDEX(Students!$H$4:$H$203,MATCH(B916,Students!$A$4:$A$203,0)),""))</f>
        <v/>
      </c>
      <c r="E916" s="18"/>
      <c r="F916" s="18"/>
      <c r="G916" s="18"/>
      <c r="H916" s="18"/>
      <c r="I916" s="18"/>
      <c r="J916" s="18"/>
      <c r="K916" s="18"/>
      <c r="L916" s="18"/>
    </row>
    <row r="917" customFormat="false" ht="15" hidden="false" customHeight="true" outlineLevel="0" collapsed="false">
      <c r="A917" s="19"/>
      <c r="B917" s="17"/>
      <c r="C917" s="11" t="str">
        <f aca="false">IF(B917="","",IFERROR(INDEX(Students!$B$4:$B$203,MATCH(B917,Students!$A$4:$A$203,0)),""))</f>
        <v/>
      </c>
      <c r="D917" s="11" t="str">
        <f aca="false">IF(B917="","",IFERROR(INDEX(Students!$H$4:$H$203,MATCH(B917,Students!$A$4:$A$203,0)),""))</f>
        <v/>
      </c>
      <c r="E917" s="18"/>
      <c r="F917" s="18"/>
      <c r="G917" s="18"/>
      <c r="H917" s="18"/>
      <c r="I917" s="18"/>
      <c r="J917" s="18"/>
      <c r="K917" s="18"/>
      <c r="L917" s="18"/>
    </row>
    <row r="918" customFormat="false" ht="15" hidden="false" customHeight="true" outlineLevel="0" collapsed="false">
      <c r="A918" s="19"/>
      <c r="B918" s="17"/>
      <c r="C918" s="11" t="str">
        <f aca="false">IF(B918="","",IFERROR(INDEX(Students!$B$4:$B$203,MATCH(B918,Students!$A$4:$A$203,0)),""))</f>
        <v/>
      </c>
      <c r="D918" s="11" t="str">
        <f aca="false">IF(B918="","",IFERROR(INDEX(Students!$H$4:$H$203,MATCH(B918,Students!$A$4:$A$203,0)),""))</f>
        <v/>
      </c>
      <c r="E918" s="18"/>
      <c r="F918" s="18"/>
      <c r="G918" s="18"/>
      <c r="H918" s="18"/>
      <c r="I918" s="18"/>
      <c r="J918" s="18"/>
      <c r="K918" s="18"/>
      <c r="L918" s="18"/>
    </row>
    <row r="919" customFormat="false" ht="15" hidden="false" customHeight="true" outlineLevel="0" collapsed="false">
      <c r="A919" s="19"/>
      <c r="B919" s="17"/>
      <c r="C919" s="11" t="str">
        <f aca="false">IF(B919="","",IFERROR(INDEX(Students!$B$4:$B$203,MATCH(B919,Students!$A$4:$A$203,0)),""))</f>
        <v/>
      </c>
      <c r="D919" s="11" t="str">
        <f aca="false">IF(B919="","",IFERROR(INDEX(Students!$H$4:$H$203,MATCH(B919,Students!$A$4:$A$203,0)),""))</f>
        <v/>
      </c>
      <c r="E919" s="18"/>
      <c r="F919" s="18"/>
      <c r="G919" s="18"/>
      <c r="H919" s="18"/>
      <c r="I919" s="18"/>
      <c r="J919" s="18"/>
      <c r="K919" s="18"/>
      <c r="L919" s="18"/>
    </row>
    <row r="920" customFormat="false" ht="15" hidden="false" customHeight="true" outlineLevel="0" collapsed="false">
      <c r="A920" s="19"/>
      <c r="B920" s="17"/>
      <c r="C920" s="11" t="str">
        <f aca="false">IF(B920="","",IFERROR(INDEX(Students!$B$4:$B$203,MATCH(B920,Students!$A$4:$A$203,0)),""))</f>
        <v/>
      </c>
      <c r="D920" s="11" t="str">
        <f aca="false">IF(B920="","",IFERROR(INDEX(Students!$H$4:$H$203,MATCH(B920,Students!$A$4:$A$203,0)),""))</f>
        <v/>
      </c>
      <c r="E920" s="18"/>
      <c r="F920" s="18"/>
      <c r="G920" s="18"/>
      <c r="H920" s="18"/>
      <c r="I920" s="18"/>
      <c r="J920" s="18"/>
      <c r="K920" s="18"/>
      <c r="L920" s="18"/>
    </row>
    <row r="921" customFormat="false" ht="15" hidden="false" customHeight="true" outlineLevel="0" collapsed="false">
      <c r="A921" s="19"/>
      <c r="B921" s="17"/>
      <c r="C921" s="11" t="str">
        <f aca="false">IF(B921="","",IFERROR(INDEX(Students!$B$4:$B$203,MATCH(B921,Students!$A$4:$A$203,0)),""))</f>
        <v/>
      </c>
      <c r="D921" s="11" t="str">
        <f aca="false">IF(B921="","",IFERROR(INDEX(Students!$H$4:$H$203,MATCH(B921,Students!$A$4:$A$203,0)),""))</f>
        <v/>
      </c>
      <c r="E921" s="18"/>
      <c r="F921" s="18"/>
      <c r="G921" s="18"/>
      <c r="H921" s="18"/>
      <c r="I921" s="18"/>
      <c r="J921" s="18"/>
      <c r="K921" s="18"/>
      <c r="L921" s="18"/>
    </row>
    <row r="922" customFormat="false" ht="15" hidden="false" customHeight="true" outlineLevel="0" collapsed="false">
      <c r="A922" s="19"/>
      <c r="B922" s="17"/>
      <c r="C922" s="11" t="str">
        <f aca="false">IF(B922="","",IFERROR(INDEX(Students!$B$4:$B$203,MATCH(B922,Students!$A$4:$A$203,0)),""))</f>
        <v/>
      </c>
      <c r="D922" s="11" t="str">
        <f aca="false">IF(B922="","",IFERROR(INDEX(Students!$H$4:$H$203,MATCH(B922,Students!$A$4:$A$203,0)),""))</f>
        <v/>
      </c>
      <c r="E922" s="18"/>
      <c r="F922" s="18"/>
      <c r="G922" s="18"/>
      <c r="H922" s="18"/>
      <c r="I922" s="18"/>
      <c r="J922" s="18"/>
      <c r="K922" s="18"/>
      <c r="L922" s="18"/>
    </row>
    <row r="923" customFormat="false" ht="15" hidden="false" customHeight="true" outlineLevel="0" collapsed="false">
      <c r="A923" s="19"/>
      <c r="B923" s="17"/>
      <c r="C923" s="11" t="str">
        <f aca="false">IF(B923="","",IFERROR(INDEX(Students!$B$4:$B$203,MATCH(B923,Students!$A$4:$A$203,0)),""))</f>
        <v/>
      </c>
      <c r="D923" s="11" t="str">
        <f aca="false">IF(B923="","",IFERROR(INDEX(Students!$H$4:$H$203,MATCH(B923,Students!$A$4:$A$203,0)),""))</f>
        <v/>
      </c>
      <c r="E923" s="18"/>
      <c r="F923" s="18"/>
      <c r="G923" s="18"/>
      <c r="H923" s="18"/>
      <c r="I923" s="18"/>
      <c r="J923" s="18"/>
      <c r="K923" s="18"/>
      <c r="L923" s="18"/>
    </row>
    <row r="924" customFormat="false" ht="15" hidden="false" customHeight="true" outlineLevel="0" collapsed="false">
      <c r="A924" s="19"/>
      <c r="B924" s="17"/>
      <c r="C924" s="11" t="str">
        <f aca="false">IF(B924="","",IFERROR(INDEX(Students!$B$4:$B$203,MATCH(B924,Students!$A$4:$A$203,0)),""))</f>
        <v/>
      </c>
      <c r="D924" s="11" t="str">
        <f aca="false">IF(B924="","",IFERROR(INDEX(Students!$H$4:$H$203,MATCH(B924,Students!$A$4:$A$203,0)),""))</f>
        <v/>
      </c>
      <c r="E924" s="18"/>
      <c r="F924" s="18"/>
      <c r="G924" s="18"/>
      <c r="H924" s="18"/>
      <c r="I924" s="18"/>
      <c r="J924" s="18"/>
      <c r="K924" s="18"/>
      <c r="L924" s="18"/>
    </row>
    <row r="925" customFormat="false" ht="15" hidden="false" customHeight="true" outlineLevel="0" collapsed="false">
      <c r="A925" s="19"/>
      <c r="B925" s="17"/>
      <c r="C925" s="11" t="str">
        <f aca="false">IF(B925="","",IFERROR(INDEX(Students!$B$4:$B$203,MATCH(B925,Students!$A$4:$A$203,0)),""))</f>
        <v/>
      </c>
      <c r="D925" s="11" t="str">
        <f aca="false">IF(B925="","",IFERROR(INDEX(Students!$H$4:$H$203,MATCH(B925,Students!$A$4:$A$203,0)),""))</f>
        <v/>
      </c>
      <c r="E925" s="18"/>
      <c r="F925" s="18"/>
      <c r="G925" s="18"/>
      <c r="H925" s="18"/>
      <c r="I925" s="18"/>
      <c r="J925" s="18"/>
      <c r="K925" s="18"/>
      <c r="L925" s="18"/>
    </row>
    <row r="926" customFormat="false" ht="15" hidden="false" customHeight="true" outlineLevel="0" collapsed="false">
      <c r="A926" s="19"/>
      <c r="B926" s="17"/>
      <c r="C926" s="11" t="str">
        <f aca="false">IF(B926="","",IFERROR(INDEX(Students!$B$4:$B$203,MATCH(B926,Students!$A$4:$A$203,0)),""))</f>
        <v/>
      </c>
      <c r="D926" s="11" t="str">
        <f aca="false">IF(B926="","",IFERROR(INDEX(Students!$H$4:$H$203,MATCH(B926,Students!$A$4:$A$203,0)),""))</f>
        <v/>
      </c>
      <c r="E926" s="18"/>
      <c r="F926" s="18"/>
      <c r="G926" s="18"/>
      <c r="H926" s="18"/>
      <c r="I926" s="18"/>
      <c r="J926" s="18"/>
      <c r="K926" s="18"/>
      <c r="L926" s="18"/>
    </row>
    <row r="927" customFormat="false" ht="15" hidden="false" customHeight="true" outlineLevel="0" collapsed="false">
      <c r="A927" s="19"/>
      <c r="B927" s="17"/>
      <c r="C927" s="11" t="str">
        <f aca="false">IF(B927="","",IFERROR(INDEX(Students!$B$4:$B$203,MATCH(B927,Students!$A$4:$A$203,0)),""))</f>
        <v/>
      </c>
      <c r="D927" s="11" t="str">
        <f aca="false">IF(B927="","",IFERROR(INDEX(Students!$H$4:$H$203,MATCH(B927,Students!$A$4:$A$203,0)),""))</f>
        <v/>
      </c>
      <c r="E927" s="18"/>
      <c r="F927" s="18"/>
      <c r="G927" s="18"/>
      <c r="H927" s="18"/>
      <c r="I927" s="18"/>
      <c r="J927" s="18"/>
      <c r="K927" s="18"/>
      <c r="L927" s="18"/>
    </row>
    <row r="928" customFormat="false" ht="15" hidden="false" customHeight="true" outlineLevel="0" collapsed="false">
      <c r="A928" s="19"/>
      <c r="B928" s="17"/>
      <c r="C928" s="11" t="str">
        <f aca="false">IF(B928="","",IFERROR(INDEX(Students!$B$4:$B$203,MATCH(B928,Students!$A$4:$A$203,0)),""))</f>
        <v/>
      </c>
      <c r="D928" s="11" t="str">
        <f aca="false">IF(B928="","",IFERROR(INDEX(Students!$H$4:$H$203,MATCH(B928,Students!$A$4:$A$203,0)),""))</f>
        <v/>
      </c>
      <c r="E928" s="18"/>
      <c r="F928" s="18"/>
      <c r="G928" s="18"/>
      <c r="H928" s="18"/>
      <c r="I928" s="18"/>
      <c r="J928" s="18"/>
      <c r="K928" s="18"/>
      <c r="L928" s="18"/>
    </row>
    <row r="929" customFormat="false" ht="15" hidden="false" customHeight="true" outlineLevel="0" collapsed="false">
      <c r="A929" s="19"/>
      <c r="B929" s="17"/>
      <c r="C929" s="11" t="str">
        <f aca="false">IF(B929="","",IFERROR(INDEX(Students!$B$4:$B$203,MATCH(B929,Students!$A$4:$A$203,0)),""))</f>
        <v/>
      </c>
      <c r="D929" s="11" t="str">
        <f aca="false">IF(B929="","",IFERROR(INDEX(Students!$H$4:$H$203,MATCH(B929,Students!$A$4:$A$203,0)),""))</f>
        <v/>
      </c>
      <c r="E929" s="18"/>
      <c r="F929" s="18"/>
      <c r="G929" s="18"/>
      <c r="H929" s="18"/>
      <c r="I929" s="18"/>
      <c r="J929" s="18"/>
      <c r="K929" s="18"/>
      <c r="L929" s="18"/>
    </row>
    <row r="930" customFormat="false" ht="15" hidden="false" customHeight="true" outlineLevel="0" collapsed="false">
      <c r="A930" s="19"/>
      <c r="B930" s="17"/>
      <c r="C930" s="11" t="str">
        <f aca="false">IF(B930="","",IFERROR(INDEX(Students!$B$4:$B$203,MATCH(B930,Students!$A$4:$A$203,0)),""))</f>
        <v/>
      </c>
      <c r="D930" s="11" t="str">
        <f aca="false">IF(B930="","",IFERROR(INDEX(Students!$H$4:$H$203,MATCH(B930,Students!$A$4:$A$203,0)),""))</f>
        <v/>
      </c>
      <c r="E930" s="18"/>
      <c r="F930" s="18"/>
      <c r="G930" s="18"/>
      <c r="H930" s="18"/>
      <c r="I930" s="18"/>
      <c r="J930" s="18"/>
      <c r="K930" s="18"/>
      <c r="L930" s="18"/>
    </row>
    <row r="931" customFormat="false" ht="15" hidden="false" customHeight="true" outlineLevel="0" collapsed="false">
      <c r="A931" s="19"/>
      <c r="B931" s="17"/>
      <c r="C931" s="11" t="str">
        <f aca="false">IF(B931="","",IFERROR(INDEX(Students!$B$4:$B$203,MATCH(B931,Students!$A$4:$A$203,0)),""))</f>
        <v/>
      </c>
      <c r="D931" s="11" t="str">
        <f aca="false">IF(B931="","",IFERROR(INDEX(Students!$H$4:$H$203,MATCH(B931,Students!$A$4:$A$203,0)),""))</f>
        <v/>
      </c>
      <c r="E931" s="18"/>
      <c r="F931" s="18"/>
      <c r="G931" s="18"/>
      <c r="H931" s="18"/>
      <c r="I931" s="18"/>
      <c r="J931" s="18"/>
      <c r="K931" s="18"/>
      <c r="L931" s="18"/>
    </row>
    <row r="932" customFormat="false" ht="15" hidden="false" customHeight="true" outlineLevel="0" collapsed="false">
      <c r="A932" s="19"/>
      <c r="B932" s="17"/>
      <c r="C932" s="11" t="str">
        <f aca="false">IF(B932="","",IFERROR(INDEX(Students!$B$4:$B$203,MATCH(B932,Students!$A$4:$A$203,0)),""))</f>
        <v/>
      </c>
      <c r="D932" s="11" t="str">
        <f aca="false">IF(B932="","",IFERROR(INDEX(Students!$H$4:$H$203,MATCH(B932,Students!$A$4:$A$203,0)),""))</f>
        <v/>
      </c>
      <c r="E932" s="18"/>
      <c r="F932" s="18"/>
      <c r="G932" s="18"/>
      <c r="H932" s="18"/>
      <c r="I932" s="18"/>
      <c r="J932" s="18"/>
      <c r="K932" s="18"/>
      <c r="L932" s="18"/>
    </row>
    <row r="933" customFormat="false" ht="15" hidden="false" customHeight="true" outlineLevel="0" collapsed="false">
      <c r="A933" s="19"/>
      <c r="B933" s="17"/>
      <c r="C933" s="11" t="str">
        <f aca="false">IF(B933="","",IFERROR(INDEX(Students!$B$4:$B$203,MATCH(B933,Students!$A$4:$A$203,0)),""))</f>
        <v/>
      </c>
      <c r="D933" s="11" t="str">
        <f aca="false">IF(B933="","",IFERROR(INDEX(Students!$H$4:$H$203,MATCH(B933,Students!$A$4:$A$203,0)),""))</f>
        <v/>
      </c>
      <c r="E933" s="18"/>
      <c r="F933" s="18"/>
      <c r="G933" s="18"/>
      <c r="H933" s="18"/>
      <c r="I933" s="18"/>
      <c r="J933" s="18"/>
      <c r="K933" s="18"/>
      <c r="L933" s="18"/>
    </row>
    <row r="934" customFormat="false" ht="15" hidden="false" customHeight="true" outlineLevel="0" collapsed="false">
      <c r="A934" s="19"/>
      <c r="B934" s="17"/>
      <c r="C934" s="11" t="str">
        <f aca="false">IF(B934="","",IFERROR(INDEX(Students!$B$4:$B$203,MATCH(B934,Students!$A$4:$A$203,0)),""))</f>
        <v/>
      </c>
      <c r="D934" s="11" t="str">
        <f aca="false">IF(B934="","",IFERROR(INDEX(Students!$H$4:$H$203,MATCH(B934,Students!$A$4:$A$203,0)),""))</f>
        <v/>
      </c>
      <c r="E934" s="18"/>
      <c r="F934" s="18"/>
      <c r="G934" s="18"/>
      <c r="H934" s="18"/>
      <c r="I934" s="18"/>
      <c r="J934" s="18"/>
      <c r="K934" s="18"/>
      <c r="L934" s="18"/>
    </row>
    <row r="935" customFormat="false" ht="15" hidden="false" customHeight="true" outlineLevel="0" collapsed="false">
      <c r="A935" s="19"/>
      <c r="B935" s="17"/>
      <c r="C935" s="11" t="str">
        <f aca="false">IF(B935="","",IFERROR(INDEX(Students!$B$4:$B$203,MATCH(B935,Students!$A$4:$A$203,0)),""))</f>
        <v/>
      </c>
      <c r="D935" s="11" t="str">
        <f aca="false">IF(B935="","",IFERROR(INDEX(Students!$H$4:$H$203,MATCH(B935,Students!$A$4:$A$203,0)),""))</f>
        <v/>
      </c>
      <c r="E935" s="18"/>
      <c r="F935" s="18"/>
      <c r="G935" s="18"/>
      <c r="H935" s="18"/>
      <c r="I935" s="18"/>
      <c r="J935" s="18"/>
      <c r="K935" s="18"/>
      <c r="L935" s="18"/>
    </row>
    <row r="936" customFormat="false" ht="15" hidden="false" customHeight="true" outlineLevel="0" collapsed="false">
      <c r="A936" s="19"/>
      <c r="B936" s="17"/>
      <c r="C936" s="11" t="str">
        <f aca="false">IF(B936="","",IFERROR(INDEX(Students!$B$4:$B$203,MATCH(B936,Students!$A$4:$A$203,0)),""))</f>
        <v/>
      </c>
      <c r="D936" s="11" t="str">
        <f aca="false">IF(B936="","",IFERROR(INDEX(Students!$H$4:$H$203,MATCH(B936,Students!$A$4:$A$203,0)),""))</f>
        <v/>
      </c>
      <c r="E936" s="18"/>
      <c r="F936" s="18"/>
      <c r="G936" s="18"/>
      <c r="H936" s="18"/>
      <c r="I936" s="18"/>
      <c r="J936" s="18"/>
      <c r="K936" s="18"/>
      <c r="L936" s="18"/>
    </row>
    <row r="937" customFormat="false" ht="15" hidden="false" customHeight="true" outlineLevel="0" collapsed="false">
      <c r="A937" s="19"/>
      <c r="B937" s="17"/>
      <c r="C937" s="11" t="str">
        <f aca="false">IF(B937="","",IFERROR(INDEX(Students!$B$4:$B$203,MATCH(B937,Students!$A$4:$A$203,0)),""))</f>
        <v/>
      </c>
      <c r="D937" s="11" t="str">
        <f aca="false">IF(B937="","",IFERROR(INDEX(Students!$H$4:$H$203,MATCH(B937,Students!$A$4:$A$203,0)),""))</f>
        <v/>
      </c>
      <c r="E937" s="18"/>
      <c r="F937" s="18"/>
      <c r="G937" s="18"/>
      <c r="H937" s="18"/>
      <c r="I937" s="18"/>
      <c r="J937" s="18"/>
      <c r="K937" s="18"/>
      <c r="L937" s="18"/>
    </row>
    <row r="938" customFormat="false" ht="15" hidden="false" customHeight="true" outlineLevel="0" collapsed="false">
      <c r="A938" s="19"/>
      <c r="B938" s="17"/>
      <c r="C938" s="11" t="str">
        <f aca="false">IF(B938="","",IFERROR(INDEX(Students!$B$4:$B$203,MATCH(B938,Students!$A$4:$A$203,0)),""))</f>
        <v/>
      </c>
      <c r="D938" s="11" t="str">
        <f aca="false">IF(B938="","",IFERROR(INDEX(Students!$H$4:$H$203,MATCH(B938,Students!$A$4:$A$203,0)),""))</f>
        <v/>
      </c>
      <c r="E938" s="18"/>
      <c r="F938" s="18"/>
      <c r="G938" s="18"/>
      <c r="H938" s="18"/>
      <c r="I938" s="18"/>
      <c r="J938" s="18"/>
      <c r="K938" s="18"/>
      <c r="L938" s="18"/>
    </row>
    <row r="939" customFormat="false" ht="15" hidden="false" customHeight="true" outlineLevel="0" collapsed="false">
      <c r="A939" s="19"/>
      <c r="B939" s="17"/>
      <c r="C939" s="11" t="str">
        <f aca="false">IF(B939="","",IFERROR(INDEX(Students!$B$4:$B$203,MATCH(B939,Students!$A$4:$A$203,0)),""))</f>
        <v/>
      </c>
      <c r="D939" s="11" t="str">
        <f aca="false">IF(B939="","",IFERROR(INDEX(Students!$H$4:$H$203,MATCH(B939,Students!$A$4:$A$203,0)),""))</f>
        <v/>
      </c>
      <c r="E939" s="18"/>
      <c r="F939" s="18"/>
      <c r="G939" s="18"/>
      <c r="H939" s="18"/>
      <c r="I939" s="18"/>
      <c r="J939" s="18"/>
      <c r="K939" s="18"/>
      <c r="L939" s="18"/>
    </row>
    <row r="940" customFormat="false" ht="15" hidden="false" customHeight="true" outlineLevel="0" collapsed="false">
      <c r="A940" s="19"/>
      <c r="B940" s="17"/>
      <c r="C940" s="11" t="str">
        <f aca="false">IF(B940="","",IFERROR(INDEX(Students!$B$4:$B$203,MATCH(B940,Students!$A$4:$A$203,0)),""))</f>
        <v/>
      </c>
      <c r="D940" s="11" t="str">
        <f aca="false">IF(B940="","",IFERROR(INDEX(Students!$H$4:$H$203,MATCH(B940,Students!$A$4:$A$203,0)),""))</f>
        <v/>
      </c>
      <c r="E940" s="18"/>
      <c r="F940" s="18"/>
      <c r="G940" s="18"/>
      <c r="H940" s="18"/>
      <c r="I940" s="18"/>
      <c r="J940" s="18"/>
      <c r="K940" s="18"/>
      <c r="L940" s="18"/>
    </row>
    <row r="941" customFormat="false" ht="15" hidden="false" customHeight="true" outlineLevel="0" collapsed="false">
      <c r="A941" s="19"/>
      <c r="B941" s="17"/>
      <c r="C941" s="11" t="str">
        <f aca="false">IF(B941="","",IFERROR(INDEX(Students!$B$4:$B$203,MATCH(B941,Students!$A$4:$A$203,0)),""))</f>
        <v/>
      </c>
      <c r="D941" s="11" t="str">
        <f aca="false">IF(B941="","",IFERROR(INDEX(Students!$H$4:$H$203,MATCH(B941,Students!$A$4:$A$203,0)),""))</f>
        <v/>
      </c>
      <c r="E941" s="18"/>
      <c r="F941" s="18"/>
      <c r="G941" s="18"/>
      <c r="H941" s="18"/>
      <c r="I941" s="18"/>
      <c r="J941" s="18"/>
      <c r="K941" s="18"/>
      <c r="L941" s="18"/>
    </row>
    <row r="942" customFormat="false" ht="15" hidden="false" customHeight="true" outlineLevel="0" collapsed="false">
      <c r="A942" s="19"/>
      <c r="B942" s="17"/>
      <c r="C942" s="11" t="str">
        <f aca="false">IF(B942="","",IFERROR(INDEX(Students!$B$4:$B$203,MATCH(B942,Students!$A$4:$A$203,0)),""))</f>
        <v/>
      </c>
      <c r="D942" s="11" t="str">
        <f aca="false">IF(B942="","",IFERROR(INDEX(Students!$H$4:$H$203,MATCH(B942,Students!$A$4:$A$203,0)),""))</f>
        <v/>
      </c>
      <c r="E942" s="18"/>
      <c r="F942" s="18"/>
      <c r="G942" s="18"/>
      <c r="H942" s="18"/>
      <c r="I942" s="18"/>
      <c r="J942" s="18"/>
      <c r="K942" s="18"/>
      <c r="L942" s="18"/>
    </row>
    <row r="943" customFormat="false" ht="15" hidden="false" customHeight="true" outlineLevel="0" collapsed="false">
      <c r="A943" s="19"/>
      <c r="B943" s="17"/>
      <c r="C943" s="11" t="str">
        <f aca="false">IF(B943="","",IFERROR(INDEX(Students!$B$4:$B$203,MATCH(B943,Students!$A$4:$A$203,0)),""))</f>
        <v/>
      </c>
      <c r="D943" s="11" t="str">
        <f aca="false">IF(B943="","",IFERROR(INDEX(Students!$H$4:$H$203,MATCH(B943,Students!$A$4:$A$203,0)),""))</f>
        <v/>
      </c>
      <c r="E943" s="18"/>
      <c r="F943" s="18"/>
      <c r="G943" s="18"/>
      <c r="H943" s="18"/>
      <c r="I943" s="18"/>
      <c r="J943" s="18"/>
      <c r="K943" s="18"/>
      <c r="L943" s="18"/>
    </row>
    <row r="944" customFormat="false" ht="15" hidden="false" customHeight="true" outlineLevel="0" collapsed="false">
      <c r="A944" s="19"/>
      <c r="B944" s="17"/>
      <c r="C944" s="11" t="str">
        <f aca="false">IF(B944="","",IFERROR(INDEX(Students!$B$4:$B$203,MATCH(B944,Students!$A$4:$A$203,0)),""))</f>
        <v/>
      </c>
      <c r="D944" s="11" t="str">
        <f aca="false">IF(B944="","",IFERROR(INDEX(Students!$H$4:$H$203,MATCH(B944,Students!$A$4:$A$203,0)),""))</f>
        <v/>
      </c>
      <c r="E944" s="18"/>
      <c r="F944" s="18"/>
      <c r="G944" s="18"/>
      <c r="H944" s="18"/>
      <c r="I944" s="18"/>
      <c r="J944" s="18"/>
      <c r="K944" s="18"/>
      <c r="L944" s="18"/>
    </row>
    <row r="945" customFormat="false" ht="15" hidden="false" customHeight="true" outlineLevel="0" collapsed="false">
      <c r="A945" s="19"/>
      <c r="B945" s="17"/>
      <c r="C945" s="11" t="str">
        <f aca="false">IF(B945="","",IFERROR(INDEX(Students!$B$4:$B$203,MATCH(B945,Students!$A$4:$A$203,0)),""))</f>
        <v/>
      </c>
      <c r="D945" s="11" t="str">
        <f aca="false">IF(B945="","",IFERROR(INDEX(Students!$H$4:$H$203,MATCH(B945,Students!$A$4:$A$203,0)),""))</f>
        <v/>
      </c>
      <c r="E945" s="18"/>
      <c r="F945" s="18"/>
      <c r="G945" s="18"/>
      <c r="H945" s="18"/>
      <c r="I945" s="18"/>
      <c r="J945" s="18"/>
      <c r="K945" s="18"/>
      <c r="L945" s="18"/>
    </row>
    <row r="946" customFormat="false" ht="15" hidden="false" customHeight="true" outlineLevel="0" collapsed="false">
      <c r="A946" s="19"/>
      <c r="B946" s="17"/>
      <c r="C946" s="11" t="str">
        <f aca="false">IF(B946="","",IFERROR(INDEX(Students!$B$4:$B$203,MATCH(B946,Students!$A$4:$A$203,0)),""))</f>
        <v/>
      </c>
      <c r="D946" s="11" t="str">
        <f aca="false">IF(B946="","",IFERROR(INDEX(Students!$H$4:$H$203,MATCH(B946,Students!$A$4:$A$203,0)),""))</f>
        <v/>
      </c>
      <c r="E946" s="18"/>
      <c r="F946" s="18"/>
      <c r="G946" s="18"/>
      <c r="H946" s="18"/>
      <c r="I946" s="18"/>
      <c r="J946" s="18"/>
      <c r="K946" s="18"/>
      <c r="L946" s="18"/>
    </row>
    <row r="947" customFormat="false" ht="15" hidden="false" customHeight="true" outlineLevel="0" collapsed="false">
      <c r="A947" s="19"/>
      <c r="B947" s="17"/>
      <c r="C947" s="11" t="str">
        <f aca="false">IF(B947="","",IFERROR(INDEX(Students!$B$4:$B$203,MATCH(B947,Students!$A$4:$A$203,0)),""))</f>
        <v/>
      </c>
      <c r="D947" s="11" t="str">
        <f aca="false">IF(B947="","",IFERROR(INDEX(Students!$H$4:$H$203,MATCH(B947,Students!$A$4:$A$203,0)),""))</f>
        <v/>
      </c>
      <c r="E947" s="18"/>
      <c r="F947" s="18"/>
      <c r="G947" s="18"/>
      <c r="H947" s="18"/>
      <c r="I947" s="18"/>
      <c r="J947" s="18"/>
      <c r="K947" s="18"/>
      <c r="L947" s="18"/>
    </row>
    <row r="948" customFormat="false" ht="15" hidden="false" customHeight="true" outlineLevel="0" collapsed="false">
      <c r="A948" s="19"/>
      <c r="B948" s="17"/>
      <c r="C948" s="11" t="str">
        <f aca="false">IF(B948="","",IFERROR(INDEX(Students!$B$4:$B$203,MATCH(B948,Students!$A$4:$A$203,0)),""))</f>
        <v/>
      </c>
      <c r="D948" s="11" t="str">
        <f aca="false">IF(B948="","",IFERROR(INDEX(Students!$H$4:$H$203,MATCH(B948,Students!$A$4:$A$203,0)),""))</f>
        <v/>
      </c>
      <c r="E948" s="18"/>
      <c r="F948" s="18"/>
      <c r="G948" s="18"/>
      <c r="H948" s="18"/>
      <c r="I948" s="18"/>
      <c r="J948" s="18"/>
      <c r="K948" s="18"/>
      <c r="L948" s="18"/>
    </row>
    <row r="949" customFormat="false" ht="15" hidden="false" customHeight="true" outlineLevel="0" collapsed="false">
      <c r="A949" s="19"/>
      <c r="B949" s="17"/>
      <c r="C949" s="11" t="str">
        <f aca="false">IF(B949="","",IFERROR(INDEX(Students!$B$4:$B$203,MATCH(B949,Students!$A$4:$A$203,0)),""))</f>
        <v/>
      </c>
      <c r="D949" s="11" t="str">
        <f aca="false">IF(B949="","",IFERROR(INDEX(Students!$H$4:$H$203,MATCH(B949,Students!$A$4:$A$203,0)),""))</f>
        <v/>
      </c>
      <c r="E949" s="18"/>
      <c r="F949" s="18"/>
      <c r="G949" s="18"/>
      <c r="H949" s="18"/>
      <c r="I949" s="18"/>
      <c r="J949" s="18"/>
      <c r="K949" s="18"/>
      <c r="L949" s="18"/>
    </row>
    <row r="950" customFormat="false" ht="15" hidden="false" customHeight="true" outlineLevel="0" collapsed="false">
      <c r="A950" s="19"/>
      <c r="B950" s="17"/>
      <c r="C950" s="11" t="str">
        <f aca="false">IF(B950="","",IFERROR(INDEX(Students!$B$4:$B$203,MATCH(B950,Students!$A$4:$A$203,0)),""))</f>
        <v/>
      </c>
      <c r="D950" s="11" t="str">
        <f aca="false">IF(B950="","",IFERROR(INDEX(Students!$H$4:$H$203,MATCH(B950,Students!$A$4:$A$203,0)),""))</f>
        <v/>
      </c>
      <c r="E950" s="18"/>
      <c r="F950" s="18"/>
      <c r="G950" s="18"/>
      <c r="H950" s="18"/>
      <c r="I950" s="18"/>
      <c r="J950" s="18"/>
      <c r="K950" s="18"/>
      <c r="L950" s="18"/>
    </row>
    <row r="951" customFormat="false" ht="15" hidden="false" customHeight="true" outlineLevel="0" collapsed="false">
      <c r="A951" s="19"/>
      <c r="B951" s="17"/>
      <c r="C951" s="11" t="str">
        <f aca="false">IF(B951="","",IFERROR(INDEX(Students!$B$4:$B$203,MATCH(B951,Students!$A$4:$A$203,0)),""))</f>
        <v/>
      </c>
      <c r="D951" s="11" t="str">
        <f aca="false">IF(B951="","",IFERROR(INDEX(Students!$H$4:$H$203,MATCH(B951,Students!$A$4:$A$203,0)),""))</f>
        <v/>
      </c>
      <c r="E951" s="18"/>
      <c r="F951" s="18"/>
      <c r="G951" s="18"/>
      <c r="H951" s="18"/>
      <c r="I951" s="18"/>
      <c r="J951" s="18"/>
      <c r="K951" s="18"/>
      <c r="L951" s="18"/>
    </row>
    <row r="952" customFormat="false" ht="15" hidden="false" customHeight="true" outlineLevel="0" collapsed="false">
      <c r="A952" s="19"/>
      <c r="B952" s="17"/>
      <c r="C952" s="11" t="str">
        <f aca="false">IF(B952="","",IFERROR(INDEX(Students!$B$4:$B$203,MATCH(B952,Students!$A$4:$A$203,0)),""))</f>
        <v/>
      </c>
      <c r="D952" s="11" t="str">
        <f aca="false">IF(B952="","",IFERROR(INDEX(Students!$H$4:$H$203,MATCH(B952,Students!$A$4:$A$203,0)),""))</f>
        <v/>
      </c>
      <c r="E952" s="18"/>
      <c r="F952" s="18"/>
      <c r="G952" s="18"/>
      <c r="H952" s="18"/>
      <c r="I952" s="18"/>
      <c r="J952" s="18"/>
      <c r="K952" s="18"/>
      <c r="L952" s="18"/>
    </row>
    <row r="953" customFormat="false" ht="15" hidden="false" customHeight="true" outlineLevel="0" collapsed="false">
      <c r="A953" s="19"/>
      <c r="B953" s="17"/>
      <c r="C953" s="11" t="str">
        <f aca="false">IF(B953="","",IFERROR(INDEX(Students!$B$4:$B$203,MATCH(B953,Students!$A$4:$A$203,0)),""))</f>
        <v/>
      </c>
      <c r="D953" s="11" t="str">
        <f aca="false">IF(B953="","",IFERROR(INDEX(Students!$H$4:$H$203,MATCH(B953,Students!$A$4:$A$203,0)),""))</f>
        <v/>
      </c>
      <c r="E953" s="18"/>
      <c r="F953" s="18"/>
      <c r="G953" s="18"/>
      <c r="H953" s="18"/>
      <c r="I953" s="18"/>
      <c r="J953" s="18"/>
      <c r="K953" s="18"/>
      <c r="L953" s="18"/>
    </row>
    <row r="954" customFormat="false" ht="15" hidden="false" customHeight="true" outlineLevel="0" collapsed="false">
      <c r="A954" s="19"/>
      <c r="B954" s="17"/>
      <c r="C954" s="11" t="str">
        <f aca="false">IF(B954="","",IFERROR(INDEX(Students!$B$4:$B$203,MATCH(B954,Students!$A$4:$A$203,0)),""))</f>
        <v/>
      </c>
      <c r="D954" s="11" t="str">
        <f aca="false">IF(B954="","",IFERROR(INDEX(Students!$H$4:$H$203,MATCH(B954,Students!$A$4:$A$203,0)),""))</f>
        <v/>
      </c>
      <c r="E954" s="18"/>
      <c r="F954" s="18"/>
      <c r="G954" s="18"/>
      <c r="H954" s="18"/>
      <c r="I954" s="18"/>
      <c r="J954" s="18"/>
      <c r="K954" s="18"/>
      <c r="L954" s="18"/>
    </row>
    <row r="955" customFormat="false" ht="15" hidden="false" customHeight="true" outlineLevel="0" collapsed="false">
      <c r="A955" s="19"/>
      <c r="B955" s="17"/>
      <c r="C955" s="11" t="str">
        <f aca="false">IF(B955="","",IFERROR(INDEX(Students!$B$4:$B$203,MATCH(B955,Students!$A$4:$A$203,0)),""))</f>
        <v/>
      </c>
      <c r="D955" s="11" t="str">
        <f aca="false">IF(B955="","",IFERROR(INDEX(Students!$H$4:$H$203,MATCH(B955,Students!$A$4:$A$203,0)),""))</f>
        <v/>
      </c>
      <c r="E955" s="18"/>
      <c r="F955" s="18"/>
      <c r="G955" s="18"/>
      <c r="H955" s="18"/>
      <c r="I955" s="18"/>
      <c r="J955" s="18"/>
      <c r="K955" s="18"/>
      <c r="L955" s="18"/>
    </row>
    <row r="956" customFormat="false" ht="15" hidden="false" customHeight="true" outlineLevel="0" collapsed="false">
      <c r="A956" s="19"/>
      <c r="B956" s="17"/>
      <c r="C956" s="11" t="str">
        <f aca="false">IF(B956="","",IFERROR(INDEX(Students!$B$4:$B$203,MATCH(B956,Students!$A$4:$A$203,0)),""))</f>
        <v/>
      </c>
      <c r="D956" s="11" t="str">
        <f aca="false">IF(B956="","",IFERROR(INDEX(Students!$H$4:$H$203,MATCH(B956,Students!$A$4:$A$203,0)),""))</f>
        <v/>
      </c>
      <c r="E956" s="18"/>
      <c r="F956" s="18"/>
      <c r="G956" s="18"/>
      <c r="H956" s="18"/>
      <c r="I956" s="18"/>
      <c r="J956" s="18"/>
      <c r="K956" s="18"/>
      <c r="L956" s="18"/>
    </row>
    <row r="957" customFormat="false" ht="15" hidden="false" customHeight="true" outlineLevel="0" collapsed="false">
      <c r="A957" s="19"/>
      <c r="B957" s="17"/>
      <c r="C957" s="11" t="str">
        <f aca="false">IF(B957="","",IFERROR(INDEX(Students!$B$4:$B$203,MATCH(B957,Students!$A$4:$A$203,0)),""))</f>
        <v/>
      </c>
      <c r="D957" s="11" t="str">
        <f aca="false">IF(B957="","",IFERROR(INDEX(Students!$H$4:$H$203,MATCH(B957,Students!$A$4:$A$203,0)),""))</f>
        <v/>
      </c>
      <c r="E957" s="18"/>
      <c r="F957" s="18"/>
      <c r="G957" s="18"/>
      <c r="H957" s="18"/>
      <c r="I957" s="18"/>
      <c r="J957" s="18"/>
      <c r="K957" s="18"/>
      <c r="L957" s="18"/>
    </row>
    <row r="958" customFormat="false" ht="15" hidden="false" customHeight="true" outlineLevel="0" collapsed="false">
      <c r="A958" s="19"/>
      <c r="B958" s="17"/>
      <c r="C958" s="11" t="str">
        <f aca="false">IF(B958="","",IFERROR(INDEX(Students!$B$4:$B$203,MATCH(B958,Students!$A$4:$A$203,0)),""))</f>
        <v/>
      </c>
      <c r="D958" s="11" t="str">
        <f aca="false">IF(B958="","",IFERROR(INDEX(Students!$H$4:$H$203,MATCH(B958,Students!$A$4:$A$203,0)),""))</f>
        <v/>
      </c>
      <c r="E958" s="18"/>
      <c r="F958" s="18"/>
      <c r="G958" s="18"/>
      <c r="H958" s="18"/>
      <c r="I958" s="18"/>
      <c r="J958" s="18"/>
      <c r="K958" s="18"/>
      <c r="L958" s="18"/>
    </row>
    <row r="959" customFormat="false" ht="15" hidden="false" customHeight="true" outlineLevel="0" collapsed="false">
      <c r="A959" s="19"/>
      <c r="B959" s="17"/>
      <c r="C959" s="11" t="str">
        <f aca="false">IF(B959="","",IFERROR(INDEX(Students!$B$4:$B$203,MATCH(B959,Students!$A$4:$A$203,0)),""))</f>
        <v/>
      </c>
      <c r="D959" s="11" t="str">
        <f aca="false">IF(B959="","",IFERROR(INDEX(Students!$H$4:$H$203,MATCH(B959,Students!$A$4:$A$203,0)),""))</f>
        <v/>
      </c>
      <c r="E959" s="18"/>
      <c r="F959" s="18"/>
      <c r="G959" s="18"/>
      <c r="H959" s="18"/>
      <c r="I959" s="18"/>
      <c r="J959" s="18"/>
      <c r="K959" s="18"/>
      <c r="L959" s="18"/>
    </row>
    <row r="960" customFormat="false" ht="15" hidden="false" customHeight="true" outlineLevel="0" collapsed="false">
      <c r="A960" s="19"/>
      <c r="B960" s="17"/>
      <c r="C960" s="11" t="str">
        <f aca="false">IF(B960="","",IFERROR(INDEX(Students!$B$4:$B$203,MATCH(B960,Students!$A$4:$A$203,0)),""))</f>
        <v/>
      </c>
      <c r="D960" s="11" t="str">
        <f aca="false">IF(B960="","",IFERROR(INDEX(Students!$H$4:$H$203,MATCH(B960,Students!$A$4:$A$203,0)),""))</f>
        <v/>
      </c>
      <c r="E960" s="18"/>
      <c r="F960" s="18"/>
      <c r="G960" s="18"/>
      <c r="H960" s="18"/>
      <c r="I960" s="18"/>
      <c r="J960" s="18"/>
      <c r="K960" s="18"/>
      <c r="L960" s="18"/>
    </row>
    <row r="961" customFormat="false" ht="15" hidden="false" customHeight="true" outlineLevel="0" collapsed="false">
      <c r="A961" s="19"/>
      <c r="B961" s="17"/>
      <c r="C961" s="11" t="str">
        <f aca="false">IF(B961="","",IFERROR(INDEX(Students!$B$4:$B$203,MATCH(B961,Students!$A$4:$A$203,0)),""))</f>
        <v/>
      </c>
      <c r="D961" s="11" t="str">
        <f aca="false">IF(B961="","",IFERROR(INDEX(Students!$H$4:$H$203,MATCH(B961,Students!$A$4:$A$203,0)),""))</f>
        <v/>
      </c>
      <c r="E961" s="18"/>
      <c r="F961" s="18"/>
      <c r="G961" s="18"/>
      <c r="H961" s="18"/>
      <c r="I961" s="18"/>
      <c r="J961" s="18"/>
      <c r="K961" s="18"/>
      <c r="L961" s="18"/>
    </row>
    <row r="962" customFormat="false" ht="15" hidden="false" customHeight="true" outlineLevel="0" collapsed="false">
      <c r="A962" s="19"/>
      <c r="B962" s="17"/>
      <c r="C962" s="11" t="str">
        <f aca="false">IF(B962="","",IFERROR(INDEX(Students!$B$4:$B$203,MATCH(B962,Students!$A$4:$A$203,0)),""))</f>
        <v/>
      </c>
      <c r="D962" s="11" t="str">
        <f aca="false">IF(B962="","",IFERROR(INDEX(Students!$H$4:$H$203,MATCH(B962,Students!$A$4:$A$203,0)),""))</f>
        <v/>
      </c>
      <c r="E962" s="18"/>
      <c r="F962" s="18"/>
      <c r="G962" s="18"/>
      <c r="H962" s="18"/>
      <c r="I962" s="18"/>
      <c r="J962" s="18"/>
      <c r="K962" s="18"/>
      <c r="L962" s="18"/>
    </row>
    <row r="963" customFormat="false" ht="15" hidden="false" customHeight="true" outlineLevel="0" collapsed="false">
      <c r="A963" s="19"/>
      <c r="B963" s="17"/>
      <c r="C963" s="11" t="str">
        <f aca="false">IF(B963="","",IFERROR(INDEX(Students!$B$4:$B$203,MATCH(B963,Students!$A$4:$A$203,0)),""))</f>
        <v/>
      </c>
      <c r="D963" s="11" t="str">
        <f aca="false">IF(B963="","",IFERROR(INDEX(Students!$H$4:$H$203,MATCH(B963,Students!$A$4:$A$203,0)),""))</f>
        <v/>
      </c>
      <c r="E963" s="18"/>
      <c r="F963" s="18"/>
      <c r="G963" s="18"/>
      <c r="H963" s="18"/>
      <c r="I963" s="18"/>
      <c r="J963" s="18"/>
      <c r="K963" s="18"/>
      <c r="L963" s="18"/>
    </row>
    <row r="964" customFormat="false" ht="15" hidden="false" customHeight="true" outlineLevel="0" collapsed="false">
      <c r="A964" s="19"/>
      <c r="B964" s="17"/>
      <c r="C964" s="11" t="str">
        <f aca="false">IF(B964="","",IFERROR(INDEX(Students!$B$4:$B$203,MATCH(B964,Students!$A$4:$A$203,0)),""))</f>
        <v/>
      </c>
      <c r="D964" s="11" t="str">
        <f aca="false">IF(B964="","",IFERROR(INDEX(Students!$H$4:$H$203,MATCH(B964,Students!$A$4:$A$203,0)),""))</f>
        <v/>
      </c>
      <c r="E964" s="18"/>
      <c r="F964" s="18"/>
      <c r="G964" s="18"/>
      <c r="H964" s="18"/>
      <c r="I964" s="18"/>
      <c r="J964" s="18"/>
      <c r="K964" s="18"/>
      <c r="L964" s="18"/>
    </row>
    <row r="965" customFormat="false" ht="15" hidden="false" customHeight="true" outlineLevel="0" collapsed="false">
      <c r="A965" s="19"/>
      <c r="B965" s="17"/>
      <c r="C965" s="11" t="str">
        <f aca="false">IF(B965="","",IFERROR(INDEX(Students!$B$4:$B$203,MATCH(B965,Students!$A$4:$A$203,0)),""))</f>
        <v/>
      </c>
      <c r="D965" s="11" t="str">
        <f aca="false">IF(B965="","",IFERROR(INDEX(Students!$H$4:$H$203,MATCH(B965,Students!$A$4:$A$203,0)),""))</f>
        <v/>
      </c>
      <c r="E965" s="18"/>
      <c r="F965" s="18"/>
      <c r="G965" s="18"/>
      <c r="H965" s="18"/>
      <c r="I965" s="18"/>
      <c r="J965" s="18"/>
      <c r="K965" s="18"/>
      <c r="L965" s="18"/>
    </row>
    <row r="966" customFormat="false" ht="15" hidden="false" customHeight="true" outlineLevel="0" collapsed="false">
      <c r="A966" s="19"/>
      <c r="B966" s="17"/>
      <c r="C966" s="11" t="str">
        <f aca="false">IF(B966="","",IFERROR(INDEX(Students!$B$4:$B$203,MATCH(B966,Students!$A$4:$A$203,0)),""))</f>
        <v/>
      </c>
      <c r="D966" s="11" t="str">
        <f aca="false">IF(B966="","",IFERROR(INDEX(Students!$H$4:$H$203,MATCH(B966,Students!$A$4:$A$203,0)),""))</f>
        <v/>
      </c>
      <c r="E966" s="18"/>
      <c r="F966" s="18"/>
      <c r="G966" s="18"/>
      <c r="H966" s="18"/>
      <c r="I966" s="18"/>
      <c r="J966" s="18"/>
      <c r="K966" s="18"/>
      <c r="L966" s="18"/>
    </row>
    <row r="967" customFormat="false" ht="15" hidden="false" customHeight="true" outlineLevel="0" collapsed="false">
      <c r="A967" s="19"/>
      <c r="B967" s="17"/>
      <c r="C967" s="11" t="str">
        <f aca="false">IF(B967="","",IFERROR(INDEX(Students!$B$4:$B$203,MATCH(B967,Students!$A$4:$A$203,0)),""))</f>
        <v/>
      </c>
      <c r="D967" s="11" t="str">
        <f aca="false">IF(B967="","",IFERROR(INDEX(Students!$H$4:$H$203,MATCH(B967,Students!$A$4:$A$203,0)),""))</f>
        <v/>
      </c>
      <c r="E967" s="18"/>
      <c r="F967" s="18"/>
      <c r="G967" s="18"/>
      <c r="H967" s="18"/>
      <c r="I967" s="18"/>
      <c r="J967" s="18"/>
      <c r="K967" s="18"/>
      <c r="L967" s="18"/>
    </row>
    <row r="968" customFormat="false" ht="15" hidden="false" customHeight="true" outlineLevel="0" collapsed="false">
      <c r="A968" s="19"/>
      <c r="B968" s="17"/>
      <c r="C968" s="11" t="str">
        <f aca="false">IF(B968="","",IFERROR(INDEX(Students!$B$4:$B$203,MATCH(B968,Students!$A$4:$A$203,0)),""))</f>
        <v/>
      </c>
      <c r="D968" s="11" t="str">
        <f aca="false">IF(B968="","",IFERROR(INDEX(Students!$H$4:$H$203,MATCH(B968,Students!$A$4:$A$203,0)),""))</f>
        <v/>
      </c>
      <c r="E968" s="18"/>
      <c r="F968" s="18"/>
      <c r="G968" s="18"/>
      <c r="H968" s="18"/>
      <c r="I968" s="18"/>
      <c r="J968" s="18"/>
      <c r="K968" s="18"/>
      <c r="L968" s="18"/>
    </row>
    <row r="969" customFormat="false" ht="15" hidden="false" customHeight="true" outlineLevel="0" collapsed="false">
      <c r="A969" s="19"/>
      <c r="B969" s="17"/>
      <c r="C969" s="11" t="str">
        <f aca="false">IF(B969="","",IFERROR(INDEX(Students!$B$4:$B$203,MATCH(B969,Students!$A$4:$A$203,0)),""))</f>
        <v/>
      </c>
      <c r="D969" s="11" t="str">
        <f aca="false">IF(B969="","",IFERROR(INDEX(Students!$H$4:$H$203,MATCH(B969,Students!$A$4:$A$203,0)),""))</f>
        <v/>
      </c>
      <c r="E969" s="18"/>
      <c r="F969" s="18"/>
      <c r="G969" s="18"/>
      <c r="H969" s="18"/>
      <c r="I969" s="18"/>
      <c r="J969" s="18"/>
      <c r="K969" s="18"/>
      <c r="L969" s="18"/>
    </row>
    <row r="970" customFormat="false" ht="15" hidden="false" customHeight="true" outlineLevel="0" collapsed="false">
      <c r="A970" s="19"/>
      <c r="B970" s="17"/>
      <c r="C970" s="11" t="str">
        <f aca="false">IF(B970="","",IFERROR(INDEX(Students!$B$4:$B$203,MATCH(B970,Students!$A$4:$A$203,0)),""))</f>
        <v/>
      </c>
      <c r="D970" s="11" t="str">
        <f aca="false">IF(B970="","",IFERROR(INDEX(Students!$H$4:$H$203,MATCH(B970,Students!$A$4:$A$203,0)),""))</f>
        <v/>
      </c>
      <c r="E970" s="18"/>
      <c r="F970" s="18"/>
      <c r="G970" s="18"/>
      <c r="H970" s="18"/>
      <c r="I970" s="18"/>
      <c r="J970" s="18"/>
      <c r="K970" s="18"/>
      <c r="L970" s="18"/>
    </row>
    <row r="971" customFormat="false" ht="15" hidden="false" customHeight="true" outlineLevel="0" collapsed="false">
      <c r="A971" s="19"/>
      <c r="B971" s="17"/>
      <c r="C971" s="11" t="str">
        <f aca="false">IF(B971="","",IFERROR(INDEX(Students!$B$4:$B$203,MATCH(B971,Students!$A$4:$A$203,0)),""))</f>
        <v/>
      </c>
      <c r="D971" s="11" t="str">
        <f aca="false">IF(B971="","",IFERROR(INDEX(Students!$H$4:$H$203,MATCH(B971,Students!$A$4:$A$203,0)),""))</f>
        <v/>
      </c>
      <c r="E971" s="18"/>
      <c r="F971" s="18"/>
      <c r="G971" s="18"/>
      <c r="H971" s="18"/>
      <c r="I971" s="18"/>
      <c r="J971" s="18"/>
      <c r="K971" s="18"/>
      <c r="L971" s="18"/>
    </row>
    <row r="972" customFormat="false" ht="15" hidden="false" customHeight="true" outlineLevel="0" collapsed="false">
      <c r="A972" s="19"/>
      <c r="B972" s="17"/>
      <c r="C972" s="11" t="str">
        <f aca="false">IF(B972="","",IFERROR(INDEX(Students!$B$4:$B$203,MATCH(B972,Students!$A$4:$A$203,0)),""))</f>
        <v/>
      </c>
      <c r="D972" s="11" t="str">
        <f aca="false">IF(B972="","",IFERROR(INDEX(Students!$H$4:$H$203,MATCH(B972,Students!$A$4:$A$203,0)),""))</f>
        <v/>
      </c>
      <c r="E972" s="18"/>
      <c r="F972" s="18"/>
      <c r="G972" s="18"/>
      <c r="H972" s="18"/>
      <c r="I972" s="18"/>
      <c r="J972" s="18"/>
      <c r="K972" s="18"/>
      <c r="L972" s="18"/>
    </row>
    <row r="973" customFormat="false" ht="15" hidden="false" customHeight="true" outlineLevel="0" collapsed="false">
      <c r="A973" s="19"/>
      <c r="B973" s="17"/>
      <c r="C973" s="11" t="str">
        <f aca="false">IF(B973="","",IFERROR(INDEX(Students!$B$4:$B$203,MATCH(B973,Students!$A$4:$A$203,0)),""))</f>
        <v/>
      </c>
      <c r="D973" s="11" t="str">
        <f aca="false">IF(B973="","",IFERROR(INDEX(Students!$H$4:$H$203,MATCH(B973,Students!$A$4:$A$203,0)),""))</f>
        <v/>
      </c>
      <c r="E973" s="18"/>
      <c r="F973" s="18"/>
      <c r="G973" s="18"/>
      <c r="H973" s="18"/>
      <c r="I973" s="18"/>
      <c r="J973" s="18"/>
      <c r="K973" s="18"/>
      <c r="L973" s="18"/>
    </row>
    <row r="974" customFormat="false" ht="15" hidden="false" customHeight="true" outlineLevel="0" collapsed="false">
      <c r="A974" s="19"/>
      <c r="B974" s="17"/>
      <c r="C974" s="11" t="str">
        <f aca="false">IF(B974="","",IFERROR(INDEX(Students!$B$4:$B$203,MATCH(B974,Students!$A$4:$A$203,0)),""))</f>
        <v/>
      </c>
      <c r="D974" s="11" t="str">
        <f aca="false">IF(B974="","",IFERROR(INDEX(Students!$H$4:$H$203,MATCH(B974,Students!$A$4:$A$203,0)),""))</f>
        <v/>
      </c>
      <c r="E974" s="18"/>
      <c r="F974" s="18"/>
      <c r="G974" s="18"/>
      <c r="H974" s="18"/>
      <c r="I974" s="18"/>
      <c r="J974" s="18"/>
      <c r="K974" s="18"/>
      <c r="L974" s="18"/>
    </row>
    <row r="975" customFormat="false" ht="15" hidden="false" customHeight="true" outlineLevel="0" collapsed="false">
      <c r="A975" s="19"/>
      <c r="B975" s="17"/>
      <c r="C975" s="11" t="str">
        <f aca="false">IF(B975="","",IFERROR(INDEX(Students!$B$4:$B$203,MATCH(B975,Students!$A$4:$A$203,0)),""))</f>
        <v/>
      </c>
      <c r="D975" s="11" t="str">
        <f aca="false">IF(B975="","",IFERROR(INDEX(Students!$H$4:$H$203,MATCH(B975,Students!$A$4:$A$203,0)),""))</f>
        <v/>
      </c>
      <c r="E975" s="18"/>
      <c r="F975" s="18"/>
      <c r="G975" s="18"/>
      <c r="H975" s="18"/>
      <c r="I975" s="18"/>
      <c r="J975" s="18"/>
      <c r="K975" s="18"/>
      <c r="L975" s="18"/>
    </row>
    <row r="976" customFormat="false" ht="15" hidden="false" customHeight="true" outlineLevel="0" collapsed="false">
      <c r="A976" s="19"/>
      <c r="B976" s="17"/>
      <c r="C976" s="11" t="str">
        <f aca="false">IF(B976="","",IFERROR(INDEX(Students!$B$4:$B$203,MATCH(B976,Students!$A$4:$A$203,0)),""))</f>
        <v/>
      </c>
      <c r="D976" s="11" t="str">
        <f aca="false">IF(B976="","",IFERROR(INDEX(Students!$H$4:$H$203,MATCH(B976,Students!$A$4:$A$203,0)),""))</f>
        <v/>
      </c>
      <c r="E976" s="18"/>
      <c r="F976" s="18"/>
      <c r="G976" s="18"/>
      <c r="H976" s="18"/>
      <c r="I976" s="18"/>
      <c r="J976" s="18"/>
      <c r="K976" s="18"/>
      <c r="L976" s="18"/>
    </row>
    <row r="977" customFormat="false" ht="15" hidden="false" customHeight="true" outlineLevel="0" collapsed="false">
      <c r="A977" s="19"/>
      <c r="B977" s="17"/>
      <c r="C977" s="11" t="str">
        <f aca="false">IF(B977="","",IFERROR(INDEX(Students!$B$4:$B$203,MATCH(B977,Students!$A$4:$A$203,0)),""))</f>
        <v/>
      </c>
      <c r="D977" s="11" t="str">
        <f aca="false">IF(B977="","",IFERROR(INDEX(Students!$H$4:$H$203,MATCH(B977,Students!$A$4:$A$203,0)),""))</f>
        <v/>
      </c>
      <c r="E977" s="18"/>
      <c r="F977" s="18"/>
      <c r="G977" s="18"/>
      <c r="H977" s="18"/>
      <c r="I977" s="18"/>
      <c r="J977" s="18"/>
      <c r="K977" s="18"/>
      <c r="L977" s="18"/>
    </row>
    <row r="978" customFormat="false" ht="15" hidden="false" customHeight="true" outlineLevel="0" collapsed="false">
      <c r="A978" s="19"/>
      <c r="B978" s="17"/>
      <c r="C978" s="11" t="str">
        <f aca="false">IF(B978="","",IFERROR(INDEX(Students!$B$4:$B$203,MATCH(B978,Students!$A$4:$A$203,0)),""))</f>
        <v/>
      </c>
      <c r="D978" s="11" t="str">
        <f aca="false">IF(B978="","",IFERROR(INDEX(Students!$H$4:$H$203,MATCH(B978,Students!$A$4:$A$203,0)),""))</f>
        <v/>
      </c>
      <c r="E978" s="18"/>
      <c r="F978" s="18"/>
      <c r="G978" s="18"/>
      <c r="H978" s="18"/>
      <c r="I978" s="18"/>
      <c r="J978" s="18"/>
      <c r="K978" s="18"/>
      <c r="L978" s="18"/>
    </row>
    <row r="979" customFormat="false" ht="15" hidden="false" customHeight="true" outlineLevel="0" collapsed="false">
      <c r="A979" s="19"/>
      <c r="B979" s="17"/>
      <c r="C979" s="11" t="str">
        <f aca="false">IF(B979="","",IFERROR(INDEX(Students!$B$4:$B$203,MATCH(B979,Students!$A$4:$A$203,0)),""))</f>
        <v/>
      </c>
      <c r="D979" s="11" t="str">
        <f aca="false">IF(B979="","",IFERROR(INDEX(Students!$H$4:$H$203,MATCH(B979,Students!$A$4:$A$203,0)),""))</f>
        <v/>
      </c>
      <c r="E979" s="18"/>
      <c r="F979" s="18"/>
      <c r="G979" s="18"/>
      <c r="H979" s="18"/>
      <c r="I979" s="18"/>
      <c r="J979" s="18"/>
      <c r="K979" s="18"/>
      <c r="L979" s="18"/>
    </row>
    <row r="980" customFormat="false" ht="15" hidden="false" customHeight="true" outlineLevel="0" collapsed="false">
      <c r="A980" s="19"/>
      <c r="B980" s="17"/>
      <c r="C980" s="11" t="str">
        <f aca="false">IF(B980="","",IFERROR(INDEX(Students!$B$4:$B$203,MATCH(B980,Students!$A$4:$A$203,0)),""))</f>
        <v/>
      </c>
      <c r="D980" s="11" t="str">
        <f aca="false">IF(B980="","",IFERROR(INDEX(Students!$H$4:$H$203,MATCH(B980,Students!$A$4:$A$203,0)),""))</f>
        <v/>
      </c>
      <c r="E980" s="18"/>
      <c r="F980" s="18"/>
      <c r="G980" s="18"/>
      <c r="H980" s="18"/>
      <c r="I980" s="18"/>
      <c r="J980" s="18"/>
      <c r="K980" s="18"/>
      <c r="L980" s="18"/>
    </row>
    <row r="981" customFormat="false" ht="15" hidden="false" customHeight="true" outlineLevel="0" collapsed="false">
      <c r="A981" s="19"/>
      <c r="B981" s="17"/>
      <c r="C981" s="11" t="str">
        <f aca="false">IF(B981="","",IFERROR(INDEX(Students!$B$4:$B$203,MATCH(B981,Students!$A$4:$A$203,0)),""))</f>
        <v/>
      </c>
      <c r="D981" s="11" t="str">
        <f aca="false">IF(B981="","",IFERROR(INDEX(Students!$H$4:$H$203,MATCH(B981,Students!$A$4:$A$203,0)),""))</f>
        <v/>
      </c>
      <c r="E981" s="18"/>
      <c r="F981" s="18"/>
      <c r="G981" s="18"/>
      <c r="H981" s="18"/>
      <c r="I981" s="18"/>
      <c r="J981" s="18"/>
      <c r="K981" s="18"/>
      <c r="L981" s="18"/>
    </row>
    <row r="982" customFormat="false" ht="15" hidden="false" customHeight="true" outlineLevel="0" collapsed="false">
      <c r="A982" s="19"/>
      <c r="B982" s="17"/>
      <c r="C982" s="11" t="str">
        <f aca="false">IF(B982="","",IFERROR(INDEX(Students!$B$4:$B$203,MATCH(B982,Students!$A$4:$A$203,0)),""))</f>
        <v/>
      </c>
      <c r="D982" s="11" t="str">
        <f aca="false">IF(B982="","",IFERROR(INDEX(Students!$H$4:$H$203,MATCH(B982,Students!$A$4:$A$203,0)),""))</f>
        <v/>
      </c>
      <c r="E982" s="18"/>
      <c r="F982" s="18"/>
      <c r="G982" s="18"/>
      <c r="H982" s="18"/>
      <c r="I982" s="18"/>
      <c r="J982" s="18"/>
      <c r="K982" s="18"/>
      <c r="L982" s="18"/>
    </row>
    <row r="983" customFormat="false" ht="15" hidden="false" customHeight="true" outlineLevel="0" collapsed="false">
      <c r="A983" s="19"/>
      <c r="B983" s="17"/>
      <c r="C983" s="11" t="str">
        <f aca="false">IF(B983="","",IFERROR(INDEX(Students!$B$4:$B$203,MATCH(B983,Students!$A$4:$A$203,0)),""))</f>
        <v/>
      </c>
      <c r="D983" s="11" t="str">
        <f aca="false">IF(B983="","",IFERROR(INDEX(Students!$H$4:$H$203,MATCH(B983,Students!$A$4:$A$203,0)),""))</f>
        <v/>
      </c>
      <c r="E983" s="18"/>
      <c r="F983" s="18"/>
      <c r="G983" s="18"/>
      <c r="H983" s="18"/>
      <c r="I983" s="18"/>
      <c r="J983" s="18"/>
      <c r="K983" s="18"/>
      <c r="L983" s="18"/>
    </row>
    <row r="984" customFormat="false" ht="15" hidden="false" customHeight="true" outlineLevel="0" collapsed="false">
      <c r="A984" s="19"/>
      <c r="B984" s="17"/>
      <c r="C984" s="11" t="str">
        <f aca="false">IF(B984="","",IFERROR(INDEX(Students!$B$4:$B$203,MATCH(B984,Students!$A$4:$A$203,0)),""))</f>
        <v/>
      </c>
      <c r="D984" s="11" t="str">
        <f aca="false">IF(B984="","",IFERROR(INDEX(Students!$H$4:$H$203,MATCH(B984,Students!$A$4:$A$203,0)),""))</f>
        <v/>
      </c>
      <c r="E984" s="18"/>
      <c r="F984" s="18"/>
      <c r="G984" s="18"/>
      <c r="H984" s="18"/>
      <c r="I984" s="18"/>
      <c r="J984" s="18"/>
      <c r="K984" s="18"/>
      <c r="L984" s="18"/>
    </row>
    <row r="985" customFormat="false" ht="15" hidden="false" customHeight="true" outlineLevel="0" collapsed="false">
      <c r="A985" s="19"/>
      <c r="B985" s="17"/>
      <c r="C985" s="11" t="str">
        <f aca="false">IF(B985="","",IFERROR(INDEX(Students!$B$4:$B$203,MATCH(B985,Students!$A$4:$A$203,0)),""))</f>
        <v/>
      </c>
      <c r="D985" s="11" t="str">
        <f aca="false">IF(B985="","",IFERROR(INDEX(Students!$H$4:$H$203,MATCH(B985,Students!$A$4:$A$203,0)),""))</f>
        <v/>
      </c>
      <c r="E985" s="18"/>
      <c r="F985" s="18"/>
      <c r="G985" s="18"/>
      <c r="H985" s="18"/>
      <c r="I985" s="18"/>
      <c r="J985" s="18"/>
      <c r="K985" s="18"/>
      <c r="L985" s="18"/>
    </row>
    <row r="986" customFormat="false" ht="15" hidden="false" customHeight="true" outlineLevel="0" collapsed="false">
      <c r="A986" s="19"/>
      <c r="B986" s="17"/>
      <c r="C986" s="11" t="str">
        <f aca="false">IF(B986="","",IFERROR(INDEX(Students!$B$4:$B$203,MATCH(B986,Students!$A$4:$A$203,0)),""))</f>
        <v/>
      </c>
      <c r="D986" s="11" t="str">
        <f aca="false">IF(B986="","",IFERROR(INDEX(Students!$H$4:$H$203,MATCH(B986,Students!$A$4:$A$203,0)),""))</f>
        <v/>
      </c>
      <c r="E986" s="18"/>
      <c r="F986" s="18"/>
      <c r="G986" s="18"/>
      <c r="H986" s="18"/>
      <c r="I986" s="18"/>
      <c r="J986" s="18"/>
      <c r="K986" s="18"/>
      <c r="L986" s="18"/>
    </row>
    <row r="987" customFormat="false" ht="15" hidden="false" customHeight="true" outlineLevel="0" collapsed="false">
      <c r="A987" s="19"/>
      <c r="B987" s="17"/>
      <c r="C987" s="11" t="str">
        <f aca="false">IF(B987="","",IFERROR(INDEX(Students!$B$4:$B$203,MATCH(B987,Students!$A$4:$A$203,0)),""))</f>
        <v/>
      </c>
      <c r="D987" s="11" t="str">
        <f aca="false">IF(B987="","",IFERROR(INDEX(Students!$H$4:$H$203,MATCH(B987,Students!$A$4:$A$203,0)),""))</f>
        <v/>
      </c>
      <c r="E987" s="18"/>
      <c r="F987" s="18"/>
      <c r="G987" s="18"/>
      <c r="H987" s="18"/>
      <c r="I987" s="18"/>
      <c r="J987" s="18"/>
      <c r="K987" s="18"/>
      <c r="L987" s="18"/>
    </row>
    <row r="988" customFormat="false" ht="15" hidden="false" customHeight="true" outlineLevel="0" collapsed="false">
      <c r="A988" s="19"/>
      <c r="B988" s="17"/>
      <c r="C988" s="11" t="str">
        <f aca="false">IF(B988="","",IFERROR(INDEX(Students!$B$4:$B$203,MATCH(B988,Students!$A$4:$A$203,0)),""))</f>
        <v/>
      </c>
      <c r="D988" s="11" t="str">
        <f aca="false">IF(B988="","",IFERROR(INDEX(Students!$H$4:$H$203,MATCH(B988,Students!$A$4:$A$203,0)),""))</f>
        <v/>
      </c>
      <c r="E988" s="18"/>
      <c r="F988" s="18"/>
      <c r="G988" s="18"/>
      <c r="H988" s="18"/>
      <c r="I988" s="18"/>
      <c r="J988" s="18"/>
      <c r="K988" s="18"/>
      <c r="L988" s="18"/>
    </row>
    <row r="989" customFormat="false" ht="15" hidden="false" customHeight="true" outlineLevel="0" collapsed="false">
      <c r="A989" s="19"/>
      <c r="B989" s="17"/>
      <c r="C989" s="11" t="str">
        <f aca="false">IF(B989="","",IFERROR(INDEX(Students!$B$4:$B$203,MATCH(B989,Students!$A$4:$A$203,0)),""))</f>
        <v/>
      </c>
      <c r="D989" s="11" t="str">
        <f aca="false">IF(B989="","",IFERROR(INDEX(Students!$H$4:$H$203,MATCH(B989,Students!$A$4:$A$203,0)),""))</f>
        <v/>
      </c>
      <c r="E989" s="18"/>
      <c r="F989" s="18"/>
      <c r="G989" s="18"/>
      <c r="H989" s="18"/>
      <c r="I989" s="18"/>
      <c r="J989" s="18"/>
      <c r="K989" s="18"/>
      <c r="L989" s="18"/>
    </row>
    <row r="990" customFormat="false" ht="15" hidden="false" customHeight="true" outlineLevel="0" collapsed="false">
      <c r="A990" s="19"/>
      <c r="B990" s="17"/>
      <c r="C990" s="11" t="str">
        <f aca="false">IF(B990="","",IFERROR(INDEX(Students!$B$4:$B$203,MATCH(B990,Students!$A$4:$A$203,0)),""))</f>
        <v/>
      </c>
      <c r="D990" s="11" t="str">
        <f aca="false">IF(B990="","",IFERROR(INDEX(Students!$H$4:$H$203,MATCH(B990,Students!$A$4:$A$203,0)),""))</f>
        <v/>
      </c>
      <c r="E990" s="18"/>
      <c r="F990" s="18"/>
      <c r="G990" s="18"/>
      <c r="H990" s="18"/>
      <c r="I990" s="18"/>
      <c r="J990" s="18"/>
      <c r="K990" s="18"/>
      <c r="L990" s="18"/>
    </row>
    <row r="991" customFormat="false" ht="15" hidden="false" customHeight="true" outlineLevel="0" collapsed="false">
      <c r="A991" s="19"/>
      <c r="B991" s="17"/>
      <c r="C991" s="11" t="str">
        <f aca="false">IF(B991="","",IFERROR(INDEX(Students!$B$4:$B$203,MATCH(B991,Students!$A$4:$A$203,0)),""))</f>
        <v/>
      </c>
      <c r="D991" s="11" t="str">
        <f aca="false">IF(B991="","",IFERROR(INDEX(Students!$H$4:$H$203,MATCH(B991,Students!$A$4:$A$203,0)),""))</f>
        <v/>
      </c>
      <c r="E991" s="18"/>
      <c r="F991" s="18"/>
      <c r="G991" s="18"/>
      <c r="H991" s="18"/>
      <c r="I991" s="18"/>
      <c r="J991" s="18"/>
      <c r="K991" s="18"/>
      <c r="L991" s="18"/>
    </row>
    <row r="992" customFormat="false" ht="15" hidden="false" customHeight="true" outlineLevel="0" collapsed="false">
      <c r="A992" s="19"/>
      <c r="B992" s="17"/>
      <c r="C992" s="11" t="str">
        <f aca="false">IF(B992="","",IFERROR(INDEX(Students!$B$4:$B$203,MATCH(B992,Students!$A$4:$A$203,0)),""))</f>
        <v/>
      </c>
      <c r="D992" s="11" t="str">
        <f aca="false">IF(B992="","",IFERROR(INDEX(Students!$H$4:$H$203,MATCH(B992,Students!$A$4:$A$203,0)),""))</f>
        <v/>
      </c>
      <c r="E992" s="18"/>
      <c r="F992" s="18"/>
      <c r="G992" s="18"/>
      <c r="H992" s="18"/>
      <c r="I992" s="18"/>
      <c r="J992" s="18"/>
      <c r="K992" s="18"/>
      <c r="L992" s="18"/>
    </row>
    <row r="993" customFormat="false" ht="15" hidden="false" customHeight="true" outlineLevel="0" collapsed="false">
      <c r="A993" s="19"/>
      <c r="B993" s="17"/>
      <c r="C993" s="11" t="str">
        <f aca="false">IF(B993="","",IFERROR(INDEX(Students!$B$4:$B$203,MATCH(B993,Students!$A$4:$A$203,0)),""))</f>
        <v/>
      </c>
      <c r="D993" s="11" t="str">
        <f aca="false">IF(B993="","",IFERROR(INDEX(Students!$H$4:$H$203,MATCH(B993,Students!$A$4:$A$203,0)),""))</f>
        <v/>
      </c>
      <c r="E993" s="18"/>
      <c r="F993" s="18"/>
      <c r="G993" s="18"/>
      <c r="H993" s="18"/>
      <c r="I993" s="18"/>
      <c r="J993" s="18"/>
      <c r="K993" s="18"/>
      <c r="L993" s="18"/>
    </row>
    <row r="994" customFormat="false" ht="15" hidden="false" customHeight="true" outlineLevel="0" collapsed="false">
      <c r="A994" s="19"/>
      <c r="B994" s="17"/>
      <c r="C994" s="11" t="str">
        <f aca="false">IF(B994="","",IFERROR(INDEX(Students!$B$4:$B$203,MATCH(B994,Students!$A$4:$A$203,0)),""))</f>
        <v/>
      </c>
      <c r="D994" s="11" t="str">
        <f aca="false">IF(B994="","",IFERROR(INDEX(Students!$H$4:$H$203,MATCH(B994,Students!$A$4:$A$203,0)),""))</f>
        <v/>
      </c>
      <c r="E994" s="18"/>
      <c r="F994" s="18"/>
      <c r="G994" s="18"/>
      <c r="H994" s="18"/>
      <c r="I994" s="18"/>
      <c r="J994" s="18"/>
      <c r="K994" s="18"/>
      <c r="L994" s="18"/>
    </row>
    <row r="995" customFormat="false" ht="15" hidden="false" customHeight="true" outlineLevel="0" collapsed="false">
      <c r="A995" s="19"/>
      <c r="B995" s="17"/>
      <c r="C995" s="11" t="str">
        <f aca="false">IF(B995="","",IFERROR(INDEX(Students!$B$4:$B$203,MATCH(B995,Students!$A$4:$A$203,0)),""))</f>
        <v/>
      </c>
      <c r="D995" s="11" t="str">
        <f aca="false">IF(B995="","",IFERROR(INDEX(Students!$H$4:$H$203,MATCH(B995,Students!$A$4:$A$203,0)),""))</f>
        <v/>
      </c>
      <c r="E995" s="18"/>
      <c r="F995" s="18"/>
      <c r="G995" s="18"/>
      <c r="H995" s="18"/>
      <c r="I995" s="18"/>
      <c r="J995" s="18"/>
      <c r="K995" s="18"/>
      <c r="L995" s="18"/>
    </row>
    <row r="996" customFormat="false" ht="15" hidden="false" customHeight="true" outlineLevel="0" collapsed="false">
      <c r="A996" s="19"/>
      <c r="B996" s="17"/>
      <c r="C996" s="11" t="str">
        <f aca="false">IF(B996="","",IFERROR(INDEX(Students!$B$4:$B$203,MATCH(B996,Students!$A$4:$A$203,0)),""))</f>
        <v/>
      </c>
      <c r="D996" s="11" t="str">
        <f aca="false">IF(B996="","",IFERROR(INDEX(Students!$H$4:$H$203,MATCH(B996,Students!$A$4:$A$203,0)),""))</f>
        <v/>
      </c>
      <c r="E996" s="18"/>
      <c r="F996" s="18"/>
      <c r="G996" s="18"/>
      <c r="H996" s="18"/>
      <c r="I996" s="18"/>
      <c r="J996" s="18"/>
      <c r="K996" s="18"/>
      <c r="L996" s="18"/>
    </row>
    <row r="997" customFormat="false" ht="15" hidden="false" customHeight="true" outlineLevel="0" collapsed="false">
      <c r="A997" s="19"/>
      <c r="B997" s="17"/>
      <c r="C997" s="11" t="str">
        <f aca="false">IF(B997="","",IFERROR(INDEX(Students!$B$4:$B$203,MATCH(B997,Students!$A$4:$A$203,0)),""))</f>
        <v/>
      </c>
      <c r="D997" s="11" t="str">
        <f aca="false">IF(B997="","",IFERROR(INDEX(Students!$H$4:$H$203,MATCH(B997,Students!$A$4:$A$203,0)),""))</f>
        <v/>
      </c>
      <c r="E997" s="18"/>
      <c r="F997" s="18"/>
      <c r="G997" s="18"/>
      <c r="H997" s="18"/>
      <c r="I997" s="18"/>
      <c r="J997" s="18"/>
      <c r="K997" s="18"/>
      <c r="L997" s="18"/>
    </row>
    <row r="998" customFormat="false" ht="15" hidden="false" customHeight="true" outlineLevel="0" collapsed="false">
      <c r="A998" s="19"/>
      <c r="B998" s="17"/>
      <c r="C998" s="11" t="str">
        <f aca="false">IF(B998="","",IFERROR(INDEX(Students!$B$4:$B$203,MATCH(B998,Students!$A$4:$A$203,0)),""))</f>
        <v/>
      </c>
      <c r="D998" s="11" t="str">
        <f aca="false">IF(B998="","",IFERROR(INDEX(Students!$H$4:$H$203,MATCH(B998,Students!$A$4:$A$203,0)),""))</f>
        <v/>
      </c>
      <c r="E998" s="18"/>
      <c r="F998" s="18"/>
      <c r="G998" s="18"/>
      <c r="H998" s="18"/>
      <c r="I998" s="18"/>
      <c r="J998" s="18"/>
      <c r="K998" s="18"/>
      <c r="L998" s="18"/>
    </row>
    <row r="999" customFormat="false" ht="15" hidden="false" customHeight="true" outlineLevel="0" collapsed="false">
      <c r="A999" s="19"/>
      <c r="B999" s="17"/>
      <c r="C999" s="11" t="str">
        <f aca="false">IF(B999="","",IFERROR(INDEX(Students!$B$4:$B$203,MATCH(B999,Students!$A$4:$A$203,0)),""))</f>
        <v/>
      </c>
      <c r="D999" s="11" t="str">
        <f aca="false">IF(B999="","",IFERROR(INDEX(Students!$H$4:$H$203,MATCH(B999,Students!$A$4:$A$203,0)),""))</f>
        <v/>
      </c>
      <c r="E999" s="18"/>
      <c r="F999" s="18"/>
      <c r="G999" s="18"/>
      <c r="H999" s="18"/>
      <c r="I999" s="18"/>
      <c r="J999" s="18"/>
      <c r="K999" s="18"/>
      <c r="L999" s="18"/>
    </row>
    <row r="1000" customFormat="false" ht="15" hidden="false" customHeight="true" outlineLevel="0" collapsed="false">
      <c r="A1000" s="19"/>
      <c r="B1000" s="17"/>
      <c r="C1000" s="11" t="str">
        <f aca="false">IF(B1000="","",IFERROR(INDEX(Students!$B$4:$B$203,MATCH(B1000,Students!$A$4:$A$203,0)),""))</f>
        <v/>
      </c>
      <c r="D1000" s="11" t="str">
        <f aca="false">IF(B1000="","",IFERROR(INDEX(Students!$H$4:$H$203,MATCH(B1000,Students!$A$4:$A$203,0)),""))</f>
        <v/>
      </c>
      <c r="E1000" s="18"/>
      <c r="F1000" s="18"/>
      <c r="G1000" s="18"/>
      <c r="H1000" s="18"/>
      <c r="I1000" s="18"/>
      <c r="J1000" s="18"/>
      <c r="K1000" s="18"/>
      <c r="L1000" s="18"/>
    </row>
    <row r="1001" customFormat="false" ht="15" hidden="false" customHeight="true" outlineLevel="0" collapsed="false">
      <c r="A1001" s="19"/>
      <c r="B1001" s="17"/>
      <c r="C1001" s="11" t="str">
        <f aca="false">IF(B1001="","",IFERROR(INDEX(Students!$B$4:$B$203,MATCH(B1001,Students!$A$4:$A$203,0)),""))</f>
        <v/>
      </c>
      <c r="D1001" s="11" t="str">
        <f aca="false">IF(B1001="","",IFERROR(INDEX(Students!$H$4:$H$203,MATCH(B1001,Students!$A$4:$A$203,0)),""))</f>
        <v/>
      </c>
      <c r="E1001" s="18"/>
      <c r="F1001" s="18"/>
      <c r="G1001" s="18"/>
      <c r="H1001" s="18"/>
      <c r="I1001" s="18"/>
      <c r="J1001" s="18"/>
      <c r="K1001" s="18"/>
      <c r="L1001" s="18"/>
    </row>
    <row r="1002" customFormat="false" ht="15" hidden="false" customHeight="true" outlineLevel="0" collapsed="false">
      <c r="A1002" s="19"/>
      <c r="B1002" s="17"/>
      <c r="C1002" s="11" t="str">
        <f aca="false">IF(B1002="","",IFERROR(INDEX(Students!$B$4:$B$203,MATCH(B1002,Students!$A$4:$A$203,0)),""))</f>
        <v/>
      </c>
      <c r="D1002" s="11" t="str">
        <f aca="false">IF(B1002="","",IFERROR(INDEX(Students!$H$4:$H$203,MATCH(B1002,Students!$A$4:$A$203,0)),""))</f>
        <v/>
      </c>
      <c r="E1002" s="18"/>
      <c r="F1002" s="18"/>
      <c r="G1002" s="18"/>
      <c r="H1002" s="18"/>
      <c r="I1002" s="18"/>
      <c r="J1002" s="18"/>
      <c r="K1002" s="18"/>
      <c r="L1002" s="18"/>
    </row>
    <row r="1003" customFormat="false" ht="15" hidden="false" customHeight="true" outlineLevel="0" collapsed="false">
      <c r="A1003" s="19"/>
      <c r="B1003" s="17"/>
      <c r="C1003" s="11" t="str">
        <f aca="false">IF(B1003="","",IFERROR(INDEX(Students!$B$4:$B$203,MATCH(B1003,Students!$A$4:$A$203,0)),""))</f>
        <v/>
      </c>
      <c r="D1003" s="11" t="str">
        <f aca="false">IF(B1003="","",IFERROR(INDEX(Students!$H$4:$H$203,MATCH(B1003,Students!$A$4:$A$203,0)),""))</f>
        <v/>
      </c>
      <c r="E1003" s="18"/>
      <c r="F1003" s="18"/>
      <c r="G1003" s="18"/>
      <c r="H1003" s="18"/>
      <c r="I1003" s="18"/>
      <c r="J1003" s="18"/>
      <c r="K1003" s="18"/>
      <c r="L1003" s="18"/>
    </row>
  </sheetData>
  <autoFilter ref="A3:L1003"/>
  <mergeCells count="1">
    <mergeCell ref="A1:L1"/>
  </mergeCells>
  <dataValidations count="1">
    <dataValidation allowBlank="true" errorStyle="stop" operator="between" showDropDown="false" showErrorMessage="false" showInputMessage="false" sqref="J4:J1003" type="list">
      <formula1>Lists!$C$3:$C$5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4" min="3" style="1" width="16"/>
    <col collapsed="false" customWidth="true" hidden="false" outlineLevel="0" max="5" min="5" style="1" width="30"/>
    <col collapsed="false" customWidth="true" hidden="false" outlineLevel="0" max="7" min="6" style="1" width="38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32"/>
    <col collapsed="false" customWidth="true" hidden="false" outlineLevel="0" max="12" min="12" style="1" width="14"/>
    <col collapsed="false" customWidth="true" hidden="false" outlineLevel="0" max="13" min="13" style="1" width="25"/>
  </cols>
  <sheetData>
    <row r="1" customFormat="false" ht="27.75" hidden="false" customHeight="true" outlineLevel="0" collapsed="false">
      <c r="A1" s="5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customFormat="false" ht="31.5" hidden="false" customHeight="true" outlineLevel="0" collapsed="false">
      <c r="A3" s="10" t="s">
        <v>21</v>
      </c>
      <c r="B3" s="10" t="s">
        <v>138</v>
      </c>
      <c r="C3" s="10" t="s">
        <v>139</v>
      </c>
      <c r="D3" s="10" t="s">
        <v>54</v>
      </c>
      <c r="E3" s="10" t="s">
        <v>140</v>
      </c>
      <c r="F3" s="10" t="s">
        <v>40</v>
      </c>
      <c r="G3" s="10" t="s">
        <v>141</v>
      </c>
      <c r="H3" s="10" t="s">
        <v>55</v>
      </c>
      <c r="I3" s="10" t="s">
        <v>142</v>
      </c>
      <c r="J3" s="10" t="s">
        <v>31</v>
      </c>
      <c r="K3" s="10" t="s">
        <v>143</v>
      </c>
      <c r="L3" s="10" t="s">
        <v>144</v>
      </c>
      <c r="M3" s="10" t="s">
        <v>125</v>
      </c>
    </row>
    <row r="4" customFormat="false" ht="15" hidden="false" customHeight="true" outlineLevel="0" collapsed="false">
      <c r="A4" s="17"/>
      <c r="B4" s="17"/>
      <c r="C4" s="17"/>
      <c r="D4" s="17"/>
      <c r="E4" s="18"/>
      <c r="F4" s="18"/>
      <c r="G4" s="18"/>
      <c r="H4" s="17"/>
      <c r="I4" s="17"/>
      <c r="J4" s="17"/>
      <c r="K4" s="18"/>
      <c r="L4" s="19"/>
      <c r="M4" s="18"/>
    </row>
    <row r="5" customFormat="false" ht="15" hidden="false" customHeight="true" outlineLevel="0" collapsed="false">
      <c r="A5" s="17"/>
      <c r="B5" s="17"/>
      <c r="C5" s="17"/>
      <c r="D5" s="17"/>
      <c r="E5" s="18"/>
      <c r="F5" s="18"/>
      <c r="G5" s="18"/>
      <c r="H5" s="17"/>
      <c r="I5" s="17"/>
      <c r="J5" s="17"/>
      <c r="K5" s="18"/>
      <c r="L5" s="19"/>
      <c r="M5" s="18"/>
    </row>
    <row r="6" customFormat="false" ht="15" hidden="false" customHeight="true" outlineLevel="0" collapsed="false">
      <c r="A6" s="17"/>
      <c r="B6" s="17"/>
      <c r="C6" s="17"/>
      <c r="D6" s="17"/>
      <c r="E6" s="18"/>
      <c r="F6" s="18"/>
      <c r="G6" s="18"/>
      <c r="H6" s="17"/>
      <c r="I6" s="17"/>
      <c r="J6" s="17"/>
      <c r="K6" s="18"/>
      <c r="L6" s="19"/>
      <c r="M6" s="18"/>
    </row>
    <row r="7" customFormat="false" ht="15" hidden="false" customHeight="true" outlineLevel="0" collapsed="false">
      <c r="A7" s="17"/>
      <c r="B7" s="17"/>
      <c r="C7" s="17"/>
      <c r="D7" s="17"/>
      <c r="E7" s="18"/>
      <c r="F7" s="18"/>
      <c r="G7" s="18"/>
      <c r="H7" s="17"/>
      <c r="I7" s="17"/>
      <c r="J7" s="17"/>
      <c r="K7" s="18"/>
      <c r="L7" s="19"/>
      <c r="M7" s="18"/>
    </row>
    <row r="8" customFormat="false" ht="15" hidden="false" customHeight="true" outlineLevel="0" collapsed="false">
      <c r="A8" s="17"/>
      <c r="B8" s="17"/>
      <c r="C8" s="17"/>
      <c r="D8" s="17"/>
      <c r="E8" s="18"/>
      <c r="F8" s="18"/>
      <c r="G8" s="18"/>
      <c r="H8" s="17"/>
      <c r="I8" s="17"/>
      <c r="J8" s="17"/>
      <c r="K8" s="18"/>
      <c r="L8" s="19"/>
      <c r="M8" s="18"/>
    </row>
    <row r="9" customFormat="false" ht="15" hidden="false" customHeight="true" outlineLevel="0" collapsed="false">
      <c r="A9" s="17"/>
      <c r="B9" s="17"/>
      <c r="C9" s="17"/>
      <c r="D9" s="17"/>
      <c r="E9" s="18"/>
      <c r="F9" s="18"/>
      <c r="G9" s="18"/>
      <c r="H9" s="17"/>
      <c r="I9" s="17"/>
      <c r="J9" s="17"/>
      <c r="K9" s="18"/>
      <c r="L9" s="19"/>
      <c r="M9" s="18"/>
    </row>
    <row r="10" customFormat="false" ht="15" hidden="false" customHeight="true" outlineLevel="0" collapsed="false">
      <c r="A10" s="17"/>
      <c r="B10" s="17"/>
      <c r="C10" s="17"/>
      <c r="D10" s="17"/>
      <c r="E10" s="18"/>
      <c r="F10" s="18"/>
      <c r="G10" s="18"/>
      <c r="H10" s="17"/>
      <c r="I10" s="17"/>
      <c r="J10" s="17"/>
      <c r="K10" s="18"/>
      <c r="L10" s="19"/>
      <c r="M10" s="18"/>
    </row>
    <row r="11" customFormat="false" ht="15" hidden="false" customHeight="true" outlineLevel="0" collapsed="false">
      <c r="A11" s="17"/>
      <c r="B11" s="17"/>
      <c r="C11" s="17"/>
      <c r="D11" s="17"/>
      <c r="E11" s="18"/>
      <c r="F11" s="18"/>
      <c r="G11" s="18"/>
      <c r="H11" s="17"/>
      <c r="I11" s="17"/>
      <c r="J11" s="17"/>
      <c r="K11" s="18"/>
      <c r="L11" s="19"/>
      <c r="M11" s="18"/>
    </row>
    <row r="12" customFormat="false" ht="15" hidden="false" customHeight="true" outlineLevel="0" collapsed="false">
      <c r="A12" s="17"/>
      <c r="B12" s="17"/>
      <c r="C12" s="17"/>
      <c r="D12" s="17"/>
      <c r="E12" s="18"/>
      <c r="F12" s="18"/>
      <c r="G12" s="18"/>
      <c r="H12" s="17"/>
      <c r="I12" s="17"/>
      <c r="J12" s="17"/>
      <c r="K12" s="18"/>
      <c r="L12" s="19"/>
      <c r="M12" s="18"/>
    </row>
    <row r="13" customFormat="false" ht="15" hidden="false" customHeight="true" outlineLevel="0" collapsed="false">
      <c r="A13" s="17"/>
      <c r="B13" s="17"/>
      <c r="C13" s="17"/>
      <c r="D13" s="17"/>
      <c r="E13" s="18"/>
      <c r="F13" s="18"/>
      <c r="G13" s="18"/>
      <c r="H13" s="17"/>
      <c r="I13" s="17"/>
      <c r="J13" s="17"/>
      <c r="K13" s="18"/>
      <c r="L13" s="19"/>
      <c r="M13" s="18"/>
    </row>
    <row r="14" customFormat="false" ht="15" hidden="false" customHeight="true" outlineLevel="0" collapsed="false">
      <c r="A14" s="17"/>
      <c r="B14" s="17"/>
      <c r="C14" s="17"/>
      <c r="D14" s="17"/>
      <c r="E14" s="18"/>
      <c r="F14" s="18"/>
      <c r="G14" s="18"/>
      <c r="H14" s="17"/>
      <c r="I14" s="17"/>
      <c r="J14" s="17"/>
      <c r="K14" s="18"/>
      <c r="L14" s="19"/>
      <c r="M14" s="18"/>
    </row>
    <row r="15" customFormat="false" ht="15" hidden="false" customHeight="true" outlineLevel="0" collapsed="false">
      <c r="A15" s="17"/>
      <c r="B15" s="17"/>
      <c r="C15" s="17"/>
      <c r="D15" s="17"/>
      <c r="E15" s="18"/>
      <c r="F15" s="18"/>
      <c r="G15" s="18"/>
      <c r="H15" s="17"/>
      <c r="I15" s="17"/>
      <c r="J15" s="17"/>
      <c r="K15" s="18"/>
      <c r="L15" s="19"/>
      <c r="M15" s="18"/>
    </row>
    <row r="16" customFormat="false" ht="15" hidden="false" customHeight="true" outlineLevel="0" collapsed="false">
      <c r="A16" s="17"/>
      <c r="B16" s="17"/>
      <c r="C16" s="17"/>
      <c r="D16" s="17"/>
      <c r="E16" s="18"/>
      <c r="F16" s="18"/>
      <c r="G16" s="18"/>
      <c r="H16" s="17"/>
      <c r="I16" s="17"/>
      <c r="J16" s="17"/>
      <c r="K16" s="18"/>
      <c r="L16" s="19"/>
      <c r="M16" s="18"/>
    </row>
    <row r="17" customFormat="false" ht="15" hidden="false" customHeight="true" outlineLevel="0" collapsed="false">
      <c r="A17" s="17"/>
      <c r="B17" s="17"/>
      <c r="C17" s="17"/>
      <c r="D17" s="17"/>
      <c r="E17" s="18"/>
      <c r="F17" s="18"/>
      <c r="G17" s="18"/>
      <c r="H17" s="17"/>
      <c r="I17" s="17"/>
      <c r="J17" s="17"/>
      <c r="K17" s="18"/>
      <c r="L17" s="19"/>
      <c r="M17" s="18"/>
    </row>
    <row r="18" customFormat="false" ht="15" hidden="false" customHeight="true" outlineLevel="0" collapsed="false">
      <c r="A18" s="17"/>
      <c r="B18" s="17"/>
      <c r="C18" s="17"/>
      <c r="D18" s="17"/>
      <c r="E18" s="18"/>
      <c r="F18" s="18"/>
      <c r="G18" s="18"/>
      <c r="H18" s="17"/>
      <c r="I18" s="17"/>
      <c r="J18" s="17"/>
      <c r="K18" s="18"/>
      <c r="L18" s="19"/>
      <c r="M18" s="18"/>
    </row>
    <row r="19" customFormat="false" ht="15" hidden="false" customHeight="true" outlineLevel="0" collapsed="false">
      <c r="A19" s="17"/>
      <c r="B19" s="17"/>
      <c r="C19" s="17"/>
      <c r="D19" s="17"/>
      <c r="E19" s="18"/>
      <c r="F19" s="18"/>
      <c r="G19" s="18"/>
      <c r="H19" s="17"/>
      <c r="I19" s="17"/>
      <c r="J19" s="17"/>
      <c r="K19" s="18"/>
      <c r="L19" s="19"/>
      <c r="M19" s="18"/>
    </row>
    <row r="20" customFormat="false" ht="15" hidden="false" customHeight="true" outlineLevel="0" collapsed="false">
      <c r="A20" s="17"/>
      <c r="B20" s="17"/>
      <c r="C20" s="17"/>
      <c r="D20" s="17"/>
      <c r="E20" s="18"/>
      <c r="F20" s="18"/>
      <c r="G20" s="18"/>
      <c r="H20" s="17"/>
      <c r="I20" s="17"/>
      <c r="J20" s="17"/>
      <c r="K20" s="18"/>
      <c r="L20" s="19"/>
      <c r="M20" s="18"/>
    </row>
    <row r="21" customFormat="false" ht="15" hidden="false" customHeight="true" outlineLevel="0" collapsed="false">
      <c r="A21" s="17"/>
      <c r="B21" s="17"/>
      <c r="C21" s="17"/>
      <c r="D21" s="17"/>
      <c r="E21" s="18"/>
      <c r="F21" s="18"/>
      <c r="G21" s="18"/>
      <c r="H21" s="17"/>
      <c r="I21" s="17"/>
      <c r="J21" s="17"/>
      <c r="K21" s="18"/>
      <c r="L21" s="19"/>
      <c r="M21" s="18"/>
    </row>
    <row r="22" customFormat="false" ht="15" hidden="false" customHeight="true" outlineLevel="0" collapsed="false">
      <c r="A22" s="17"/>
      <c r="B22" s="17"/>
      <c r="C22" s="17"/>
      <c r="D22" s="17"/>
      <c r="E22" s="18"/>
      <c r="F22" s="18"/>
      <c r="G22" s="18"/>
      <c r="H22" s="17"/>
      <c r="I22" s="17"/>
      <c r="J22" s="17"/>
      <c r="K22" s="18"/>
      <c r="L22" s="19"/>
      <c r="M22" s="18"/>
    </row>
    <row r="23" customFormat="false" ht="15" hidden="false" customHeight="true" outlineLevel="0" collapsed="false">
      <c r="A23" s="17"/>
      <c r="B23" s="17"/>
      <c r="C23" s="17"/>
      <c r="D23" s="17"/>
      <c r="E23" s="18"/>
      <c r="F23" s="18"/>
      <c r="G23" s="18"/>
      <c r="H23" s="17"/>
      <c r="I23" s="17"/>
      <c r="J23" s="17"/>
      <c r="K23" s="18"/>
      <c r="L23" s="19"/>
      <c r="M23" s="18"/>
    </row>
    <row r="24" customFormat="false" ht="15" hidden="false" customHeight="true" outlineLevel="0" collapsed="false">
      <c r="A24" s="17"/>
      <c r="B24" s="17"/>
      <c r="C24" s="17"/>
      <c r="D24" s="17"/>
      <c r="E24" s="18"/>
      <c r="F24" s="18"/>
      <c r="G24" s="18"/>
      <c r="H24" s="17"/>
      <c r="I24" s="17"/>
      <c r="J24" s="17"/>
      <c r="K24" s="18"/>
      <c r="L24" s="19"/>
      <c r="M24" s="18"/>
    </row>
    <row r="25" customFormat="false" ht="15" hidden="false" customHeight="true" outlineLevel="0" collapsed="false">
      <c r="A25" s="17"/>
      <c r="B25" s="17"/>
      <c r="C25" s="17"/>
      <c r="D25" s="17"/>
      <c r="E25" s="18"/>
      <c r="F25" s="18"/>
      <c r="G25" s="18"/>
      <c r="H25" s="17"/>
      <c r="I25" s="17"/>
      <c r="J25" s="17"/>
      <c r="K25" s="18"/>
      <c r="L25" s="19"/>
      <c r="M25" s="18"/>
    </row>
    <row r="26" customFormat="false" ht="15" hidden="false" customHeight="true" outlineLevel="0" collapsed="false">
      <c r="A26" s="17"/>
      <c r="B26" s="17"/>
      <c r="C26" s="17"/>
      <c r="D26" s="17"/>
      <c r="E26" s="18"/>
      <c r="F26" s="18"/>
      <c r="G26" s="18"/>
      <c r="H26" s="17"/>
      <c r="I26" s="17"/>
      <c r="J26" s="17"/>
      <c r="K26" s="18"/>
      <c r="L26" s="19"/>
      <c r="M26" s="18"/>
    </row>
    <row r="27" customFormat="false" ht="15" hidden="false" customHeight="true" outlineLevel="0" collapsed="false">
      <c r="A27" s="17"/>
      <c r="B27" s="17"/>
      <c r="C27" s="17"/>
      <c r="D27" s="17"/>
      <c r="E27" s="18"/>
      <c r="F27" s="18"/>
      <c r="G27" s="18"/>
      <c r="H27" s="17"/>
      <c r="I27" s="17"/>
      <c r="J27" s="17"/>
      <c r="K27" s="18"/>
      <c r="L27" s="19"/>
      <c r="M27" s="18"/>
    </row>
    <row r="28" customFormat="false" ht="15" hidden="false" customHeight="true" outlineLevel="0" collapsed="false">
      <c r="A28" s="17"/>
      <c r="B28" s="17"/>
      <c r="C28" s="17"/>
      <c r="D28" s="17"/>
      <c r="E28" s="18"/>
      <c r="F28" s="18"/>
      <c r="G28" s="18"/>
      <c r="H28" s="17"/>
      <c r="I28" s="17"/>
      <c r="J28" s="17"/>
      <c r="K28" s="18"/>
      <c r="L28" s="19"/>
      <c r="M28" s="18"/>
    </row>
    <row r="29" customFormat="false" ht="15" hidden="false" customHeight="true" outlineLevel="0" collapsed="false">
      <c r="A29" s="17"/>
      <c r="B29" s="17"/>
      <c r="C29" s="17"/>
      <c r="D29" s="17"/>
      <c r="E29" s="18"/>
      <c r="F29" s="18"/>
      <c r="G29" s="18"/>
      <c r="H29" s="17"/>
      <c r="I29" s="17"/>
      <c r="J29" s="17"/>
      <c r="K29" s="18"/>
      <c r="L29" s="19"/>
      <c r="M29" s="18"/>
    </row>
    <row r="30" customFormat="false" ht="15" hidden="false" customHeight="true" outlineLevel="0" collapsed="false">
      <c r="A30" s="17"/>
      <c r="B30" s="17"/>
      <c r="C30" s="17"/>
      <c r="D30" s="17"/>
      <c r="E30" s="18"/>
      <c r="F30" s="18"/>
      <c r="G30" s="18"/>
      <c r="H30" s="17"/>
      <c r="I30" s="17"/>
      <c r="J30" s="17"/>
      <c r="K30" s="18"/>
      <c r="L30" s="19"/>
      <c r="M30" s="18"/>
    </row>
    <row r="31" customFormat="false" ht="15" hidden="false" customHeight="true" outlineLevel="0" collapsed="false">
      <c r="A31" s="17"/>
      <c r="B31" s="17"/>
      <c r="C31" s="17"/>
      <c r="D31" s="17"/>
      <c r="E31" s="18"/>
      <c r="F31" s="18"/>
      <c r="G31" s="18"/>
      <c r="H31" s="17"/>
      <c r="I31" s="17"/>
      <c r="J31" s="17"/>
      <c r="K31" s="18"/>
      <c r="L31" s="19"/>
      <c r="M31" s="18"/>
    </row>
    <row r="32" customFormat="false" ht="15" hidden="false" customHeight="true" outlineLevel="0" collapsed="false">
      <c r="A32" s="17"/>
      <c r="B32" s="17"/>
      <c r="C32" s="17"/>
      <c r="D32" s="17"/>
      <c r="E32" s="18"/>
      <c r="F32" s="18"/>
      <c r="G32" s="18"/>
      <c r="H32" s="17"/>
      <c r="I32" s="17"/>
      <c r="J32" s="17"/>
      <c r="K32" s="18"/>
      <c r="L32" s="19"/>
      <c r="M32" s="18"/>
    </row>
    <row r="33" customFormat="false" ht="15" hidden="false" customHeight="true" outlineLevel="0" collapsed="false">
      <c r="A33" s="17"/>
      <c r="B33" s="17"/>
      <c r="C33" s="17"/>
      <c r="D33" s="17"/>
      <c r="E33" s="18"/>
      <c r="F33" s="18"/>
      <c r="G33" s="18"/>
      <c r="H33" s="17"/>
      <c r="I33" s="17"/>
      <c r="J33" s="17"/>
      <c r="K33" s="18"/>
      <c r="L33" s="19"/>
      <c r="M33" s="18"/>
    </row>
    <row r="34" customFormat="false" ht="15" hidden="false" customHeight="true" outlineLevel="0" collapsed="false">
      <c r="A34" s="17"/>
      <c r="B34" s="17"/>
      <c r="C34" s="17"/>
      <c r="D34" s="17"/>
      <c r="E34" s="18"/>
      <c r="F34" s="18"/>
      <c r="G34" s="18"/>
      <c r="H34" s="17"/>
      <c r="I34" s="17"/>
      <c r="J34" s="17"/>
      <c r="K34" s="18"/>
      <c r="L34" s="19"/>
      <c r="M34" s="18"/>
    </row>
    <row r="35" customFormat="false" ht="15" hidden="false" customHeight="true" outlineLevel="0" collapsed="false">
      <c r="A35" s="17"/>
      <c r="B35" s="17"/>
      <c r="C35" s="17"/>
      <c r="D35" s="17"/>
      <c r="E35" s="18"/>
      <c r="F35" s="18"/>
      <c r="G35" s="18"/>
      <c r="H35" s="17"/>
      <c r="I35" s="17"/>
      <c r="J35" s="17"/>
      <c r="K35" s="18"/>
      <c r="L35" s="19"/>
      <c r="M35" s="18"/>
    </row>
    <row r="36" customFormat="false" ht="15" hidden="false" customHeight="true" outlineLevel="0" collapsed="false">
      <c r="A36" s="17"/>
      <c r="B36" s="17"/>
      <c r="C36" s="17"/>
      <c r="D36" s="17"/>
      <c r="E36" s="18"/>
      <c r="F36" s="18"/>
      <c r="G36" s="18"/>
      <c r="H36" s="17"/>
      <c r="I36" s="17"/>
      <c r="J36" s="17"/>
      <c r="K36" s="18"/>
      <c r="L36" s="19"/>
      <c r="M36" s="18"/>
    </row>
    <row r="37" customFormat="false" ht="15" hidden="false" customHeight="true" outlineLevel="0" collapsed="false">
      <c r="A37" s="17"/>
      <c r="B37" s="17"/>
      <c r="C37" s="17"/>
      <c r="D37" s="17"/>
      <c r="E37" s="18"/>
      <c r="F37" s="18"/>
      <c r="G37" s="18"/>
      <c r="H37" s="17"/>
      <c r="I37" s="17"/>
      <c r="J37" s="17"/>
      <c r="K37" s="18"/>
      <c r="L37" s="19"/>
      <c r="M37" s="18"/>
    </row>
    <row r="38" customFormat="false" ht="15" hidden="false" customHeight="true" outlineLevel="0" collapsed="false">
      <c r="A38" s="17"/>
      <c r="B38" s="17"/>
      <c r="C38" s="17"/>
      <c r="D38" s="17"/>
      <c r="E38" s="18"/>
      <c r="F38" s="18"/>
      <c r="G38" s="18"/>
      <c r="H38" s="17"/>
      <c r="I38" s="17"/>
      <c r="J38" s="17"/>
      <c r="K38" s="18"/>
      <c r="L38" s="19"/>
      <c r="M38" s="18"/>
    </row>
    <row r="39" customFormat="false" ht="15" hidden="false" customHeight="true" outlineLevel="0" collapsed="false">
      <c r="A39" s="17"/>
      <c r="B39" s="17"/>
      <c r="C39" s="17"/>
      <c r="D39" s="17"/>
      <c r="E39" s="18"/>
      <c r="F39" s="18"/>
      <c r="G39" s="18"/>
      <c r="H39" s="17"/>
      <c r="I39" s="17"/>
      <c r="J39" s="17"/>
      <c r="K39" s="18"/>
      <c r="L39" s="19"/>
      <c r="M39" s="18"/>
    </row>
    <row r="40" customFormat="false" ht="15" hidden="false" customHeight="true" outlineLevel="0" collapsed="false">
      <c r="A40" s="17"/>
      <c r="B40" s="17"/>
      <c r="C40" s="17"/>
      <c r="D40" s="17"/>
      <c r="E40" s="18"/>
      <c r="F40" s="18"/>
      <c r="G40" s="18"/>
      <c r="H40" s="17"/>
      <c r="I40" s="17"/>
      <c r="J40" s="17"/>
      <c r="K40" s="18"/>
      <c r="L40" s="19"/>
      <c r="M40" s="18"/>
    </row>
    <row r="41" customFormat="false" ht="15" hidden="false" customHeight="true" outlineLevel="0" collapsed="false">
      <c r="A41" s="17"/>
      <c r="B41" s="17"/>
      <c r="C41" s="17"/>
      <c r="D41" s="17"/>
      <c r="E41" s="18"/>
      <c r="F41" s="18"/>
      <c r="G41" s="18"/>
      <c r="H41" s="17"/>
      <c r="I41" s="17"/>
      <c r="J41" s="17"/>
      <c r="K41" s="18"/>
      <c r="L41" s="19"/>
      <c r="M41" s="18"/>
    </row>
    <row r="42" customFormat="false" ht="15" hidden="false" customHeight="true" outlineLevel="0" collapsed="false">
      <c r="A42" s="17"/>
      <c r="B42" s="17"/>
      <c r="C42" s="17"/>
      <c r="D42" s="17"/>
      <c r="E42" s="18"/>
      <c r="F42" s="18"/>
      <c r="G42" s="18"/>
      <c r="H42" s="17"/>
      <c r="I42" s="17"/>
      <c r="J42" s="17"/>
      <c r="K42" s="18"/>
      <c r="L42" s="19"/>
      <c r="M42" s="18"/>
    </row>
    <row r="43" customFormat="false" ht="15" hidden="false" customHeight="true" outlineLevel="0" collapsed="false">
      <c r="A43" s="17"/>
      <c r="B43" s="17"/>
      <c r="C43" s="17"/>
      <c r="D43" s="17"/>
      <c r="E43" s="18"/>
      <c r="F43" s="18"/>
      <c r="G43" s="18"/>
      <c r="H43" s="17"/>
      <c r="I43" s="17"/>
      <c r="J43" s="17"/>
      <c r="K43" s="18"/>
      <c r="L43" s="19"/>
      <c r="M43" s="18"/>
    </row>
    <row r="44" customFormat="false" ht="15" hidden="false" customHeight="true" outlineLevel="0" collapsed="false">
      <c r="A44" s="17"/>
      <c r="B44" s="17"/>
      <c r="C44" s="17"/>
      <c r="D44" s="17"/>
      <c r="E44" s="18"/>
      <c r="F44" s="18"/>
      <c r="G44" s="18"/>
      <c r="H44" s="17"/>
      <c r="I44" s="17"/>
      <c r="J44" s="17"/>
      <c r="K44" s="18"/>
      <c r="L44" s="19"/>
      <c r="M44" s="18"/>
    </row>
    <row r="45" customFormat="false" ht="15" hidden="false" customHeight="true" outlineLevel="0" collapsed="false">
      <c r="A45" s="17"/>
      <c r="B45" s="17"/>
      <c r="C45" s="17"/>
      <c r="D45" s="17"/>
      <c r="E45" s="18"/>
      <c r="F45" s="18"/>
      <c r="G45" s="18"/>
      <c r="H45" s="17"/>
      <c r="I45" s="17"/>
      <c r="J45" s="17"/>
      <c r="K45" s="18"/>
      <c r="L45" s="19"/>
      <c r="M45" s="18"/>
    </row>
    <row r="46" customFormat="false" ht="15" hidden="false" customHeight="true" outlineLevel="0" collapsed="false">
      <c r="A46" s="17"/>
      <c r="B46" s="17"/>
      <c r="C46" s="17"/>
      <c r="D46" s="17"/>
      <c r="E46" s="18"/>
      <c r="F46" s="18"/>
      <c r="G46" s="18"/>
      <c r="H46" s="17"/>
      <c r="I46" s="17"/>
      <c r="J46" s="17"/>
      <c r="K46" s="18"/>
      <c r="L46" s="19"/>
      <c r="M46" s="18"/>
    </row>
    <row r="47" customFormat="false" ht="15" hidden="false" customHeight="true" outlineLevel="0" collapsed="false">
      <c r="A47" s="17"/>
      <c r="B47" s="17"/>
      <c r="C47" s="17"/>
      <c r="D47" s="17"/>
      <c r="E47" s="18"/>
      <c r="F47" s="18"/>
      <c r="G47" s="18"/>
      <c r="H47" s="17"/>
      <c r="I47" s="17"/>
      <c r="J47" s="17"/>
      <c r="K47" s="18"/>
      <c r="L47" s="19"/>
      <c r="M47" s="18"/>
    </row>
    <row r="48" customFormat="false" ht="15" hidden="false" customHeight="true" outlineLevel="0" collapsed="false">
      <c r="A48" s="17"/>
      <c r="B48" s="17"/>
      <c r="C48" s="17"/>
      <c r="D48" s="17"/>
      <c r="E48" s="18"/>
      <c r="F48" s="18"/>
      <c r="G48" s="18"/>
      <c r="H48" s="17"/>
      <c r="I48" s="17"/>
      <c r="J48" s="17"/>
      <c r="K48" s="18"/>
      <c r="L48" s="19"/>
      <c r="M48" s="18"/>
    </row>
    <row r="49" customFormat="false" ht="15" hidden="false" customHeight="true" outlineLevel="0" collapsed="false">
      <c r="A49" s="17"/>
      <c r="B49" s="17"/>
      <c r="C49" s="17"/>
      <c r="D49" s="17"/>
      <c r="E49" s="18"/>
      <c r="F49" s="18"/>
      <c r="G49" s="18"/>
      <c r="H49" s="17"/>
      <c r="I49" s="17"/>
      <c r="J49" s="17"/>
      <c r="K49" s="18"/>
      <c r="L49" s="19"/>
      <c r="M49" s="18"/>
    </row>
    <row r="50" customFormat="false" ht="15" hidden="false" customHeight="true" outlineLevel="0" collapsed="false">
      <c r="A50" s="17"/>
      <c r="B50" s="17"/>
      <c r="C50" s="17"/>
      <c r="D50" s="17"/>
      <c r="E50" s="18"/>
      <c r="F50" s="18"/>
      <c r="G50" s="18"/>
      <c r="H50" s="17"/>
      <c r="I50" s="17"/>
      <c r="J50" s="17"/>
      <c r="K50" s="18"/>
      <c r="L50" s="19"/>
      <c r="M50" s="18"/>
    </row>
    <row r="51" customFormat="false" ht="15" hidden="false" customHeight="true" outlineLevel="0" collapsed="false">
      <c r="A51" s="17"/>
      <c r="B51" s="17"/>
      <c r="C51" s="17"/>
      <c r="D51" s="17"/>
      <c r="E51" s="18"/>
      <c r="F51" s="18"/>
      <c r="G51" s="18"/>
      <c r="H51" s="17"/>
      <c r="I51" s="17"/>
      <c r="J51" s="17"/>
      <c r="K51" s="18"/>
      <c r="L51" s="19"/>
      <c r="M51" s="18"/>
    </row>
    <row r="52" customFormat="false" ht="15" hidden="false" customHeight="true" outlineLevel="0" collapsed="false">
      <c r="A52" s="17"/>
      <c r="B52" s="17"/>
      <c r="C52" s="17"/>
      <c r="D52" s="17"/>
      <c r="E52" s="18"/>
      <c r="F52" s="18"/>
      <c r="G52" s="18"/>
      <c r="H52" s="17"/>
      <c r="I52" s="17"/>
      <c r="J52" s="17"/>
      <c r="K52" s="18"/>
      <c r="L52" s="19"/>
      <c r="M52" s="18"/>
    </row>
    <row r="53" customFormat="false" ht="15" hidden="false" customHeight="true" outlineLevel="0" collapsed="false">
      <c r="A53" s="17"/>
      <c r="B53" s="17"/>
      <c r="C53" s="17"/>
      <c r="D53" s="17"/>
      <c r="E53" s="18"/>
      <c r="F53" s="18"/>
      <c r="G53" s="18"/>
      <c r="H53" s="17"/>
      <c r="I53" s="17"/>
      <c r="J53" s="17"/>
      <c r="K53" s="18"/>
      <c r="L53" s="19"/>
      <c r="M53" s="18"/>
    </row>
    <row r="54" customFormat="false" ht="15" hidden="false" customHeight="true" outlineLevel="0" collapsed="false">
      <c r="A54" s="17"/>
      <c r="B54" s="17"/>
      <c r="C54" s="17"/>
      <c r="D54" s="17"/>
      <c r="E54" s="18"/>
      <c r="F54" s="18"/>
      <c r="G54" s="18"/>
      <c r="H54" s="17"/>
      <c r="I54" s="17"/>
      <c r="J54" s="17"/>
      <c r="K54" s="18"/>
      <c r="L54" s="19"/>
      <c r="M54" s="18"/>
    </row>
    <row r="55" customFormat="false" ht="15" hidden="false" customHeight="true" outlineLevel="0" collapsed="false">
      <c r="A55" s="17"/>
      <c r="B55" s="17"/>
      <c r="C55" s="17"/>
      <c r="D55" s="17"/>
      <c r="E55" s="18"/>
      <c r="F55" s="18"/>
      <c r="G55" s="18"/>
      <c r="H55" s="17"/>
      <c r="I55" s="17"/>
      <c r="J55" s="17"/>
      <c r="K55" s="18"/>
      <c r="L55" s="19"/>
      <c r="M55" s="18"/>
    </row>
    <row r="56" customFormat="false" ht="15" hidden="false" customHeight="true" outlineLevel="0" collapsed="false">
      <c r="A56" s="17"/>
      <c r="B56" s="17"/>
      <c r="C56" s="17"/>
      <c r="D56" s="17"/>
      <c r="E56" s="18"/>
      <c r="F56" s="18"/>
      <c r="G56" s="18"/>
      <c r="H56" s="17"/>
      <c r="I56" s="17"/>
      <c r="J56" s="17"/>
      <c r="K56" s="18"/>
      <c r="L56" s="19"/>
      <c r="M56" s="18"/>
    </row>
    <row r="57" customFormat="false" ht="15" hidden="false" customHeight="true" outlineLevel="0" collapsed="false">
      <c r="A57" s="17"/>
      <c r="B57" s="17"/>
      <c r="C57" s="17"/>
      <c r="D57" s="17"/>
      <c r="E57" s="18"/>
      <c r="F57" s="18"/>
      <c r="G57" s="18"/>
      <c r="H57" s="17"/>
      <c r="I57" s="17"/>
      <c r="J57" s="17"/>
      <c r="K57" s="18"/>
      <c r="L57" s="19"/>
      <c r="M57" s="18"/>
    </row>
    <row r="58" customFormat="false" ht="15" hidden="false" customHeight="true" outlineLevel="0" collapsed="false">
      <c r="A58" s="17"/>
      <c r="B58" s="17"/>
      <c r="C58" s="17"/>
      <c r="D58" s="17"/>
      <c r="E58" s="18"/>
      <c r="F58" s="18"/>
      <c r="G58" s="18"/>
      <c r="H58" s="17"/>
      <c r="I58" s="17"/>
      <c r="J58" s="17"/>
      <c r="K58" s="18"/>
      <c r="L58" s="19"/>
      <c r="M58" s="18"/>
    </row>
    <row r="59" customFormat="false" ht="15" hidden="false" customHeight="true" outlineLevel="0" collapsed="false">
      <c r="A59" s="17"/>
      <c r="B59" s="17"/>
      <c r="C59" s="17"/>
      <c r="D59" s="17"/>
      <c r="E59" s="18"/>
      <c r="F59" s="18"/>
      <c r="G59" s="18"/>
      <c r="H59" s="17"/>
      <c r="I59" s="17"/>
      <c r="J59" s="17"/>
      <c r="K59" s="18"/>
      <c r="L59" s="19"/>
      <c r="M59" s="18"/>
    </row>
    <row r="60" customFormat="false" ht="15" hidden="false" customHeight="true" outlineLevel="0" collapsed="false">
      <c r="A60" s="17"/>
      <c r="B60" s="17"/>
      <c r="C60" s="17"/>
      <c r="D60" s="17"/>
      <c r="E60" s="18"/>
      <c r="F60" s="18"/>
      <c r="G60" s="18"/>
      <c r="H60" s="17"/>
      <c r="I60" s="17"/>
      <c r="J60" s="17"/>
      <c r="K60" s="18"/>
      <c r="L60" s="19"/>
      <c r="M60" s="18"/>
    </row>
    <row r="61" customFormat="false" ht="15" hidden="false" customHeight="true" outlineLevel="0" collapsed="false">
      <c r="A61" s="17"/>
      <c r="B61" s="17"/>
      <c r="C61" s="17"/>
      <c r="D61" s="17"/>
      <c r="E61" s="18"/>
      <c r="F61" s="18"/>
      <c r="G61" s="18"/>
      <c r="H61" s="17"/>
      <c r="I61" s="17"/>
      <c r="J61" s="17"/>
      <c r="K61" s="18"/>
      <c r="L61" s="19"/>
      <c r="M61" s="18"/>
    </row>
    <row r="62" customFormat="false" ht="15" hidden="false" customHeight="true" outlineLevel="0" collapsed="false">
      <c r="A62" s="17"/>
      <c r="B62" s="17"/>
      <c r="C62" s="17"/>
      <c r="D62" s="17"/>
      <c r="E62" s="18"/>
      <c r="F62" s="18"/>
      <c r="G62" s="18"/>
      <c r="H62" s="17"/>
      <c r="I62" s="17"/>
      <c r="J62" s="17"/>
      <c r="K62" s="18"/>
      <c r="L62" s="19"/>
      <c r="M62" s="18"/>
    </row>
    <row r="63" customFormat="false" ht="15" hidden="false" customHeight="true" outlineLevel="0" collapsed="false">
      <c r="A63" s="17"/>
      <c r="B63" s="17"/>
      <c r="C63" s="17"/>
      <c r="D63" s="17"/>
      <c r="E63" s="18"/>
      <c r="F63" s="18"/>
      <c r="G63" s="18"/>
      <c r="H63" s="17"/>
      <c r="I63" s="17"/>
      <c r="J63" s="17"/>
      <c r="K63" s="18"/>
      <c r="L63" s="19"/>
      <c r="M63" s="18"/>
    </row>
    <row r="64" customFormat="false" ht="15" hidden="false" customHeight="true" outlineLevel="0" collapsed="false">
      <c r="A64" s="17"/>
      <c r="B64" s="17"/>
      <c r="C64" s="17"/>
      <c r="D64" s="17"/>
      <c r="E64" s="18"/>
      <c r="F64" s="18"/>
      <c r="G64" s="18"/>
      <c r="H64" s="17"/>
      <c r="I64" s="17"/>
      <c r="J64" s="17"/>
      <c r="K64" s="18"/>
      <c r="L64" s="19"/>
      <c r="M64" s="18"/>
    </row>
    <row r="65" customFormat="false" ht="15" hidden="false" customHeight="true" outlineLevel="0" collapsed="false">
      <c r="A65" s="17"/>
      <c r="B65" s="17"/>
      <c r="C65" s="17"/>
      <c r="D65" s="17"/>
      <c r="E65" s="18"/>
      <c r="F65" s="18"/>
      <c r="G65" s="18"/>
      <c r="H65" s="17"/>
      <c r="I65" s="17"/>
      <c r="J65" s="17"/>
      <c r="K65" s="18"/>
      <c r="L65" s="19"/>
      <c r="M65" s="18"/>
    </row>
    <row r="66" customFormat="false" ht="15" hidden="false" customHeight="true" outlineLevel="0" collapsed="false">
      <c r="A66" s="17"/>
      <c r="B66" s="17"/>
      <c r="C66" s="17"/>
      <c r="D66" s="17"/>
      <c r="E66" s="18"/>
      <c r="F66" s="18"/>
      <c r="G66" s="18"/>
      <c r="H66" s="17"/>
      <c r="I66" s="17"/>
      <c r="J66" s="17"/>
      <c r="K66" s="18"/>
      <c r="L66" s="19"/>
      <c r="M66" s="18"/>
    </row>
    <row r="67" customFormat="false" ht="15" hidden="false" customHeight="true" outlineLevel="0" collapsed="false">
      <c r="A67" s="17"/>
      <c r="B67" s="17"/>
      <c r="C67" s="17"/>
      <c r="D67" s="17"/>
      <c r="E67" s="18"/>
      <c r="F67" s="18"/>
      <c r="G67" s="18"/>
      <c r="H67" s="17"/>
      <c r="I67" s="17"/>
      <c r="J67" s="17"/>
      <c r="K67" s="18"/>
      <c r="L67" s="19"/>
      <c r="M67" s="18"/>
    </row>
    <row r="68" customFormat="false" ht="15" hidden="false" customHeight="true" outlineLevel="0" collapsed="false">
      <c r="A68" s="17"/>
      <c r="B68" s="17"/>
      <c r="C68" s="17"/>
      <c r="D68" s="17"/>
      <c r="E68" s="18"/>
      <c r="F68" s="18"/>
      <c r="G68" s="18"/>
      <c r="H68" s="17"/>
      <c r="I68" s="17"/>
      <c r="J68" s="17"/>
      <c r="K68" s="18"/>
      <c r="L68" s="19"/>
      <c r="M68" s="18"/>
    </row>
    <row r="69" customFormat="false" ht="15" hidden="false" customHeight="true" outlineLevel="0" collapsed="false">
      <c r="A69" s="17"/>
      <c r="B69" s="17"/>
      <c r="C69" s="17"/>
      <c r="D69" s="17"/>
      <c r="E69" s="18"/>
      <c r="F69" s="18"/>
      <c r="G69" s="18"/>
      <c r="H69" s="17"/>
      <c r="I69" s="17"/>
      <c r="J69" s="17"/>
      <c r="K69" s="18"/>
      <c r="L69" s="19"/>
      <c r="M69" s="18"/>
    </row>
    <row r="70" customFormat="false" ht="15" hidden="false" customHeight="true" outlineLevel="0" collapsed="false">
      <c r="A70" s="17"/>
      <c r="B70" s="17"/>
      <c r="C70" s="17"/>
      <c r="D70" s="17"/>
      <c r="E70" s="18"/>
      <c r="F70" s="18"/>
      <c r="G70" s="18"/>
      <c r="H70" s="17"/>
      <c r="I70" s="17"/>
      <c r="J70" s="17"/>
      <c r="K70" s="18"/>
      <c r="L70" s="19"/>
      <c r="M70" s="18"/>
    </row>
    <row r="71" customFormat="false" ht="15" hidden="false" customHeight="true" outlineLevel="0" collapsed="false">
      <c r="A71" s="17"/>
      <c r="B71" s="17"/>
      <c r="C71" s="17"/>
      <c r="D71" s="17"/>
      <c r="E71" s="18"/>
      <c r="F71" s="18"/>
      <c r="G71" s="18"/>
      <c r="H71" s="17"/>
      <c r="I71" s="17"/>
      <c r="J71" s="17"/>
      <c r="K71" s="18"/>
      <c r="L71" s="19"/>
      <c r="M71" s="18"/>
    </row>
    <row r="72" customFormat="false" ht="15" hidden="false" customHeight="true" outlineLevel="0" collapsed="false">
      <c r="A72" s="17"/>
      <c r="B72" s="17"/>
      <c r="C72" s="17"/>
      <c r="D72" s="17"/>
      <c r="E72" s="18"/>
      <c r="F72" s="18"/>
      <c r="G72" s="18"/>
      <c r="H72" s="17"/>
      <c r="I72" s="17"/>
      <c r="J72" s="17"/>
      <c r="K72" s="18"/>
      <c r="L72" s="19"/>
      <c r="M72" s="18"/>
    </row>
    <row r="73" customFormat="false" ht="15" hidden="false" customHeight="true" outlineLevel="0" collapsed="false">
      <c r="A73" s="17"/>
      <c r="B73" s="17"/>
      <c r="C73" s="17"/>
      <c r="D73" s="17"/>
      <c r="E73" s="18"/>
      <c r="F73" s="18"/>
      <c r="G73" s="18"/>
      <c r="H73" s="17"/>
      <c r="I73" s="17"/>
      <c r="J73" s="17"/>
      <c r="K73" s="18"/>
      <c r="L73" s="19"/>
      <c r="M73" s="18"/>
    </row>
    <row r="74" customFormat="false" ht="15" hidden="false" customHeight="true" outlineLevel="0" collapsed="false">
      <c r="A74" s="17"/>
      <c r="B74" s="17"/>
      <c r="C74" s="17"/>
      <c r="D74" s="17"/>
      <c r="E74" s="18"/>
      <c r="F74" s="18"/>
      <c r="G74" s="18"/>
      <c r="H74" s="17"/>
      <c r="I74" s="17"/>
      <c r="J74" s="17"/>
      <c r="K74" s="18"/>
      <c r="L74" s="19"/>
      <c r="M74" s="18"/>
    </row>
    <row r="75" customFormat="false" ht="15" hidden="false" customHeight="true" outlineLevel="0" collapsed="false">
      <c r="A75" s="17"/>
      <c r="B75" s="17"/>
      <c r="C75" s="17"/>
      <c r="D75" s="17"/>
      <c r="E75" s="18"/>
      <c r="F75" s="18"/>
      <c r="G75" s="18"/>
      <c r="H75" s="17"/>
      <c r="I75" s="17"/>
      <c r="J75" s="17"/>
      <c r="K75" s="18"/>
      <c r="L75" s="19"/>
      <c r="M75" s="18"/>
    </row>
    <row r="76" customFormat="false" ht="15" hidden="false" customHeight="true" outlineLevel="0" collapsed="false">
      <c r="A76" s="17"/>
      <c r="B76" s="17"/>
      <c r="C76" s="17"/>
      <c r="D76" s="17"/>
      <c r="E76" s="18"/>
      <c r="F76" s="18"/>
      <c r="G76" s="18"/>
      <c r="H76" s="17"/>
      <c r="I76" s="17"/>
      <c r="J76" s="17"/>
      <c r="K76" s="18"/>
      <c r="L76" s="19"/>
      <c r="M76" s="18"/>
    </row>
    <row r="77" customFormat="false" ht="15" hidden="false" customHeight="true" outlineLevel="0" collapsed="false">
      <c r="A77" s="17"/>
      <c r="B77" s="17"/>
      <c r="C77" s="17"/>
      <c r="D77" s="17"/>
      <c r="E77" s="18"/>
      <c r="F77" s="18"/>
      <c r="G77" s="18"/>
      <c r="H77" s="17"/>
      <c r="I77" s="17"/>
      <c r="J77" s="17"/>
      <c r="K77" s="18"/>
      <c r="L77" s="19"/>
      <c r="M77" s="18"/>
    </row>
    <row r="78" customFormat="false" ht="15" hidden="false" customHeight="true" outlineLevel="0" collapsed="false">
      <c r="A78" s="17"/>
      <c r="B78" s="17"/>
      <c r="C78" s="17"/>
      <c r="D78" s="17"/>
      <c r="E78" s="18"/>
      <c r="F78" s="18"/>
      <c r="G78" s="18"/>
      <c r="H78" s="17"/>
      <c r="I78" s="17"/>
      <c r="J78" s="17"/>
      <c r="K78" s="18"/>
      <c r="L78" s="19"/>
      <c r="M78" s="18"/>
    </row>
    <row r="79" customFormat="false" ht="15" hidden="false" customHeight="true" outlineLevel="0" collapsed="false">
      <c r="A79" s="17"/>
      <c r="B79" s="17"/>
      <c r="C79" s="17"/>
      <c r="D79" s="17"/>
      <c r="E79" s="18"/>
      <c r="F79" s="18"/>
      <c r="G79" s="18"/>
      <c r="H79" s="17"/>
      <c r="I79" s="17"/>
      <c r="J79" s="17"/>
      <c r="K79" s="18"/>
      <c r="L79" s="19"/>
      <c r="M79" s="18"/>
    </row>
    <row r="80" customFormat="false" ht="15" hidden="false" customHeight="true" outlineLevel="0" collapsed="false">
      <c r="A80" s="17"/>
      <c r="B80" s="17"/>
      <c r="C80" s="17"/>
      <c r="D80" s="17"/>
      <c r="E80" s="18"/>
      <c r="F80" s="18"/>
      <c r="G80" s="18"/>
      <c r="H80" s="17"/>
      <c r="I80" s="17"/>
      <c r="J80" s="17"/>
      <c r="K80" s="18"/>
      <c r="L80" s="19"/>
      <c r="M80" s="18"/>
    </row>
    <row r="81" customFormat="false" ht="15" hidden="false" customHeight="true" outlineLevel="0" collapsed="false">
      <c r="A81" s="17"/>
      <c r="B81" s="17"/>
      <c r="C81" s="17"/>
      <c r="D81" s="17"/>
      <c r="E81" s="18"/>
      <c r="F81" s="18"/>
      <c r="G81" s="18"/>
      <c r="H81" s="17"/>
      <c r="I81" s="17"/>
      <c r="J81" s="17"/>
      <c r="K81" s="18"/>
      <c r="L81" s="19"/>
      <c r="M81" s="18"/>
    </row>
    <row r="82" customFormat="false" ht="15" hidden="false" customHeight="true" outlineLevel="0" collapsed="false">
      <c r="A82" s="17"/>
      <c r="B82" s="17"/>
      <c r="C82" s="17"/>
      <c r="D82" s="17"/>
      <c r="E82" s="18"/>
      <c r="F82" s="18"/>
      <c r="G82" s="18"/>
      <c r="H82" s="17"/>
      <c r="I82" s="17"/>
      <c r="J82" s="17"/>
      <c r="K82" s="18"/>
      <c r="L82" s="19"/>
      <c r="M82" s="18"/>
    </row>
    <row r="83" customFormat="false" ht="15" hidden="false" customHeight="true" outlineLevel="0" collapsed="false">
      <c r="A83" s="17"/>
      <c r="B83" s="17"/>
      <c r="C83" s="17"/>
      <c r="D83" s="17"/>
      <c r="E83" s="18"/>
      <c r="F83" s="18"/>
      <c r="G83" s="18"/>
      <c r="H83" s="17"/>
      <c r="I83" s="17"/>
      <c r="J83" s="17"/>
      <c r="K83" s="18"/>
      <c r="L83" s="19"/>
      <c r="M83" s="18"/>
    </row>
    <row r="84" customFormat="false" ht="15" hidden="false" customHeight="true" outlineLevel="0" collapsed="false">
      <c r="A84" s="17"/>
      <c r="B84" s="17"/>
      <c r="C84" s="17"/>
      <c r="D84" s="17"/>
      <c r="E84" s="18"/>
      <c r="F84" s="18"/>
      <c r="G84" s="18"/>
      <c r="H84" s="17"/>
      <c r="I84" s="17"/>
      <c r="J84" s="17"/>
      <c r="K84" s="18"/>
      <c r="L84" s="19"/>
      <c r="M84" s="18"/>
    </row>
    <row r="85" customFormat="false" ht="15" hidden="false" customHeight="true" outlineLevel="0" collapsed="false">
      <c r="A85" s="17"/>
      <c r="B85" s="17"/>
      <c r="C85" s="17"/>
      <c r="D85" s="17"/>
      <c r="E85" s="18"/>
      <c r="F85" s="18"/>
      <c r="G85" s="18"/>
      <c r="H85" s="17"/>
      <c r="I85" s="17"/>
      <c r="J85" s="17"/>
      <c r="K85" s="18"/>
      <c r="L85" s="19"/>
      <c r="M85" s="18"/>
    </row>
    <row r="86" customFormat="false" ht="15" hidden="false" customHeight="true" outlineLevel="0" collapsed="false">
      <c r="A86" s="17"/>
      <c r="B86" s="17"/>
      <c r="C86" s="17"/>
      <c r="D86" s="17"/>
      <c r="E86" s="18"/>
      <c r="F86" s="18"/>
      <c r="G86" s="18"/>
      <c r="H86" s="17"/>
      <c r="I86" s="17"/>
      <c r="J86" s="17"/>
      <c r="K86" s="18"/>
      <c r="L86" s="19"/>
      <c r="M86" s="18"/>
    </row>
    <row r="87" customFormat="false" ht="15" hidden="false" customHeight="true" outlineLevel="0" collapsed="false">
      <c r="A87" s="17"/>
      <c r="B87" s="17"/>
      <c r="C87" s="17"/>
      <c r="D87" s="17"/>
      <c r="E87" s="18"/>
      <c r="F87" s="18"/>
      <c r="G87" s="18"/>
      <c r="H87" s="17"/>
      <c r="I87" s="17"/>
      <c r="J87" s="17"/>
      <c r="K87" s="18"/>
      <c r="L87" s="19"/>
      <c r="M87" s="18"/>
    </row>
    <row r="88" customFormat="false" ht="15" hidden="false" customHeight="true" outlineLevel="0" collapsed="false">
      <c r="A88" s="17"/>
      <c r="B88" s="17"/>
      <c r="C88" s="17"/>
      <c r="D88" s="17"/>
      <c r="E88" s="18"/>
      <c r="F88" s="18"/>
      <c r="G88" s="18"/>
      <c r="H88" s="17"/>
      <c r="I88" s="17"/>
      <c r="J88" s="17"/>
      <c r="K88" s="18"/>
      <c r="L88" s="19"/>
      <c r="M88" s="18"/>
    </row>
    <row r="89" customFormat="false" ht="15" hidden="false" customHeight="true" outlineLevel="0" collapsed="false">
      <c r="A89" s="17"/>
      <c r="B89" s="17"/>
      <c r="C89" s="17"/>
      <c r="D89" s="17"/>
      <c r="E89" s="18"/>
      <c r="F89" s="18"/>
      <c r="G89" s="18"/>
      <c r="H89" s="17"/>
      <c r="I89" s="17"/>
      <c r="J89" s="17"/>
      <c r="K89" s="18"/>
      <c r="L89" s="19"/>
      <c r="M89" s="18"/>
    </row>
    <row r="90" customFormat="false" ht="15" hidden="false" customHeight="true" outlineLevel="0" collapsed="false">
      <c r="A90" s="17"/>
      <c r="B90" s="17"/>
      <c r="C90" s="17"/>
      <c r="D90" s="17"/>
      <c r="E90" s="18"/>
      <c r="F90" s="18"/>
      <c r="G90" s="18"/>
      <c r="H90" s="17"/>
      <c r="I90" s="17"/>
      <c r="J90" s="17"/>
      <c r="K90" s="18"/>
      <c r="L90" s="19"/>
      <c r="M90" s="18"/>
    </row>
    <row r="91" customFormat="false" ht="15" hidden="false" customHeight="true" outlineLevel="0" collapsed="false">
      <c r="A91" s="17"/>
      <c r="B91" s="17"/>
      <c r="C91" s="17"/>
      <c r="D91" s="17"/>
      <c r="E91" s="18"/>
      <c r="F91" s="18"/>
      <c r="G91" s="18"/>
      <c r="H91" s="17"/>
      <c r="I91" s="17"/>
      <c r="J91" s="17"/>
      <c r="K91" s="18"/>
      <c r="L91" s="19"/>
      <c r="M91" s="18"/>
    </row>
    <row r="92" customFormat="false" ht="15" hidden="false" customHeight="true" outlineLevel="0" collapsed="false">
      <c r="A92" s="17"/>
      <c r="B92" s="17"/>
      <c r="C92" s="17"/>
      <c r="D92" s="17"/>
      <c r="E92" s="18"/>
      <c r="F92" s="18"/>
      <c r="G92" s="18"/>
      <c r="H92" s="17"/>
      <c r="I92" s="17"/>
      <c r="J92" s="17"/>
      <c r="K92" s="18"/>
      <c r="L92" s="19"/>
      <c r="M92" s="18"/>
    </row>
    <row r="93" customFormat="false" ht="15" hidden="false" customHeight="true" outlineLevel="0" collapsed="false">
      <c r="A93" s="17"/>
      <c r="B93" s="17"/>
      <c r="C93" s="17"/>
      <c r="D93" s="17"/>
      <c r="E93" s="18"/>
      <c r="F93" s="18"/>
      <c r="G93" s="18"/>
      <c r="H93" s="17"/>
      <c r="I93" s="17"/>
      <c r="J93" s="17"/>
      <c r="K93" s="18"/>
      <c r="L93" s="19"/>
      <c r="M93" s="18"/>
    </row>
    <row r="94" customFormat="false" ht="15" hidden="false" customHeight="true" outlineLevel="0" collapsed="false">
      <c r="A94" s="17"/>
      <c r="B94" s="17"/>
      <c r="C94" s="17"/>
      <c r="D94" s="17"/>
      <c r="E94" s="18"/>
      <c r="F94" s="18"/>
      <c r="G94" s="18"/>
      <c r="H94" s="17"/>
      <c r="I94" s="17"/>
      <c r="J94" s="17"/>
      <c r="K94" s="18"/>
      <c r="L94" s="19"/>
      <c r="M94" s="18"/>
    </row>
    <row r="95" customFormat="false" ht="15" hidden="false" customHeight="true" outlineLevel="0" collapsed="false">
      <c r="A95" s="17"/>
      <c r="B95" s="17"/>
      <c r="C95" s="17"/>
      <c r="D95" s="17"/>
      <c r="E95" s="18"/>
      <c r="F95" s="18"/>
      <c r="G95" s="18"/>
      <c r="H95" s="17"/>
      <c r="I95" s="17"/>
      <c r="J95" s="17"/>
      <c r="K95" s="18"/>
      <c r="L95" s="19"/>
      <c r="M95" s="18"/>
    </row>
    <row r="96" customFormat="false" ht="15" hidden="false" customHeight="true" outlineLevel="0" collapsed="false">
      <c r="A96" s="17"/>
      <c r="B96" s="17"/>
      <c r="C96" s="17"/>
      <c r="D96" s="17"/>
      <c r="E96" s="18"/>
      <c r="F96" s="18"/>
      <c r="G96" s="18"/>
      <c r="H96" s="17"/>
      <c r="I96" s="17"/>
      <c r="J96" s="17"/>
      <c r="K96" s="18"/>
      <c r="L96" s="19"/>
      <c r="M96" s="18"/>
    </row>
    <row r="97" customFormat="false" ht="15" hidden="false" customHeight="true" outlineLevel="0" collapsed="false">
      <c r="A97" s="17"/>
      <c r="B97" s="17"/>
      <c r="C97" s="17"/>
      <c r="D97" s="17"/>
      <c r="E97" s="18"/>
      <c r="F97" s="18"/>
      <c r="G97" s="18"/>
      <c r="H97" s="17"/>
      <c r="I97" s="17"/>
      <c r="J97" s="17"/>
      <c r="K97" s="18"/>
      <c r="L97" s="19"/>
      <c r="M97" s="18"/>
    </row>
    <row r="98" customFormat="false" ht="15" hidden="false" customHeight="true" outlineLevel="0" collapsed="false">
      <c r="A98" s="17"/>
      <c r="B98" s="17"/>
      <c r="C98" s="17"/>
      <c r="D98" s="17"/>
      <c r="E98" s="18"/>
      <c r="F98" s="18"/>
      <c r="G98" s="18"/>
      <c r="H98" s="17"/>
      <c r="I98" s="17"/>
      <c r="J98" s="17"/>
      <c r="K98" s="18"/>
      <c r="L98" s="19"/>
      <c r="M98" s="18"/>
    </row>
    <row r="99" customFormat="false" ht="15" hidden="false" customHeight="true" outlineLevel="0" collapsed="false">
      <c r="A99" s="17"/>
      <c r="B99" s="17"/>
      <c r="C99" s="17"/>
      <c r="D99" s="17"/>
      <c r="E99" s="18"/>
      <c r="F99" s="18"/>
      <c r="G99" s="18"/>
      <c r="H99" s="17"/>
      <c r="I99" s="17"/>
      <c r="J99" s="17"/>
      <c r="K99" s="18"/>
      <c r="L99" s="19"/>
      <c r="M99" s="18"/>
    </row>
    <row r="100" customFormat="false" ht="15" hidden="false" customHeight="true" outlineLevel="0" collapsed="false">
      <c r="A100" s="17"/>
      <c r="B100" s="17"/>
      <c r="C100" s="17"/>
      <c r="D100" s="17"/>
      <c r="E100" s="18"/>
      <c r="F100" s="18"/>
      <c r="G100" s="18"/>
      <c r="H100" s="17"/>
      <c r="I100" s="17"/>
      <c r="J100" s="17"/>
      <c r="K100" s="18"/>
      <c r="L100" s="19"/>
      <c r="M100" s="18"/>
    </row>
    <row r="101" customFormat="false" ht="15" hidden="false" customHeight="true" outlineLevel="0" collapsed="false">
      <c r="A101" s="17"/>
      <c r="B101" s="17"/>
      <c r="C101" s="17"/>
      <c r="D101" s="17"/>
      <c r="E101" s="18"/>
      <c r="F101" s="18"/>
      <c r="G101" s="18"/>
      <c r="H101" s="17"/>
      <c r="I101" s="17"/>
      <c r="J101" s="17"/>
      <c r="K101" s="18"/>
      <c r="L101" s="19"/>
      <c r="M101" s="18"/>
    </row>
    <row r="102" customFormat="false" ht="15" hidden="false" customHeight="true" outlineLevel="0" collapsed="false">
      <c r="A102" s="17"/>
      <c r="B102" s="17"/>
      <c r="C102" s="17"/>
      <c r="D102" s="17"/>
      <c r="E102" s="18"/>
      <c r="F102" s="18"/>
      <c r="G102" s="18"/>
      <c r="H102" s="17"/>
      <c r="I102" s="17"/>
      <c r="J102" s="17"/>
      <c r="K102" s="18"/>
      <c r="L102" s="19"/>
      <c r="M102" s="18"/>
    </row>
    <row r="103" customFormat="false" ht="15" hidden="false" customHeight="true" outlineLevel="0" collapsed="false">
      <c r="A103" s="17"/>
      <c r="B103" s="17"/>
      <c r="C103" s="17"/>
      <c r="D103" s="17"/>
      <c r="E103" s="18"/>
      <c r="F103" s="18"/>
      <c r="G103" s="18"/>
      <c r="H103" s="17"/>
      <c r="I103" s="17"/>
      <c r="J103" s="17"/>
      <c r="K103" s="18"/>
      <c r="L103" s="19"/>
      <c r="M103" s="18"/>
    </row>
    <row r="104" customFormat="false" ht="15" hidden="false" customHeight="true" outlineLevel="0" collapsed="false">
      <c r="A104" s="17"/>
      <c r="B104" s="17"/>
      <c r="C104" s="17"/>
      <c r="D104" s="17"/>
      <c r="E104" s="18"/>
      <c r="F104" s="18"/>
      <c r="G104" s="18"/>
      <c r="H104" s="17"/>
      <c r="I104" s="17"/>
      <c r="J104" s="17"/>
      <c r="K104" s="18"/>
      <c r="L104" s="19"/>
      <c r="M104" s="18"/>
    </row>
    <row r="105" customFormat="false" ht="15" hidden="false" customHeight="true" outlineLevel="0" collapsed="false">
      <c r="A105" s="17"/>
      <c r="B105" s="17"/>
      <c r="C105" s="17"/>
      <c r="D105" s="17"/>
      <c r="E105" s="18"/>
      <c r="F105" s="18"/>
      <c r="G105" s="18"/>
      <c r="H105" s="17"/>
      <c r="I105" s="17"/>
      <c r="J105" s="17"/>
      <c r="K105" s="18"/>
      <c r="L105" s="19"/>
      <c r="M105" s="18"/>
    </row>
    <row r="106" customFormat="false" ht="15" hidden="false" customHeight="true" outlineLevel="0" collapsed="false">
      <c r="A106" s="17"/>
      <c r="B106" s="17"/>
      <c r="C106" s="17"/>
      <c r="D106" s="17"/>
      <c r="E106" s="18"/>
      <c r="F106" s="18"/>
      <c r="G106" s="18"/>
      <c r="H106" s="17"/>
      <c r="I106" s="17"/>
      <c r="J106" s="17"/>
      <c r="K106" s="18"/>
      <c r="L106" s="19"/>
      <c r="M106" s="18"/>
    </row>
    <row r="107" customFormat="false" ht="15" hidden="false" customHeight="true" outlineLevel="0" collapsed="false">
      <c r="A107" s="17"/>
      <c r="B107" s="17"/>
      <c r="C107" s="17"/>
      <c r="D107" s="17"/>
      <c r="E107" s="18"/>
      <c r="F107" s="18"/>
      <c r="G107" s="18"/>
      <c r="H107" s="17"/>
      <c r="I107" s="17"/>
      <c r="J107" s="17"/>
      <c r="K107" s="18"/>
      <c r="L107" s="19"/>
      <c r="M107" s="18"/>
    </row>
    <row r="108" customFormat="false" ht="15" hidden="false" customHeight="true" outlineLevel="0" collapsed="false">
      <c r="A108" s="17"/>
      <c r="B108" s="17"/>
      <c r="C108" s="17"/>
      <c r="D108" s="17"/>
      <c r="E108" s="18"/>
      <c r="F108" s="18"/>
      <c r="G108" s="18"/>
      <c r="H108" s="17"/>
      <c r="I108" s="17"/>
      <c r="J108" s="17"/>
      <c r="K108" s="18"/>
      <c r="L108" s="19"/>
      <c r="M108" s="18"/>
    </row>
    <row r="109" customFormat="false" ht="15" hidden="false" customHeight="true" outlineLevel="0" collapsed="false">
      <c r="A109" s="17"/>
      <c r="B109" s="17"/>
      <c r="C109" s="17"/>
      <c r="D109" s="17"/>
      <c r="E109" s="18"/>
      <c r="F109" s="18"/>
      <c r="G109" s="18"/>
      <c r="H109" s="17"/>
      <c r="I109" s="17"/>
      <c r="J109" s="17"/>
      <c r="K109" s="18"/>
      <c r="L109" s="19"/>
      <c r="M109" s="18"/>
    </row>
    <row r="110" customFormat="false" ht="15" hidden="false" customHeight="true" outlineLevel="0" collapsed="false">
      <c r="A110" s="17"/>
      <c r="B110" s="17"/>
      <c r="C110" s="17"/>
      <c r="D110" s="17"/>
      <c r="E110" s="18"/>
      <c r="F110" s="18"/>
      <c r="G110" s="18"/>
      <c r="H110" s="17"/>
      <c r="I110" s="17"/>
      <c r="J110" s="17"/>
      <c r="K110" s="18"/>
      <c r="L110" s="19"/>
      <c r="M110" s="18"/>
    </row>
    <row r="111" customFormat="false" ht="15" hidden="false" customHeight="true" outlineLevel="0" collapsed="false">
      <c r="A111" s="17"/>
      <c r="B111" s="17"/>
      <c r="C111" s="17"/>
      <c r="D111" s="17"/>
      <c r="E111" s="18"/>
      <c r="F111" s="18"/>
      <c r="G111" s="18"/>
      <c r="H111" s="17"/>
      <c r="I111" s="17"/>
      <c r="J111" s="17"/>
      <c r="K111" s="18"/>
      <c r="L111" s="19"/>
      <c r="M111" s="18"/>
    </row>
    <row r="112" customFormat="false" ht="15" hidden="false" customHeight="true" outlineLevel="0" collapsed="false">
      <c r="A112" s="17"/>
      <c r="B112" s="17"/>
      <c r="C112" s="17"/>
      <c r="D112" s="17"/>
      <c r="E112" s="18"/>
      <c r="F112" s="18"/>
      <c r="G112" s="18"/>
      <c r="H112" s="17"/>
      <c r="I112" s="17"/>
      <c r="J112" s="17"/>
      <c r="K112" s="18"/>
      <c r="L112" s="19"/>
      <c r="M112" s="18"/>
    </row>
    <row r="113" customFormat="false" ht="15" hidden="false" customHeight="true" outlineLevel="0" collapsed="false">
      <c r="A113" s="17"/>
      <c r="B113" s="17"/>
      <c r="C113" s="17"/>
      <c r="D113" s="17"/>
      <c r="E113" s="18"/>
      <c r="F113" s="18"/>
      <c r="G113" s="18"/>
      <c r="H113" s="17"/>
      <c r="I113" s="17"/>
      <c r="J113" s="17"/>
      <c r="K113" s="18"/>
      <c r="L113" s="19"/>
      <c r="M113" s="18"/>
    </row>
    <row r="114" customFormat="false" ht="15" hidden="false" customHeight="true" outlineLevel="0" collapsed="false">
      <c r="A114" s="17"/>
      <c r="B114" s="17"/>
      <c r="C114" s="17"/>
      <c r="D114" s="17"/>
      <c r="E114" s="18"/>
      <c r="F114" s="18"/>
      <c r="G114" s="18"/>
      <c r="H114" s="17"/>
      <c r="I114" s="17"/>
      <c r="J114" s="17"/>
      <c r="K114" s="18"/>
      <c r="L114" s="19"/>
      <c r="M114" s="18"/>
    </row>
    <row r="115" customFormat="false" ht="15" hidden="false" customHeight="true" outlineLevel="0" collapsed="false">
      <c r="A115" s="17"/>
      <c r="B115" s="17"/>
      <c r="C115" s="17"/>
      <c r="D115" s="17"/>
      <c r="E115" s="18"/>
      <c r="F115" s="18"/>
      <c r="G115" s="18"/>
      <c r="H115" s="17"/>
      <c r="I115" s="17"/>
      <c r="J115" s="17"/>
      <c r="K115" s="18"/>
      <c r="L115" s="19"/>
      <c r="M115" s="18"/>
    </row>
    <row r="116" customFormat="false" ht="15" hidden="false" customHeight="true" outlineLevel="0" collapsed="false">
      <c r="A116" s="17"/>
      <c r="B116" s="17"/>
      <c r="C116" s="17"/>
      <c r="D116" s="17"/>
      <c r="E116" s="18"/>
      <c r="F116" s="18"/>
      <c r="G116" s="18"/>
      <c r="H116" s="17"/>
      <c r="I116" s="17"/>
      <c r="J116" s="17"/>
      <c r="K116" s="18"/>
      <c r="L116" s="19"/>
      <c r="M116" s="18"/>
    </row>
    <row r="117" customFormat="false" ht="15" hidden="false" customHeight="true" outlineLevel="0" collapsed="false">
      <c r="A117" s="17"/>
      <c r="B117" s="17"/>
      <c r="C117" s="17"/>
      <c r="D117" s="17"/>
      <c r="E117" s="18"/>
      <c r="F117" s="18"/>
      <c r="G117" s="18"/>
      <c r="H117" s="17"/>
      <c r="I117" s="17"/>
      <c r="J117" s="17"/>
      <c r="K117" s="18"/>
      <c r="L117" s="19"/>
      <c r="M117" s="18"/>
    </row>
    <row r="118" customFormat="false" ht="15" hidden="false" customHeight="true" outlineLevel="0" collapsed="false">
      <c r="A118" s="17"/>
      <c r="B118" s="17"/>
      <c r="C118" s="17"/>
      <c r="D118" s="17"/>
      <c r="E118" s="18"/>
      <c r="F118" s="18"/>
      <c r="G118" s="18"/>
      <c r="H118" s="17"/>
      <c r="I118" s="17"/>
      <c r="J118" s="17"/>
      <c r="K118" s="18"/>
      <c r="L118" s="19"/>
      <c r="M118" s="18"/>
    </row>
    <row r="119" customFormat="false" ht="15" hidden="false" customHeight="true" outlineLevel="0" collapsed="false">
      <c r="A119" s="17"/>
      <c r="B119" s="17"/>
      <c r="C119" s="17"/>
      <c r="D119" s="17"/>
      <c r="E119" s="18"/>
      <c r="F119" s="18"/>
      <c r="G119" s="18"/>
      <c r="H119" s="17"/>
      <c r="I119" s="17"/>
      <c r="J119" s="17"/>
      <c r="K119" s="18"/>
      <c r="L119" s="19"/>
      <c r="M119" s="18"/>
    </row>
    <row r="120" customFormat="false" ht="15" hidden="false" customHeight="true" outlineLevel="0" collapsed="false">
      <c r="A120" s="17"/>
      <c r="B120" s="17"/>
      <c r="C120" s="17"/>
      <c r="D120" s="17"/>
      <c r="E120" s="18"/>
      <c r="F120" s="18"/>
      <c r="G120" s="18"/>
      <c r="H120" s="17"/>
      <c r="I120" s="17"/>
      <c r="J120" s="17"/>
      <c r="K120" s="18"/>
      <c r="L120" s="19"/>
      <c r="M120" s="18"/>
    </row>
    <row r="121" customFormat="false" ht="15" hidden="false" customHeight="true" outlineLevel="0" collapsed="false">
      <c r="A121" s="17"/>
      <c r="B121" s="17"/>
      <c r="C121" s="17"/>
      <c r="D121" s="17"/>
      <c r="E121" s="18"/>
      <c r="F121" s="18"/>
      <c r="G121" s="18"/>
      <c r="H121" s="17"/>
      <c r="I121" s="17"/>
      <c r="J121" s="17"/>
      <c r="K121" s="18"/>
      <c r="L121" s="19"/>
      <c r="M121" s="18"/>
    </row>
    <row r="122" customFormat="false" ht="15" hidden="false" customHeight="true" outlineLevel="0" collapsed="false">
      <c r="A122" s="17"/>
      <c r="B122" s="17"/>
      <c r="C122" s="17"/>
      <c r="D122" s="17"/>
      <c r="E122" s="18"/>
      <c r="F122" s="18"/>
      <c r="G122" s="18"/>
      <c r="H122" s="17"/>
      <c r="I122" s="17"/>
      <c r="J122" s="17"/>
      <c r="K122" s="18"/>
      <c r="L122" s="19"/>
      <c r="M122" s="18"/>
    </row>
    <row r="123" customFormat="false" ht="15" hidden="false" customHeight="true" outlineLevel="0" collapsed="false">
      <c r="A123" s="17"/>
      <c r="B123" s="17"/>
      <c r="C123" s="17"/>
      <c r="D123" s="17"/>
      <c r="E123" s="18"/>
      <c r="F123" s="18"/>
      <c r="G123" s="18"/>
      <c r="H123" s="17"/>
      <c r="I123" s="17"/>
      <c r="J123" s="17"/>
      <c r="K123" s="18"/>
      <c r="L123" s="19"/>
      <c r="M123" s="18"/>
    </row>
    <row r="124" customFormat="false" ht="15" hidden="false" customHeight="true" outlineLevel="0" collapsed="false">
      <c r="A124" s="17"/>
      <c r="B124" s="17"/>
      <c r="C124" s="17"/>
      <c r="D124" s="17"/>
      <c r="E124" s="18"/>
      <c r="F124" s="18"/>
      <c r="G124" s="18"/>
      <c r="H124" s="17"/>
      <c r="I124" s="17"/>
      <c r="J124" s="17"/>
      <c r="K124" s="18"/>
      <c r="L124" s="19"/>
      <c r="M124" s="18"/>
    </row>
    <row r="125" customFormat="false" ht="15" hidden="false" customHeight="true" outlineLevel="0" collapsed="false">
      <c r="A125" s="17"/>
      <c r="B125" s="17"/>
      <c r="C125" s="17"/>
      <c r="D125" s="17"/>
      <c r="E125" s="18"/>
      <c r="F125" s="18"/>
      <c r="G125" s="18"/>
      <c r="H125" s="17"/>
      <c r="I125" s="17"/>
      <c r="J125" s="17"/>
      <c r="K125" s="18"/>
      <c r="L125" s="19"/>
      <c r="M125" s="18"/>
    </row>
    <row r="126" customFormat="false" ht="15" hidden="false" customHeight="true" outlineLevel="0" collapsed="false">
      <c r="A126" s="17"/>
      <c r="B126" s="17"/>
      <c r="C126" s="17"/>
      <c r="D126" s="17"/>
      <c r="E126" s="18"/>
      <c r="F126" s="18"/>
      <c r="G126" s="18"/>
      <c r="H126" s="17"/>
      <c r="I126" s="17"/>
      <c r="J126" s="17"/>
      <c r="K126" s="18"/>
      <c r="L126" s="19"/>
      <c r="M126" s="18"/>
    </row>
    <row r="127" customFormat="false" ht="15" hidden="false" customHeight="true" outlineLevel="0" collapsed="false">
      <c r="A127" s="17"/>
      <c r="B127" s="17"/>
      <c r="C127" s="17"/>
      <c r="D127" s="17"/>
      <c r="E127" s="18"/>
      <c r="F127" s="18"/>
      <c r="G127" s="18"/>
      <c r="H127" s="17"/>
      <c r="I127" s="17"/>
      <c r="J127" s="17"/>
      <c r="K127" s="18"/>
      <c r="L127" s="19"/>
      <c r="M127" s="18"/>
    </row>
    <row r="128" customFormat="false" ht="15" hidden="false" customHeight="true" outlineLevel="0" collapsed="false">
      <c r="A128" s="17"/>
      <c r="B128" s="17"/>
      <c r="C128" s="17"/>
      <c r="D128" s="17"/>
      <c r="E128" s="18"/>
      <c r="F128" s="18"/>
      <c r="G128" s="18"/>
      <c r="H128" s="17"/>
      <c r="I128" s="17"/>
      <c r="J128" s="17"/>
      <c r="K128" s="18"/>
      <c r="L128" s="19"/>
      <c r="M128" s="18"/>
    </row>
    <row r="129" customFormat="false" ht="15" hidden="false" customHeight="true" outlineLevel="0" collapsed="false">
      <c r="A129" s="17"/>
      <c r="B129" s="17"/>
      <c r="C129" s="17"/>
      <c r="D129" s="17"/>
      <c r="E129" s="18"/>
      <c r="F129" s="18"/>
      <c r="G129" s="18"/>
      <c r="H129" s="17"/>
      <c r="I129" s="17"/>
      <c r="J129" s="17"/>
      <c r="K129" s="18"/>
      <c r="L129" s="19"/>
      <c r="M129" s="18"/>
    </row>
    <row r="130" customFormat="false" ht="15" hidden="false" customHeight="true" outlineLevel="0" collapsed="false">
      <c r="A130" s="17"/>
      <c r="B130" s="17"/>
      <c r="C130" s="17"/>
      <c r="D130" s="17"/>
      <c r="E130" s="18"/>
      <c r="F130" s="18"/>
      <c r="G130" s="18"/>
      <c r="H130" s="17"/>
      <c r="I130" s="17"/>
      <c r="J130" s="17"/>
      <c r="K130" s="18"/>
      <c r="L130" s="19"/>
      <c r="M130" s="18"/>
    </row>
    <row r="131" customFormat="false" ht="15" hidden="false" customHeight="true" outlineLevel="0" collapsed="false">
      <c r="A131" s="17"/>
      <c r="B131" s="17"/>
      <c r="C131" s="17"/>
      <c r="D131" s="17"/>
      <c r="E131" s="18"/>
      <c r="F131" s="18"/>
      <c r="G131" s="18"/>
      <c r="H131" s="17"/>
      <c r="I131" s="17"/>
      <c r="J131" s="17"/>
      <c r="K131" s="18"/>
      <c r="L131" s="19"/>
      <c r="M131" s="18"/>
    </row>
    <row r="132" customFormat="false" ht="15" hidden="false" customHeight="true" outlineLevel="0" collapsed="false">
      <c r="A132" s="17"/>
      <c r="B132" s="17"/>
      <c r="C132" s="17"/>
      <c r="D132" s="17"/>
      <c r="E132" s="18"/>
      <c r="F132" s="18"/>
      <c r="G132" s="18"/>
      <c r="H132" s="17"/>
      <c r="I132" s="17"/>
      <c r="J132" s="17"/>
      <c r="K132" s="18"/>
      <c r="L132" s="19"/>
      <c r="M132" s="18"/>
    </row>
    <row r="133" customFormat="false" ht="15" hidden="false" customHeight="true" outlineLevel="0" collapsed="false">
      <c r="A133" s="17"/>
      <c r="B133" s="17"/>
      <c r="C133" s="17"/>
      <c r="D133" s="17"/>
      <c r="E133" s="18"/>
      <c r="F133" s="18"/>
      <c r="G133" s="18"/>
      <c r="H133" s="17"/>
      <c r="I133" s="17"/>
      <c r="J133" s="17"/>
      <c r="K133" s="18"/>
      <c r="L133" s="19"/>
      <c r="M133" s="18"/>
    </row>
    <row r="134" customFormat="false" ht="15" hidden="false" customHeight="true" outlineLevel="0" collapsed="false">
      <c r="A134" s="17"/>
      <c r="B134" s="17"/>
      <c r="C134" s="17"/>
      <c r="D134" s="17"/>
      <c r="E134" s="18"/>
      <c r="F134" s="18"/>
      <c r="G134" s="18"/>
      <c r="H134" s="17"/>
      <c r="I134" s="17"/>
      <c r="J134" s="17"/>
      <c r="K134" s="18"/>
      <c r="L134" s="19"/>
      <c r="M134" s="18"/>
    </row>
    <row r="135" customFormat="false" ht="15" hidden="false" customHeight="true" outlineLevel="0" collapsed="false">
      <c r="A135" s="17"/>
      <c r="B135" s="17"/>
      <c r="C135" s="17"/>
      <c r="D135" s="17"/>
      <c r="E135" s="18"/>
      <c r="F135" s="18"/>
      <c r="G135" s="18"/>
      <c r="H135" s="17"/>
      <c r="I135" s="17"/>
      <c r="J135" s="17"/>
      <c r="K135" s="18"/>
      <c r="L135" s="19"/>
      <c r="M135" s="18"/>
    </row>
    <row r="136" customFormat="false" ht="15" hidden="false" customHeight="true" outlineLevel="0" collapsed="false">
      <c r="A136" s="17"/>
      <c r="B136" s="17"/>
      <c r="C136" s="17"/>
      <c r="D136" s="17"/>
      <c r="E136" s="18"/>
      <c r="F136" s="18"/>
      <c r="G136" s="18"/>
      <c r="H136" s="17"/>
      <c r="I136" s="17"/>
      <c r="J136" s="17"/>
      <c r="K136" s="18"/>
      <c r="L136" s="19"/>
      <c r="M136" s="18"/>
    </row>
    <row r="137" customFormat="false" ht="15" hidden="false" customHeight="true" outlineLevel="0" collapsed="false">
      <c r="A137" s="17"/>
      <c r="B137" s="17"/>
      <c r="C137" s="17"/>
      <c r="D137" s="17"/>
      <c r="E137" s="18"/>
      <c r="F137" s="18"/>
      <c r="G137" s="18"/>
      <c r="H137" s="17"/>
      <c r="I137" s="17"/>
      <c r="J137" s="17"/>
      <c r="K137" s="18"/>
      <c r="L137" s="19"/>
      <c r="M137" s="18"/>
    </row>
    <row r="138" customFormat="false" ht="15" hidden="false" customHeight="true" outlineLevel="0" collapsed="false">
      <c r="A138" s="17"/>
      <c r="B138" s="17"/>
      <c r="C138" s="17"/>
      <c r="D138" s="17"/>
      <c r="E138" s="18"/>
      <c r="F138" s="18"/>
      <c r="G138" s="18"/>
      <c r="H138" s="17"/>
      <c r="I138" s="17"/>
      <c r="J138" s="17"/>
      <c r="K138" s="18"/>
      <c r="L138" s="19"/>
      <c r="M138" s="18"/>
    </row>
    <row r="139" customFormat="false" ht="15" hidden="false" customHeight="true" outlineLevel="0" collapsed="false">
      <c r="A139" s="17"/>
      <c r="B139" s="17"/>
      <c r="C139" s="17"/>
      <c r="D139" s="17"/>
      <c r="E139" s="18"/>
      <c r="F139" s="18"/>
      <c r="G139" s="18"/>
      <c r="H139" s="17"/>
      <c r="I139" s="17"/>
      <c r="J139" s="17"/>
      <c r="K139" s="18"/>
      <c r="L139" s="19"/>
      <c r="M139" s="18"/>
    </row>
    <row r="140" customFormat="false" ht="15" hidden="false" customHeight="true" outlineLevel="0" collapsed="false">
      <c r="A140" s="17"/>
      <c r="B140" s="17"/>
      <c r="C140" s="17"/>
      <c r="D140" s="17"/>
      <c r="E140" s="18"/>
      <c r="F140" s="18"/>
      <c r="G140" s="18"/>
      <c r="H140" s="17"/>
      <c r="I140" s="17"/>
      <c r="J140" s="17"/>
      <c r="K140" s="18"/>
      <c r="L140" s="19"/>
      <c r="M140" s="18"/>
    </row>
    <row r="141" customFormat="false" ht="15" hidden="false" customHeight="true" outlineLevel="0" collapsed="false">
      <c r="A141" s="17"/>
      <c r="B141" s="17"/>
      <c r="C141" s="17"/>
      <c r="D141" s="17"/>
      <c r="E141" s="18"/>
      <c r="F141" s="18"/>
      <c r="G141" s="18"/>
      <c r="H141" s="17"/>
      <c r="I141" s="17"/>
      <c r="J141" s="17"/>
      <c r="K141" s="18"/>
      <c r="L141" s="19"/>
      <c r="M141" s="18"/>
    </row>
    <row r="142" customFormat="false" ht="15" hidden="false" customHeight="true" outlineLevel="0" collapsed="false">
      <c r="A142" s="17"/>
      <c r="B142" s="17"/>
      <c r="C142" s="17"/>
      <c r="D142" s="17"/>
      <c r="E142" s="18"/>
      <c r="F142" s="18"/>
      <c r="G142" s="18"/>
      <c r="H142" s="17"/>
      <c r="I142" s="17"/>
      <c r="J142" s="17"/>
      <c r="K142" s="18"/>
      <c r="L142" s="19"/>
      <c r="M142" s="18"/>
    </row>
    <row r="143" customFormat="false" ht="15" hidden="false" customHeight="true" outlineLevel="0" collapsed="false">
      <c r="A143" s="17"/>
      <c r="B143" s="17"/>
      <c r="C143" s="17"/>
      <c r="D143" s="17"/>
      <c r="E143" s="18"/>
      <c r="F143" s="18"/>
      <c r="G143" s="18"/>
      <c r="H143" s="17"/>
      <c r="I143" s="17"/>
      <c r="J143" s="17"/>
      <c r="K143" s="18"/>
      <c r="L143" s="19"/>
      <c r="M143" s="18"/>
    </row>
    <row r="144" customFormat="false" ht="15" hidden="false" customHeight="true" outlineLevel="0" collapsed="false">
      <c r="A144" s="17"/>
      <c r="B144" s="17"/>
      <c r="C144" s="17"/>
      <c r="D144" s="17"/>
      <c r="E144" s="18"/>
      <c r="F144" s="18"/>
      <c r="G144" s="18"/>
      <c r="H144" s="17"/>
      <c r="I144" s="17"/>
      <c r="J144" s="17"/>
      <c r="K144" s="18"/>
      <c r="L144" s="19"/>
      <c r="M144" s="18"/>
    </row>
    <row r="145" customFormat="false" ht="15" hidden="false" customHeight="true" outlineLevel="0" collapsed="false">
      <c r="A145" s="17"/>
      <c r="B145" s="17"/>
      <c r="C145" s="17"/>
      <c r="D145" s="17"/>
      <c r="E145" s="18"/>
      <c r="F145" s="18"/>
      <c r="G145" s="18"/>
      <c r="H145" s="17"/>
      <c r="I145" s="17"/>
      <c r="J145" s="17"/>
      <c r="K145" s="18"/>
      <c r="L145" s="19"/>
      <c r="M145" s="18"/>
    </row>
    <row r="146" customFormat="false" ht="15" hidden="false" customHeight="true" outlineLevel="0" collapsed="false">
      <c r="A146" s="17"/>
      <c r="B146" s="17"/>
      <c r="C146" s="17"/>
      <c r="D146" s="17"/>
      <c r="E146" s="18"/>
      <c r="F146" s="18"/>
      <c r="G146" s="18"/>
      <c r="H146" s="17"/>
      <c r="I146" s="17"/>
      <c r="J146" s="17"/>
      <c r="K146" s="18"/>
      <c r="L146" s="19"/>
      <c r="M146" s="18"/>
    </row>
    <row r="147" customFormat="false" ht="15" hidden="false" customHeight="true" outlineLevel="0" collapsed="false">
      <c r="A147" s="17"/>
      <c r="B147" s="17"/>
      <c r="C147" s="17"/>
      <c r="D147" s="17"/>
      <c r="E147" s="18"/>
      <c r="F147" s="18"/>
      <c r="G147" s="18"/>
      <c r="H147" s="17"/>
      <c r="I147" s="17"/>
      <c r="J147" s="17"/>
      <c r="K147" s="18"/>
      <c r="L147" s="19"/>
      <c r="M147" s="18"/>
    </row>
    <row r="148" customFormat="false" ht="15" hidden="false" customHeight="true" outlineLevel="0" collapsed="false">
      <c r="A148" s="17"/>
      <c r="B148" s="17"/>
      <c r="C148" s="17"/>
      <c r="D148" s="17"/>
      <c r="E148" s="18"/>
      <c r="F148" s="18"/>
      <c r="G148" s="18"/>
      <c r="H148" s="17"/>
      <c r="I148" s="17"/>
      <c r="J148" s="17"/>
      <c r="K148" s="18"/>
      <c r="L148" s="19"/>
      <c r="M148" s="18"/>
    </row>
    <row r="149" customFormat="false" ht="15" hidden="false" customHeight="true" outlineLevel="0" collapsed="false">
      <c r="A149" s="17"/>
      <c r="B149" s="17"/>
      <c r="C149" s="17"/>
      <c r="D149" s="17"/>
      <c r="E149" s="18"/>
      <c r="F149" s="18"/>
      <c r="G149" s="18"/>
      <c r="H149" s="17"/>
      <c r="I149" s="17"/>
      <c r="J149" s="17"/>
      <c r="K149" s="18"/>
      <c r="L149" s="19"/>
      <c r="M149" s="18"/>
    </row>
    <row r="150" customFormat="false" ht="15" hidden="false" customHeight="true" outlineLevel="0" collapsed="false">
      <c r="A150" s="17"/>
      <c r="B150" s="17"/>
      <c r="C150" s="17"/>
      <c r="D150" s="17"/>
      <c r="E150" s="18"/>
      <c r="F150" s="18"/>
      <c r="G150" s="18"/>
      <c r="H150" s="17"/>
      <c r="I150" s="17"/>
      <c r="J150" s="17"/>
      <c r="K150" s="18"/>
      <c r="L150" s="19"/>
      <c r="M150" s="18"/>
    </row>
    <row r="151" customFormat="false" ht="15" hidden="false" customHeight="true" outlineLevel="0" collapsed="false">
      <c r="A151" s="17"/>
      <c r="B151" s="17"/>
      <c r="C151" s="17"/>
      <c r="D151" s="17"/>
      <c r="E151" s="18"/>
      <c r="F151" s="18"/>
      <c r="G151" s="18"/>
      <c r="H151" s="17"/>
      <c r="I151" s="17"/>
      <c r="J151" s="17"/>
      <c r="K151" s="18"/>
      <c r="L151" s="19"/>
      <c r="M151" s="18"/>
    </row>
    <row r="152" customFormat="false" ht="15" hidden="false" customHeight="true" outlineLevel="0" collapsed="false">
      <c r="A152" s="17"/>
      <c r="B152" s="17"/>
      <c r="C152" s="17"/>
      <c r="D152" s="17"/>
      <c r="E152" s="18"/>
      <c r="F152" s="18"/>
      <c r="G152" s="18"/>
      <c r="H152" s="17"/>
      <c r="I152" s="17"/>
      <c r="J152" s="17"/>
      <c r="K152" s="18"/>
      <c r="L152" s="19"/>
      <c r="M152" s="18"/>
    </row>
    <row r="153" customFormat="false" ht="15" hidden="false" customHeight="true" outlineLevel="0" collapsed="false">
      <c r="A153" s="17"/>
      <c r="B153" s="17"/>
      <c r="C153" s="17"/>
      <c r="D153" s="17"/>
      <c r="E153" s="18"/>
      <c r="F153" s="18"/>
      <c r="G153" s="18"/>
      <c r="H153" s="17"/>
      <c r="I153" s="17"/>
      <c r="J153" s="17"/>
      <c r="K153" s="18"/>
      <c r="L153" s="19"/>
      <c r="M153" s="18"/>
    </row>
    <row r="154" customFormat="false" ht="15" hidden="false" customHeight="true" outlineLevel="0" collapsed="false">
      <c r="A154" s="17"/>
      <c r="B154" s="17"/>
      <c r="C154" s="17"/>
      <c r="D154" s="17"/>
      <c r="E154" s="18"/>
      <c r="F154" s="18"/>
      <c r="G154" s="18"/>
      <c r="H154" s="17"/>
      <c r="I154" s="17"/>
      <c r="J154" s="17"/>
      <c r="K154" s="18"/>
      <c r="L154" s="19"/>
      <c r="M154" s="18"/>
    </row>
    <row r="155" customFormat="false" ht="15" hidden="false" customHeight="true" outlineLevel="0" collapsed="false">
      <c r="A155" s="17"/>
      <c r="B155" s="17"/>
      <c r="C155" s="17"/>
      <c r="D155" s="17"/>
      <c r="E155" s="18"/>
      <c r="F155" s="18"/>
      <c r="G155" s="18"/>
      <c r="H155" s="17"/>
      <c r="I155" s="17"/>
      <c r="J155" s="17"/>
      <c r="K155" s="18"/>
      <c r="L155" s="19"/>
      <c r="M155" s="18"/>
    </row>
    <row r="156" customFormat="false" ht="15" hidden="false" customHeight="true" outlineLevel="0" collapsed="false">
      <c r="A156" s="17"/>
      <c r="B156" s="17"/>
      <c r="C156" s="17"/>
      <c r="D156" s="17"/>
      <c r="E156" s="18"/>
      <c r="F156" s="18"/>
      <c r="G156" s="18"/>
      <c r="H156" s="17"/>
      <c r="I156" s="17"/>
      <c r="J156" s="17"/>
      <c r="K156" s="18"/>
      <c r="L156" s="19"/>
      <c r="M156" s="18"/>
    </row>
    <row r="157" customFormat="false" ht="15" hidden="false" customHeight="true" outlineLevel="0" collapsed="false">
      <c r="A157" s="17"/>
      <c r="B157" s="17"/>
      <c r="C157" s="17"/>
      <c r="D157" s="17"/>
      <c r="E157" s="18"/>
      <c r="F157" s="18"/>
      <c r="G157" s="18"/>
      <c r="H157" s="17"/>
      <c r="I157" s="17"/>
      <c r="J157" s="17"/>
      <c r="K157" s="18"/>
      <c r="L157" s="19"/>
      <c r="M157" s="18"/>
    </row>
    <row r="158" customFormat="false" ht="15" hidden="false" customHeight="true" outlineLevel="0" collapsed="false">
      <c r="A158" s="17"/>
      <c r="B158" s="17"/>
      <c r="C158" s="17"/>
      <c r="D158" s="17"/>
      <c r="E158" s="18"/>
      <c r="F158" s="18"/>
      <c r="G158" s="18"/>
      <c r="H158" s="17"/>
      <c r="I158" s="17"/>
      <c r="J158" s="17"/>
      <c r="K158" s="18"/>
      <c r="L158" s="19"/>
      <c r="M158" s="18"/>
    </row>
    <row r="159" customFormat="false" ht="15" hidden="false" customHeight="true" outlineLevel="0" collapsed="false">
      <c r="A159" s="17"/>
      <c r="B159" s="17"/>
      <c r="C159" s="17"/>
      <c r="D159" s="17"/>
      <c r="E159" s="18"/>
      <c r="F159" s="18"/>
      <c r="G159" s="18"/>
      <c r="H159" s="17"/>
      <c r="I159" s="17"/>
      <c r="J159" s="17"/>
      <c r="K159" s="18"/>
      <c r="L159" s="19"/>
      <c r="M159" s="18"/>
    </row>
    <row r="160" customFormat="false" ht="15" hidden="false" customHeight="true" outlineLevel="0" collapsed="false">
      <c r="A160" s="17"/>
      <c r="B160" s="17"/>
      <c r="C160" s="17"/>
      <c r="D160" s="17"/>
      <c r="E160" s="18"/>
      <c r="F160" s="18"/>
      <c r="G160" s="18"/>
      <c r="H160" s="17"/>
      <c r="I160" s="17"/>
      <c r="J160" s="17"/>
      <c r="K160" s="18"/>
      <c r="L160" s="19"/>
      <c r="M160" s="18"/>
    </row>
    <row r="161" customFormat="false" ht="15" hidden="false" customHeight="true" outlineLevel="0" collapsed="false">
      <c r="A161" s="17"/>
      <c r="B161" s="17"/>
      <c r="C161" s="17"/>
      <c r="D161" s="17"/>
      <c r="E161" s="18"/>
      <c r="F161" s="18"/>
      <c r="G161" s="18"/>
      <c r="H161" s="17"/>
      <c r="I161" s="17"/>
      <c r="J161" s="17"/>
      <c r="K161" s="18"/>
      <c r="L161" s="19"/>
      <c r="M161" s="18"/>
    </row>
    <row r="162" customFormat="false" ht="15" hidden="false" customHeight="true" outlineLevel="0" collapsed="false">
      <c r="A162" s="17"/>
      <c r="B162" s="17"/>
      <c r="C162" s="17"/>
      <c r="D162" s="17"/>
      <c r="E162" s="18"/>
      <c r="F162" s="18"/>
      <c r="G162" s="18"/>
      <c r="H162" s="17"/>
      <c r="I162" s="17"/>
      <c r="J162" s="17"/>
      <c r="K162" s="18"/>
      <c r="L162" s="19"/>
      <c r="M162" s="18"/>
    </row>
    <row r="163" customFormat="false" ht="15" hidden="false" customHeight="true" outlineLevel="0" collapsed="false">
      <c r="A163" s="17"/>
      <c r="B163" s="17"/>
      <c r="C163" s="17"/>
      <c r="D163" s="17"/>
      <c r="E163" s="18"/>
      <c r="F163" s="18"/>
      <c r="G163" s="18"/>
      <c r="H163" s="17"/>
      <c r="I163" s="17"/>
      <c r="J163" s="17"/>
      <c r="K163" s="18"/>
      <c r="L163" s="19"/>
      <c r="M163" s="18"/>
    </row>
    <row r="164" customFormat="false" ht="15" hidden="false" customHeight="true" outlineLevel="0" collapsed="false">
      <c r="A164" s="17"/>
      <c r="B164" s="17"/>
      <c r="C164" s="17"/>
      <c r="D164" s="17"/>
      <c r="E164" s="18"/>
      <c r="F164" s="18"/>
      <c r="G164" s="18"/>
      <c r="H164" s="17"/>
      <c r="I164" s="17"/>
      <c r="J164" s="17"/>
      <c r="K164" s="18"/>
      <c r="L164" s="19"/>
      <c r="M164" s="18"/>
    </row>
    <row r="165" customFormat="false" ht="15" hidden="false" customHeight="true" outlineLevel="0" collapsed="false">
      <c r="A165" s="17"/>
      <c r="B165" s="17"/>
      <c r="C165" s="17"/>
      <c r="D165" s="17"/>
      <c r="E165" s="18"/>
      <c r="F165" s="18"/>
      <c r="G165" s="18"/>
      <c r="H165" s="17"/>
      <c r="I165" s="17"/>
      <c r="J165" s="17"/>
      <c r="K165" s="18"/>
      <c r="L165" s="19"/>
      <c r="M165" s="18"/>
    </row>
    <row r="166" customFormat="false" ht="15" hidden="false" customHeight="true" outlineLevel="0" collapsed="false">
      <c r="A166" s="17"/>
      <c r="B166" s="17"/>
      <c r="C166" s="17"/>
      <c r="D166" s="17"/>
      <c r="E166" s="18"/>
      <c r="F166" s="18"/>
      <c r="G166" s="18"/>
      <c r="H166" s="17"/>
      <c r="I166" s="17"/>
      <c r="J166" s="17"/>
      <c r="K166" s="18"/>
      <c r="L166" s="19"/>
      <c r="M166" s="18"/>
    </row>
    <row r="167" customFormat="false" ht="15" hidden="false" customHeight="true" outlineLevel="0" collapsed="false">
      <c r="A167" s="17"/>
      <c r="B167" s="17"/>
      <c r="C167" s="17"/>
      <c r="D167" s="17"/>
      <c r="E167" s="18"/>
      <c r="F167" s="18"/>
      <c r="G167" s="18"/>
      <c r="H167" s="17"/>
      <c r="I167" s="17"/>
      <c r="J167" s="17"/>
      <c r="K167" s="18"/>
      <c r="L167" s="19"/>
      <c r="M167" s="18"/>
    </row>
    <row r="168" customFormat="false" ht="15" hidden="false" customHeight="true" outlineLevel="0" collapsed="false">
      <c r="A168" s="17"/>
      <c r="B168" s="17"/>
      <c r="C168" s="17"/>
      <c r="D168" s="17"/>
      <c r="E168" s="18"/>
      <c r="F168" s="18"/>
      <c r="G168" s="18"/>
      <c r="H168" s="17"/>
      <c r="I168" s="17"/>
      <c r="J168" s="17"/>
      <c r="K168" s="18"/>
      <c r="L168" s="19"/>
      <c r="M168" s="18"/>
    </row>
    <row r="169" customFormat="false" ht="15" hidden="false" customHeight="true" outlineLevel="0" collapsed="false">
      <c r="A169" s="17"/>
      <c r="B169" s="17"/>
      <c r="C169" s="17"/>
      <c r="D169" s="17"/>
      <c r="E169" s="18"/>
      <c r="F169" s="18"/>
      <c r="G169" s="18"/>
      <c r="H169" s="17"/>
      <c r="I169" s="17"/>
      <c r="J169" s="17"/>
      <c r="K169" s="18"/>
      <c r="L169" s="19"/>
      <c r="M169" s="18"/>
    </row>
    <row r="170" customFormat="false" ht="15" hidden="false" customHeight="true" outlineLevel="0" collapsed="false">
      <c r="A170" s="17"/>
      <c r="B170" s="17"/>
      <c r="C170" s="17"/>
      <c r="D170" s="17"/>
      <c r="E170" s="18"/>
      <c r="F170" s="18"/>
      <c r="G170" s="18"/>
      <c r="H170" s="17"/>
      <c r="I170" s="17"/>
      <c r="J170" s="17"/>
      <c r="K170" s="18"/>
      <c r="L170" s="19"/>
      <c r="M170" s="18"/>
    </row>
    <row r="171" customFormat="false" ht="15" hidden="false" customHeight="true" outlineLevel="0" collapsed="false">
      <c r="A171" s="17"/>
      <c r="B171" s="17"/>
      <c r="C171" s="17"/>
      <c r="D171" s="17"/>
      <c r="E171" s="18"/>
      <c r="F171" s="18"/>
      <c r="G171" s="18"/>
      <c r="H171" s="17"/>
      <c r="I171" s="17"/>
      <c r="J171" s="17"/>
      <c r="K171" s="18"/>
      <c r="L171" s="19"/>
      <c r="M171" s="18"/>
    </row>
    <row r="172" customFormat="false" ht="15" hidden="false" customHeight="true" outlineLevel="0" collapsed="false">
      <c r="A172" s="17"/>
      <c r="B172" s="17"/>
      <c r="C172" s="17"/>
      <c r="D172" s="17"/>
      <c r="E172" s="18"/>
      <c r="F172" s="18"/>
      <c r="G172" s="18"/>
      <c r="H172" s="17"/>
      <c r="I172" s="17"/>
      <c r="J172" s="17"/>
      <c r="K172" s="18"/>
      <c r="L172" s="19"/>
      <c r="M172" s="18"/>
    </row>
    <row r="173" customFormat="false" ht="15" hidden="false" customHeight="true" outlineLevel="0" collapsed="false">
      <c r="A173" s="17"/>
      <c r="B173" s="17"/>
      <c r="C173" s="17"/>
      <c r="D173" s="17"/>
      <c r="E173" s="18"/>
      <c r="F173" s="18"/>
      <c r="G173" s="18"/>
      <c r="H173" s="17"/>
      <c r="I173" s="17"/>
      <c r="J173" s="17"/>
      <c r="K173" s="18"/>
      <c r="L173" s="19"/>
      <c r="M173" s="18"/>
    </row>
    <row r="174" customFormat="false" ht="15" hidden="false" customHeight="true" outlineLevel="0" collapsed="false">
      <c r="A174" s="17"/>
      <c r="B174" s="17"/>
      <c r="C174" s="17"/>
      <c r="D174" s="17"/>
      <c r="E174" s="18"/>
      <c r="F174" s="18"/>
      <c r="G174" s="18"/>
      <c r="H174" s="17"/>
      <c r="I174" s="17"/>
      <c r="J174" s="17"/>
      <c r="K174" s="18"/>
      <c r="L174" s="19"/>
      <c r="M174" s="18"/>
    </row>
    <row r="175" customFormat="false" ht="15" hidden="false" customHeight="true" outlineLevel="0" collapsed="false">
      <c r="A175" s="17"/>
      <c r="B175" s="17"/>
      <c r="C175" s="17"/>
      <c r="D175" s="17"/>
      <c r="E175" s="18"/>
      <c r="F175" s="18"/>
      <c r="G175" s="18"/>
      <c r="H175" s="17"/>
      <c r="I175" s="17"/>
      <c r="J175" s="17"/>
      <c r="K175" s="18"/>
      <c r="L175" s="19"/>
      <c r="M175" s="18"/>
    </row>
    <row r="176" customFormat="false" ht="15" hidden="false" customHeight="true" outlineLevel="0" collapsed="false">
      <c r="A176" s="17"/>
      <c r="B176" s="17"/>
      <c r="C176" s="17"/>
      <c r="D176" s="17"/>
      <c r="E176" s="18"/>
      <c r="F176" s="18"/>
      <c r="G176" s="18"/>
      <c r="H176" s="17"/>
      <c r="I176" s="17"/>
      <c r="J176" s="17"/>
      <c r="K176" s="18"/>
      <c r="L176" s="19"/>
      <c r="M176" s="18"/>
    </row>
    <row r="177" customFormat="false" ht="15" hidden="false" customHeight="true" outlineLevel="0" collapsed="false">
      <c r="A177" s="17"/>
      <c r="B177" s="17"/>
      <c r="C177" s="17"/>
      <c r="D177" s="17"/>
      <c r="E177" s="18"/>
      <c r="F177" s="18"/>
      <c r="G177" s="18"/>
      <c r="H177" s="17"/>
      <c r="I177" s="17"/>
      <c r="J177" s="17"/>
      <c r="K177" s="18"/>
      <c r="L177" s="19"/>
      <c r="M177" s="18"/>
    </row>
    <row r="178" customFormat="false" ht="15" hidden="false" customHeight="true" outlineLevel="0" collapsed="false">
      <c r="A178" s="17"/>
      <c r="B178" s="17"/>
      <c r="C178" s="17"/>
      <c r="D178" s="17"/>
      <c r="E178" s="18"/>
      <c r="F178" s="18"/>
      <c r="G178" s="18"/>
      <c r="H178" s="17"/>
      <c r="I178" s="17"/>
      <c r="J178" s="17"/>
      <c r="K178" s="18"/>
      <c r="L178" s="19"/>
      <c r="M178" s="18"/>
    </row>
    <row r="179" customFormat="false" ht="15" hidden="false" customHeight="true" outlineLevel="0" collapsed="false">
      <c r="A179" s="17"/>
      <c r="B179" s="17"/>
      <c r="C179" s="17"/>
      <c r="D179" s="17"/>
      <c r="E179" s="18"/>
      <c r="F179" s="18"/>
      <c r="G179" s="18"/>
      <c r="H179" s="17"/>
      <c r="I179" s="17"/>
      <c r="J179" s="17"/>
      <c r="K179" s="18"/>
      <c r="L179" s="19"/>
      <c r="M179" s="18"/>
    </row>
    <row r="180" customFormat="false" ht="15" hidden="false" customHeight="true" outlineLevel="0" collapsed="false">
      <c r="A180" s="17"/>
      <c r="B180" s="17"/>
      <c r="C180" s="17"/>
      <c r="D180" s="17"/>
      <c r="E180" s="18"/>
      <c r="F180" s="18"/>
      <c r="G180" s="18"/>
      <c r="H180" s="17"/>
      <c r="I180" s="17"/>
      <c r="J180" s="17"/>
      <c r="K180" s="18"/>
      <c r="L180" s="19"/>
      <c r="M180" s="18"/>
    </row>
    <row r="181" customFormat="false" ht="15" hidden="false" customHeight="true" outlineLevel="0" collapsed="false">
      <c r="A181" s="17"/>
      <c r="B181" s="17"/>
      <c r="C181" s="17"/>
      <c r="D181" s="17"/>
      <c r="E181" s="18"/>
      <c r="F181" s="18"/>
      <c r="G181" s="18"/>
      <c r="H181" s="17"/>
      <c r="I181" s="17"/>
      <c r="J181" s="17"/>
      <c r="K181" s="18"/>
      <c r="L181" s="19"/>
      <c r="M181" s="18"/>
    </row>
    <row r="182" customFormat="false" ht="15" hidden="false" customHeight="true" outlineLevel="0" collapsed="false">
      <c r="A182" s="17"/>
      <c r="B182" s="17"/>
      <c r="C182" s="17"/>
      <c r="D182" s="17"/>
      <c r="E182" s="18"/>
      <c r="F182" s="18"/>
      <c r="G182" s="18"/>
      <c r="H182" s="17"/>
      <c r="I182" s="17"/>
      <c r="J182" s="17"/>
      <c r="K182" s="18"/>
      <c r="L182" s="19"/>
      <c r="M182" s="18"/>
    </row>
    <row r="183" customFormat="false" ht="15" hidden="false" customHeight="true" outlineLevel="0" collapsed="false">
      <c r="A183" s="17"/>
      <c r="B183" s="17"/>
      <c r="C183" s="17"/>
      <c r="D183" s="17"/>
      <c r="E183" s="18"/>
      <c r="F183" s="18"/>
      <c r="G183" s="18"/>
      <c r="H183" s="17"/>
      <c r="I183" s="17"/>
      <c r="J183" s="17"/>
      <c r="K183" s="18"/>
      <c r="L183" s="19"/>
      <c r="M183" s="18"/>
    </row>
    <row r="184" customFormat="false" ht="15" hidden="false" customHeight="true" outlineLevel="0" collapsed="false">
      <c r="A184" s="17"/>
      <c r="B184" s="17"/>
      <c r="C184" s="17"/>
      <c r="D184" s="17"/>
      <c r="E184" s="18"/>
      <c r="F184" s="18"/>
      <c r="G184" s="18"/>
      <c r="H184" s="17"/>
      <c r="I184" s="17"/>
      <c r="J184" s="17"/>
      <c r="K184" s="18"/>
      <c r="L184" s="19"/>
      <c r="M184" s="18"/>
    </row>
    <row r="185" customFormat="false" ht="15" hidden="false" customHeight="true" outlineLevel="0" collapsed="false">
      <c r="A185" s="17"/>
      <c r="B185" s="17"/>
      <c r="C185" s="17"/>
      <c r="D185" s="17"/>
      <c r="E185" s="18"/>
      <c r="F185" s="18"/>
      <c r="G185" s="18"/>
      <c r="H185" s="17"/>
      <c r="I185" s="17"/>
      <c r="J185" s="17"/>
      <c r="K185" s="18"/>
      <c r="L185" s="19"/>
      <c r="M185" s="18"/>
    </row>
    <row r="186" customFormat="false" ht="15" hidden="false" customHeight="true" outlineLevel="0" collapsed="false">
      <c r="A186" s="17"/>
      <c r="B186" s="17"/>
      <c r="C186" s="17"/>
      <c r="D186" s="17"/>
      <c r="E186" s="18"/>
      <c r="F186" s="18"/>
      <c r="G186" s="18"/>
      <c r="H186" s="17"/>
      <c r="I186" s="17"/>
      <c r="J186" s="17"/>
      <c r="K186" s="18"/>
      <c r="L186" s="19"/>
      <c r="M186" s="18"/>
    </row>
    <row r="187" customFormat="false" ht="15" hidden="false" customHeight="true" outlineLevel="0" collapsed="false">
      <c r="A187" s="17"/>
      <c r="B187" s="17"/>
      <c r="C187" s="17"/>
      <c r="D187" s="17"/>
      <c r="E187" s="18"/>
      <c r="F187" s="18"/>
      <c r="G187" s="18"/>
      <c r="H187" s="17"/>
      <c r="I187" s="17"/>
      <c r="J187" s="17"/>
      <c r="K187" s="18"/>
      <c r="L187" s="19"/>
      <c r="M187" s="18"/>
    </row>
    <row r="188" customFormat="false" ht="15" hidden="false" customHeight="true" outlineLevel="0" collapsed="false">
      <c r="A188" s="17"/>
      <c r="B188" s="17"/>
      <c r="C188" s="17"/>
      <c r="D188" s="17"/>
      <c r="E188" s="18"/>
      <c r="F188" s="18"/>
      <c r="G188" s="18"/>
      <c r="H188" s="17"/>
      <c r="I188" s="17"/>
      <c r="J188" s="17"/>
      <c r="K188" s="18"/>
      <c r="L188" s="19"/>
      <c r="M188" s="18"/>
    </row>
    <row r="189" customFormat="false" ht="15" hidden="false" customHeight="true" outlineLevel="0" collapsed="false">
      <c r="A189" s="17"/>
      <c r="B189" s="17"/>
      <c r="C189" s="17"/>
      <c r="D189" s="17"/>
      <c r="E189" s="18"/>
      <c r="F189" s="18"/>
      <c r="G189" s="18"/>
      <c r="H189" s="17"/>
      <c r="I189" s="17"/>
      <c r="J189" s="17"/>
      <c r="K189" s="18"/>
      <c r="L189" s="19"/>
      <c r="M189" s="18"/>
    </row>
    <row r="190" customFormat="false" ht="15" hidden="false" customHeight="true" outlineLevel="0" collapsed="false">
      <c r="A190" s="17"/>
      <c r="B190" s="17"/>
      <c r="C190" s="17"/>
      <c r="D190" s="17"/>
      <c r="E190" s="18"/>
      <c r="F190" s="18"/>
      <c r="G190" s="18"/>
      <c r="H190" s="17"/>
      <c r="I190" s="17"/>
      <c r="J190" s="17"/>
      <c r="K190" s="18"/>
      <c r="L190" s="19"/>
      <c r="M190" s="18"/>
    </row>
    <row r="191" customFormat="false" ht="15" hidden="false" customHeight="true" outlineLevel="0" collapsed="false">
      <c r="A191" s="17"/>
      <c r="B191" s="17"/>
      <c r="C191" s="17"/>
      <c r="D191" s="17"/>
      <c r="E191" s="18"/>
      <c r="F191" s="18"/>
      <c r="G191" s="18"/>
      <c r="H191" s="17"/>
      <c r="I191" s="17"/>
      <c r="J191" s="17"/>
      <c r="K191" s="18"/>
      <c r="L191" s="19"/>
      <c r="M191" s="18"/>
    </row>
    <row r="192" customFormat="false" ht="15" hidden="false" customHeight="true" outlineLevel="0" collapsed="false">
      <c r="A192" s="17"/>
      <c r="B192" s="17"/>
      <c r="C192" s="17"/>
      <c r="D192" s="17"/>
      <c r="E192" s="18"/>
      <c r="F192" s="18"/>
      <c r="G192" s="18"/>
      <c r="H192" s="17"/>
      <c r="I192" s="17"/>
      <c r="J192" s="17"/>
      <c r="K192" s="18"/>
      <c r="L192" s="19"/>
      <c r="M192" s="18"/>
    </row>
    <row r="193" customFormat="false" ht="15" hidden="false" customHeight="true" outlineLevel="0" collapsed="false">
      <c r="A193" s="17"/>
      <c r="B193" s="17"/>
      <c r="C193" s="17"/>
      <c r="D193" s="17"/>
      <c r="E193" s="18"/>
      <c r="F193" s="18"/>
      <c r="G193" s="18"/>
      <c r="H193" s="17"/>
      <c r="I193" s="17"/>
      <c r="J193" s="17"/>
      <c r="K193" s="18"/>
      <c r="L193" s="19"/>
      <c r="M193" s="18"/>
    </row>
    <row r="194" customFormat="false" ht="15" hidden="false" customHeight="true" outlineLevel="0" collapsed="false">
      <c r="A194" s="17"/>
      <c r="B194" s="17"/>
      <c r="C194" s="17"/>
      <c r="D194" s="17"/>
      <c r="E194" s="18"/>
      <c r="F194" s="18"/>
      <c r="G194" s="18"/>
      <c r="H194" s="17"/>
      <c r="I194" s="17"/>
      <c r="J194" s="17"/>
      <c r="K194" s="18"/>
      <c r="L194" s="19"/>
      <c r="M194" s="18"/>
    </row>
    <row r="195" customFormat="false" ht="15" hidden="false" customHeight="true" outlineLevel="0" collapsed="false">
      <c r="A195" s="17"/>
      <c r="B195" s="17"/>
      <c r="C195" s="17"/>
      <c r="D195" s="17"/>
      <c r="E195" s="18"/>
      <c r="F195" s="18"/>
      <c r="G195" s="18"/>
      <c r="H195" s="17"/>
      <c r="I195" s="17"/>
      <c r="J195" s="17"/>
      <c r="K195" s="18"/>
      <c r="L195" s="19"/>
      <c r="M195" s="18"/>
    </row>
    <row r="196" customFormat="false" ht="15" hidden="false" customHeight="true" outlineLevel="0" collapsed="false">
      <c r="A196" s="17"/>
      <c r="B196" s="17"/>
      <c r="C196" s="17"/>
      <c r="D196" s="17"/>
      <c r="E196" s="18"/>
      <c r="F196" s="18"/>
      <c r="G196" s="18"/>
      <c r="H196" s="17"/>
      <c r="I196" s="17"/>
      <c r="J196" s="17"/>
      <c r="K196" s="18"/>
      <c r="L196" s="19"/>
      <c r="M196" s="18"/>
    </row>
    <row r="197" customFormat="false" ht="15" hidden="false" customHeight="true" outlineLevel="0" collapsed="false">
      <c r="A197" s="17"/>
      <c r="B197" s="17"/>
      <c r="C197" s="17"/>
      <c r="D197" s="17"/>
      <c r="E197" s="18"/>
      <c r="F197" s="18"/>
      <c r="G197" s="18"/>
      <c r="H197" s="17"/>
      <c r="I197" s="17"/>
      <c r="J197" s="17"/>
      <c r="K197" s="18"/>
      <c r="L197" s="19"/>
      <c r="M197" s="18"/>
    </row>
    <row r="198" customFormat="false" ht="15" hidden="false" customHeight="true" outlineLevel="0" collapsed="false">
      <c r="A198" s="17"/>
      <c r="B198" s="17"/>
      <c r="C198" s="17"/>
      <c r="D198" s="17"/>
      <c r="E198" s="18"/>
      <c r="F198" s="18"/>
      <c r="G198" s="18"/>
      <c r="H198" s="17"/>
      <c r="I198" s="17"/>
      <c r="J198" s="17"/>
      <c r="K198" s="18"/>
      <c r="L198" s="19"/>
      <c r="M198" s="18"/>
    </row>
    <row r="199" customFormat="false" ht="15" hidden="false" customHeight="true" outlineLevel="0" collapsed="false">
      <c r="A199" s="17"/>
      <c r="B199" s="17"/>
      <c r="C199" s="17"/>
      <c r="D199" s="17"/>
      <c r="E199" s="18"/>
      <c r="F199" s="18"/>
      <c r="G199" s="18"/>
      <c r="H199" s="17"/>
      <c r="I199" s="17"/>
      <c r="J199" s="17"/>
      <c r="K199" s="18"/>
      <c r="L199" s="19"/>
      <c r="M199" s="18"/>
    </row>
    <row r="200" customFormat="false" ht="15" hidden="false" customHeight="true" outlineLevel="0" collapsed="false">
      <c r="A200" s="17"/>
      <c r="B200" s="17"/>
      <c r="C200" s="17"/>
      <c r="D200" s="17"/>
      <c r="E200" s="18"/>
      <c r="F200" s="18"/>
      <c r="G200" s="18"/>
      <c r="H200" s="17"/>
      <c r="I200" s="17"/>
      <c r="J200" s="17"/>
      <c r="K200" s="18"/>
      <c r="L200" s="19"/>
      <c r="M200" s="18"/>
    </row>
    <row r="201" customFormat="false" ht="15" hidden="false" customHeight="true" outlineLevel="0" collapsed="false">
      <c r="A201" s="17"/>
      <c r="B201" s="17"/>
      <c r="C201" s="17"/>
      <c r="D201" s="17"/>
      <c r="E201" s="18"/>
      <c r="F201" s="18"/>
      <c r="G201" s="18"/>
      <c r="H201" s="17"/>
      <c r="I201" s="17"/>
      <c r="J201" s="17"/>
      <c r="K201" s="18"/>
      <c r="L201" s="19"/>
      <c r="M201" s="18"/>
    </row>
    <row r="202" customFormat="false" ht="15" hidden="false" customHeight="true" outlineLevel="0" collapsed="false">
      <c r="A202" s="17"/>
      <c r="B202" s="17"/>
      <c r="C202" s="17"/>
      <c r="D202" s="17"/>
      <c r="E202" s="18"/>
      <c r="F202" s="18"/>
      <c r="G202" s="18"/>
      <c r="H202" s="17"/>
      <c r="I202" s="17"/>
      <c r="J202" s="17"/>
      <c r="K202" s="18"/>
      <c r="L202" s="19"/>
      <c r="M202" s="18"/>
    </row>
    <row r="203" customFormat="false" ht="15" hidden="false" customHeight="true" outlineLevel="0" collapsed="false">
      <c r="A203" s="17"/>
      <c r="B203" s="17"/>
      <c r="C203" s="17"/>
      <c r="D203" s="17"/>
      <c r="E203" s="18"/>
      <c r="F203" s="18"/>
      <c r="G203" s="18"/>
      <c r="H203" s="17"/>
      <c r="I203" s="17"/>
      <c r="J203" s="17"/>
      <c r="K203" s="18"/>
      <c r="L203" s="19"/>
      <c r="M203" s="18"/>
    </row>
    <row r="204" customFormat="false" ht="15" hidden="false" customHeight="true" outlineLevel="0" collapsed="false">
      <c r="A204" s="17"/>
      <c r="B204" s="17"/>
      <c r="C204" s="17"/>
      <c r="D204" s="17"/>
      <c r="E204" s="18"/>
      <c r="F204" s="18"/>
      <c r="G204" s="18"/>
      <c r="H204" s="17"/>
      <c r="I204" s="17"/>
      <c r="J204" s="17"/>
      <c r="K204" s="18"/>
      <c r="L204" s="19"/>
      <c r="M204" s="18"/>
    </row>
    <row r="205" customFormat="false" ht="15" hidden="false" customHeight="true" outlineLevel="0" collapsed="false">
      <c r="A205" s="17"/>
      <c r="B205" s="17"/>
      <c r="C205" s="17"/>
      <c r="D205" s="17"/>
      <c r="E205" s="18"/>
      <c r="F205" s="18"/>
      <c r="G205" s="18"/>
      <c r="H205" s="17"/>
      <c r="I205" s="17"/>
      <c r="J205" s="17"/>
      <c r="K205" s="18"/>
      <c r="L205" s="19"/>
      <c r="M205" s="18"/>
    </row>
    <row r="206" customFormat="false" ht="15" hidden="false" customHeight="true" outlineLevel="0" collapsed="false">
      <c r="A206" s="17"/>
      <c r="B206" s="17"/>
      <c r="C206" s="17"/>
      <c r="D206" s="17"/>
      <c r="E206" s="18"/>
      <c r="F206" s="18"/>
      <c r="G206" s="18"/>
      <c r="H206" s="17"/>
      <c r="I206" s="17"/>
      <c r="J206" s="17"/>
      <c r="K206" s="18"/>
      <c r="L206" s="19"/>
      <c r="M206" s="18"/>
    </row>
    <row r="207" customFormat="false" ht="15" hidden="false" customHeight="true" outlineLevel="0" collapsed="false">
      <c r="A207" s="17"/>
      <c r="B207" s="17"/>
      <c r="C207" s="17"/>
      <c r="D207" s="17"/>
      <c r="E207" s="18"/>
      <c r="F207" s="18"/>
      <c r="G207" s="18"/>
      <c r="H207" s="17"/>
      <c r="I207" s="17"/>
      <c r="J207" s="17"/>
      <c r="K207" s="18"/>
      <c r="L207" s="19"/>
      <c r="M207" s="18"/>
    </row>
    <row r="208" customFormat="false" ht="15" hidden="false" customHeight="true" outlineLevel="0" collapsed="false">
      <c r="A208" s="17"/>
      <c r="B208" s="17"/>
      <c r="C208" s="17"/>
      <c r="D208" s="17"/>
      <c r="E208" s="18"/>
      <c r="F208" s="18"/>
      <c r="G208" s="18"/>
      <c r="H208" s="17"/>
      <c r="I208" s="17"/>
      <c r="J208" s="17"/>
      <c r="K208" s="18"/>
      <c r="L208" s="19"/>
      <c r="M208" s="18"/>
    </row>
    <row r="209" customFormat="false" ht="15" hidden="false" customHeight="true" outlineLevel="0" collapsed="false">
      <c r="A209" s="17"/>
      <c r="B209" s="17"/>
      <c r="C209" s="17"/>
      <c r="D209" s="17"/>
      <c r="E209" s="18"/>
      <c r="F209" s="18"/>
      <c r="G209" s="18"/>
      <c r="H209" s="17"/>
      <c r="I209" s="17"/>
      <c r="J209" s="17"/>
      <c r="K209" s="18"/>
      <c r="L209" s="19"/>
      <c r="M209" s="18"/>
    </row>
    <row r="210" customFormat="false" ht="15" hidden="false" customHeight="true" outlineLevel="0" collapsed="false">
      <c r="A210" s="17"/>
      <c r="B210" s="17"/>
      <c r="C210" s="17"/>
      <c r="D210" s="17"/>
      <c r="E210" s="18"/>
      <c r="F210" s="18"/>
      <c r="G210" s="18"/>
      <c r="H210" s="17"/>
      <c r="I210" s="17"/>
      <c r="J210" s="17"/>
      <c r="K210" s="18"/>
      <c r="L210" s="19"/>
      <c r="M210" s="18"/>
    </row>
    <row r="211" customFormat="false" ht="15" hidden="false" customHeight="true" outlineLevel="0" collapsed="false">
      <c r="A211" s="17"/>
      <c r="B211" s="17"/>
      <c r="C211" s="17"/>
      <c r="D211" s="17"/>
      <c r="E211" s="18"/>
      <c r="F211" s="18"/>
      <c r="G211" s="18"/>
      <c r="H211" s="17"/>
      <c r="I211" s="17"/>
      <c r="J211" s="17"/>
      <c r="K211" s="18"/>
      <c r="L211" s="19"/>
      <c r="M211" s="18"/>
    </row>
    <row r="212" customFormat="false" ht="15" hidden="false" customHeight="true" outlineLevel="0" collapsed="false">
      <c r="A212" s="17"/>
      <c r="B212" s="17"/>
      <c r="C212" s="17"/>
      <c r="D212" s="17"/>
      <c r="E212" s="18"/>
      <c r="F212" s="18"/>
      <c r="G212" s="18"/>
      <c r="H212" s="17"/>
      <c r="I212" s="17"/>
      <c r="J212" s="17"/>
      <c r="K212" s="18"/>
      <c r="L212" s="19"/>
      <c r="M212" s="18"/>
    </row>
    <row r="213" customFormat="false" ht="15" hidden="false" customHeight="true" outlineLevel="0" collapsed="false">
      <c r="A213" s="17"/>
      <c r="B213" s="17"/>
      <c r="C213" s="17"/>
      <c r="D213" s="17"/>
      <c r="E213" s="18"/>
      <c r="F213" s="18"/>
      <c r="G213" s="18"/>
      <c r="H213" s="17"/>
      <c r="I213" s="17"/>
      <c r="J213" s="17"/>
      <c r="K213" s="18"/>
      <c r="L213" s="19"/>
      <c r="M213" s="18"/>
    </row>
    <row r="214" customFormat="false" ht="15" hidden="false" customHeight="true" outlineLevel="0" collapsed="false">
      <c r="A214" s="17"/>
      <c r="B214" s="17"/>
      <c r="C214" s="17"/>
      <c r="D214" s="17"/>
      <c r="E214" s="18"/>
      <c r="F214" s="18"/>
      <c r="G214" s="18"/>
      <c r="H214" s="17"/>
      <c r="I214" s="17"/>
      <c r="J214" s="17"/>
      <c r="K214" s="18"/>
      <c r="L214" s="19"/>
      <c r="M214" s="18"/>
    </row>
    <row r="215" customFormat="false" ht="15" hidden="false" customHeight="true" outlineLevel="0" collapsed="false">
      <c r="A215" s="17"/>
      <c r="B215" s="17"/>
      <c r="C215" s="17"/>
      <c r="D215" s="17"/>
      <c r="E215" s="18"/>
      <c r="F215" s="18"/>
      <c r="G215" s="18"/>
      <c r="H215" s="17"/>
      <c r="I215" s="17"/>
      <c r="J215" s="17"/>
      <c r="K215" s="18"/>
      <c r="L215" s="19"/>
      <c r="M215" s="18"/>
    </row>
    <row r="216" customFormat="false" ht="15" hidden="false" customHeight="true" outlineLevel="0" collapsed="false">
      <c r="A216" s="17"/>
      <c r="B216" s="17"/>
      <c r="C216" s="17"/>
      <c r="D216" s="17"/>
      <c r="E216" s="18"/>
      <c r="F216" s="18"/>
      <c r="G216" s="18"/>
      <c r="H216" s="17"/>
      <c r="I216" s="17"/>
      <c r="J216" s="17"/>
      <c r="K216" s="18"/>
      <c r="L216" s="19"/>
      <c r="M216" s="18"/>
    </row>
    <row r="217" customFormat="false" ht="15" hidden="false" customHeight="true" outlineLevel="0" collapsed="false">
      <c r="A217" s="17"/>
      <c r="B217" s="17"/>
      <c r="C217" s="17"/>
      <c r="D217" s="17"/>
      <c r="E217" s="18"/>
      <c r="F217" s="18"/>
      <c r="G217" s="18"/>
      <c r="H217" s="17"/>
      <c r="I217" s="17"/>
      <c r="J217" s="17"/>
      <c r="K217" s="18"/>
      <c r="L217" s="19"/>
      <c r="M217" s="18"/>
    </row>
    <row r="218" customFormat="false" ht="15" hidden="false" customHeight="true" outlineLevel="0" collapsed="false">
      <c r="A218" s="17"/>
      <c r="B218" s="17"/>
      <c r="C218" s="17"/>
      <c r="D218" s="17"/>
      <c r="E218" s="18"/>
      <c r="F218" s="18"/>
      <c r="G218" s="18"/>
      <c r="H218" s="17"/>
      <c r="I218" s="17"/>
      <c r="J218" s="17"/>
      <c r="K218" s="18"/>
      <c r="L218" s="19"/>
      <c r="M218" s="18"/>
    </row>
    <row r="219" customFormat="false" ht="15" hidden="false" customHeight="true" outlineLevel="0" collapsed="false">
      <c r="A219" s="17"/>
      <c r="B219" s="17"/>
      <c r="C219" s="17"/>
      <c r="D219" s="17"/>
      <c r="E219" s="18"/>
      <c r="F219" s="18"/>
      <c r="G219" s="18"/>
      <c r="H219" s="17"/>
      <c r="I219" s="17"/>
      <c r="J219" s="17"/>
      <c r="K219" s="18"/>
      <c r="L219" s="19"/>
      <c r="M219" s="18"/>
    </row>
    <row r="220" customFormat="false" ht="15" hidden="false" customHeight="true" outlineLevel="0" collapsed="false">
      <c r="A220" s="17"/>
      <c r="B220" s="17"/>
      <c r="C220" s="17"/>
      <c r="D220" s="17"/>
      <c r="E220" s="18"/>
      <c r="F220" s="18"/>
      <c r="G220" s="18"/>
      <c r="H220" s="17"/>
      <c r="I220" s="17"/>
      <c r="J220" s="17"/>
      <c r="K220" s="18"/>
      <c r="L220" s="19"/>
      <c r="M220" s="18"/>
    </row>
    <row r="221" customFormat="false" ht="15" hidden="false" customHeight="true" outlineLevel="0" collapsed="false">
      <c r="A221" s="17"/>
      <c r="B221" s="17"/>
      <c r="C221" s="17"/>
      <c r="D221" s="17"/>
      <c r="E221" s="18"/>
      <c r="F221" s="18"/>
      <c r="G221" s="18"/>
      <c r="H221" s="17"/>
      <c r="I221" s="17"/>
      <c r="J221" s="17"/>
      <c r="K221" s="18"/>
      <c r="L221" s="19"/>
      <c r="M221" s="18"/>
    </row>
    <row r="222" customFormat="false" ht="15" hidden="false" customHeight="true" outlineLevel="0" collapsed="false">
      <c r="A222" s="17"/>
      <c r="B222" s="17"/>
      <c r="C222" s="17"/>
      <c r="D222" s="17"/>
      <c r="E222" s="18"/>
      <c r="F222" s="18"/>
      <c r="G222" s="18"/>
      <c r="H222" s="17"/>
      <c r="I222" s="17"/>
      <c r="J222" s="17"/>
      <c r="K222" s="18"/>
      <c r="L222" s="19"/>
      <c r="M222" s="18"/>
    </row>
    <row r="223" customFormat="false" ht="15" hidden="false" customHeight="true" outlineLevel="0" collapsed="false">
      <c r="A223" s="17"/>
      <c r="B223" s="17"/>
      <c r="C223" s="17"/>
      <c r="D223" s="17"/>
      <c r="E223" s="18"/>
      <c r="F223" s="18"/>
      <c r="G223" s="18"/>
      <c r="H223" s="17"/>
      <c r="I223" s="17"/>
      <c r="J223" s="17"/>
      <c r="K223" s="18"/>
      <c r="L223" s="19"/>
      <c r="M223" s="18"/>
    </row>
    <row r="224" customFormat="false" ht="15" hidden="false" customHeight="true" outlineLevel="0" collapsed="false">
      <c r="A224" s="17"/>
      <c r="B224" s="17"/>
      <c r="C224" s="17"/>
      <c r="D224" s="17"/>
      <c r="E224" s="18"/>
      <c r="F224" s="18"/>
      <c r="G224" s="18"/>
      <c r="H224" s="17"/>
      <c r="I224" s="17"/>
      <c r="J224" s="17"/>
      <c r="K224" s="18"/>
      <c r="L224" s="19"/>
      <c r="M224" s="18"/>
    </row>
    <row r="225" customFormat="false" ht="15" hidden="false" customHeight="true" outlineLevel="0" collapsed="false">
      <c r="A225" s="17"/>
      <c r="B225" s="17"/>
      <c r="C225" s="17"/>
      <c r="D225" s="17"/>
      <c r="E225" s="18"/>
      <c r="F225" s="18"/>
      <c r="G225" s="18"/>
      <c r="H225" s="17"/>
      <c r="I225" s="17"/>
      <c r="J225" s="17"/>
      <c r="K225" s="18"/>
      <c r="L225" s="19"/>
      <c r="M225" s="18"/>
    </row>
    <row r="226" customFormat="false" ht="15" hidden="false" customHeight="true" outlineLevel="0" collapsed="false">
      <c r="A226" s="17"/>
      <c r="B226" s="17"/>
      <c r="C226" s="17"/>
      <c r="D226" s="17"/>
      <c r="E226" s="18"/>
      <c r="F226" s="18"/>
      <c r="G226" s="18"/>
      <c r="H226" s="17"/>
      <c r="I226" s="17"/>
      <c r="J226" s="17"/>
      <c r="K226" s="18"/>
      <c r="L226" s="19"/>
      <c r="M226" s="18"/>
    </row>
    <row r="227" customFormat="false" ht="15" hidden="false" customHeight="true" outlineLevel="0" collapsed="false">
      <c r="A227" s="17"/>
      <c r="B227" s="17"/>
      <c r="C227" s="17"/>
      <c r="D227" s="17"/>
      <c r="E227" s="18"/>
      <c r="F227" s="18"/>
      <c r="G227" s="18"/>
      <c r="H227" s="17"/>
      <c r="I227" s="17"/>
      <c r="J227" s="17"/>
      <c r="K227" s="18"/>
      <c r="L227" s="19"/>
      <c r="M227" s="18"/>
    </row>
    <row r="228" customFormat="false" ht="15" hidden="false" customHeight="true" outlineLevel="0" collapsed="false">
      <c r="A228" s="17"/>
      <c r="B228" s="17"/>
      <c r="C228" s="17"/>
      <c r="D228" s="17"/>
      <c r="E228" s="18"/>
      <c r="F228" s="18"/>
      <c r="G228" s="18"/>
      <c r="H228" s="17"/>
      <c r="I228" s="17"/>
      <c r="J228" s="17"/>
      <c r="K228" s="18"/>
      <c r="L228" s="19"/>
      <c r="M228" s="18"/>
    </row>
    <row r="229" customFormat="false" ht="15" hidden="false" customHeight="true" outlineLevel="0" collapsed="false">
      <c r="A229" s="17"/>
      <c r="B229" s="17"/>
      <c r="C229" s="17"/>
      <c r="D229" s="17"/>
      <c r="E229" s="18"/>
      <c r="F229" s="18"/>
      <c r="G229" s="18"/>
      <c r="H229" s="17"/>
      <c r="I229" s="17"/>
      <c r="J229" s="17"/>
      <c r="K229" s="18"/>
      <c r="L229" s="19"/>
      <c r="M229" s="18"/>
    </row>
    <row r="230" customFormat="false" ht="15" hidden="false" customHeight="true" outlineLevel="0" collapsed="false">
      <c r="A230" s="17"/>
      <c r="B230" s="17"/>
      <c r="C230" s="17"/>
      <c r="D230" s="17"/>
      <c r="E230" s="18"/>
      <c r="F230" s="18"/>
      <c r="G230" s="18"/>
      <c r="H230" s="17"/>
      <c r="I230" s="17"/>
      <c r="J230" s="17"/>
      <c r="K230" s="18"/>
      <c r="L230" s="19"/>
      <c r="M230" s="18"/>
    </row>
    <row r="231" customFormat="false" ht="15" hidden="false" customHeight="true" outlineLevel="0" collapsed="false">
      <c r="A231" s="17"/>
      <c r="B231" s="17"/>
      <c r="C231" s="17"/>
      <c r="D231" s="17"/>
      <c r="E231" s="18"/>
      <c r="F231" s="18"/>
      <c r="G231" s="18"/>
      <c r="H231" s="17"/>
      <c r="I231" s="17"/>
      <c r="J231" s="17"/>
      <c r="K231" s="18"/>
      <c r="L231" s="19"/>
      <c r="M231" s="18"/>
    </row>
    <row r="232" customFormat="false" ht="15" hidden="false" customHeight="true" outlineLevel="0" collapsed="false">
      <c r="A232" s="17"/>
      <c r="B232" s="17"/>
      <c r="C232" s="17"/>
      <c r="D232" s="17"/>
      <c r="E232" s="18"/>
      <c r="F232" s="18"/>
      <c r="G232" s="18"/>
      <c r="H232" s="17"/>
      <c r="I232" s="17"/>
      <c r="J232" s="17"/>
      <c r="K232" s="18"/>
      <c r="L232" s="19"/>
      <c r="M232" s="18"/>
    </row>
    <row r="233" customFormat="false" ht="15" hidden="false" customHeight="true" outlineLevel="0" collapsed="false">
      <c r="A233" s="17"/>
      <c r="B233" s="17"/>
      <c r="C233" s="17"/>
      <c r="D233" s="17"/>
      <c r="E233" s="18"/>
      <c r="F233" s="18"/>
      <c r="G233" s="18"/>
      <c r="H233" s="17"/>
      <c r="I233" s="17"/>
      <c r="J233" s="17"/>
      <c r="K233" s="18"/>
      <c r="L233" s="19"/>
      <c r="M233" s="18"/>
    </row>
    <row r="234" customFormat="false" ht="15" hidden="false" customHeight="true" outlineLevel="0" collapsed="false">
      <c r="A234" s="17"/>
      <c r="B234" s="17"/>
      <c r="C234" s="17"/>
      <c r="D234" s="17"/>
      <c r="E234" s="18"/>
      <c r="F234" s="18"/>
      <c r="G234" s="18"/>
      <c r="H234" s="17"/>
      <c r="I234" s="17"/>
      <c r="J234" s="17"/>
      <c r="K234" s="18"/>
      <c r="L234" s="19"/>
      <c r="M234" s="18"/>
    </row>
    <row r="235" customFormat="false" ht="15" hidden="false" customHeight="true" outlineLevel="0" collapsed="false">
      <c r="A235" s="17"/>
      <c r="B235" s="17"/>
      <c r="C235" s="17"/>
      <c r="D235" s="17"/>
      <c r="E235" s="18"/>
      <c r="F235" s="18"/>
      <c r="G235" s="18"/>
      <c r="H235" s="17"/>
      <c r="I235" s="17"/>
      <c r="J235" s="17"/>
      <c r="K235" s="18"/>
      <c r="L235" s="19"/>
      <c r="M235" s="18"/>
    </row>
    <row r="236" customFormat="false" ht="15" hidden="false" customHeight="true" outlineLevel="0" collapsed="false">
      <c r="A236" s="17"/>
      <c r="B236" s="17"/>
      <c r="C236" s="17"/>
      <c r="D236" s="17"/>
      <c r="E236" s="18"/>
      <c r="F236" s="18"/>
      <c r="G236" s="18"/>
      <c r="H236" s="17"/>
      <c r="I236" s="17"/>
      <c r="J236" s="17"/>
      <c r="K236" s="18"/>
      <c r="L236" s="19"/>
      <c r="M236" s="18"/>
    </row>
    <row r="237" customFormat="false" ht="15" hidden="false" customHeight="true" outlineLevel="0" collapsed="false">
      <c r="A237" s="17"/>
      <c r="B237" s="17"/>
      <c r="C237" s="17"/>
      <c r="D237" s="17"/>
      <c r="E237" s="18"/>
      <c r="F237" s="18"/>
      <c r="G237" s="18"/>
      <c r="H237" s="17"/>
      <c r="I237" s="17"/>
      <c r="J237" s="17"/>
      <c r="K237" s="18"/>
      <c r="L237" s="19"/>
      <c r="M237" s="18"/>
    </row>
    <row r="238" customFormat="false" ht="15" hidden="false" customHeight="true" outlineLevel="0" collapsed="false">
      <c r="A238" s="17"/>
      <c r="B238" s="17"/>
      <c r="C238" s="17"/>
      <c r="D238" s="17"/>
      <c r="E238" s="18"/>
      <c r="F238" s="18"/>
      <c r="G238" s="18"/>
      <c r="H238" s="17"/>
      <c r="I238" s="17"/>
      <c r="J238" s="17"/>
      <c r="K238" s="18"/>
      <c r="L238" s="19"/>
      <c r="M238" s="18"/>
    </row>
    <row r="239" customFormat="false" ht="15" hidden="false" customHeight="true" outlineLevel="0" collapsed="false">
      <c r="A239" s="17"/>
      <c r="B239" s="17"/>
      <c r="C239" s="17"/>
      <c r="D239" s="17"/>
      <c r="E239" s="18"/>
      <c r="F239" s="18"/>
      <c r="G239" s="18"/>
      <c r="H239" s="17"/>
      <c r="I239" s="17"/>
      <c r="J239" s="17"/>
      <c r="K239" s="18"/>
      <c r="L239" s="19"/>
      <c r="M239" s="18"/>
    </row>
    <row r="240" customFormat="false" ht="15" hidden="false" customHeight="true" outlineLevel="0" collapsed="false">
      <c r="A240" s="17"/>
      <c r="B240" s="17"/>
      <c r="C240" s="17"/>
      <c r="D240" s="17"/>
      <c r="E240" s="18"/>
      <c r="F240" s="18"/>
      <c r="G240" s="18"/>
      <c r="H240" s="17"/>
      <c r="I240" s="17"/>
      <c r="J240" s="17"/>
      <c r="K240" s="18"/>
      <c r="L240" s="19"/>
      <c r="M240" s="18"/>
    </row>
    <row r="241" customFormat="false" ht="15" hidden="false" customHeight="true" outlineLevel="0" collapsed="false">
      <c r="A241" s="17"/>
      <c r="B241" s="17"/>
      <c r="C241" s="17"/>
      <c r="D241" s="17"/>
      <c r="E241" s="18"/>
      <c r="F241" s="18"/>
      <c r="G241" s="18"/>
      <c r="H241" s="17"/>
      <c r="I241" s="17"/>
      <c r="J241" s="17"/>
      <c r="K241" s="18"/>
      <c r="L241" s="19"/>
      <c r="M241" s="18"/>
    </row>
    <row r="242" customFormat="false" ht="15" hidden="false" customHeight="true" outlineLevel="0" collapsed="false">
      <c r="A242" s="17"/>
      <c r="B242" s="17"/>
      <c r="C242" s="17"/>
      <c r="D242" s="17"/>
      <c r="E242" s="18"/>
      <c r="F242" s="18"/>
      <c r="G242" s="18"/>
      <c r="H242" s="17"/>
      <c r="I242" s="17"/>
      <c r="J242" s="17"/>
      <c r="K242" s="18"/>
      <c r="L242" s="19"/>
      <c r="M242" s="18"/>
    </row>
    <row r="243" customFormat="false" ht="15" hidden="false" customHeight="true" outlineLevel="0" collapsed="false">
      <c r="A243" s="17"/>
      <c r="B243" s="17"/>
      <c r="C243" s="17"/>
      <c r="D243" s="17"/>
      <c r="E243" s="18"/>
      <c r="F243" s="18"/>
      <c r="G243" s="18"/>
      <c r="H243" s="17"/>
      <c r="I243" s="17"/>
      <c r="J243" s="17"/>
      <c r="K243" s="18"/>
      <c r="L243" s="19"/>
      <c r="M243" s="18"/>
    </row>
    <row r="244" customFormat="false" ht="15" hidden="false" customHeight="true" outlineLevel="0" collapsed="false">
      <c r="A244" s="17"/>
      <c r="B244" s="17"/>
      <c r="C244" s="17"/>
      <c r="D244" s="17"/>
      <c r="E244" s="18"/>
      <c r="F244" s="18"/>
      <c r="G244" s="18"/>
      <c r="H244" s="17"/>
      <c r="I244" s="17"/>
      <c r="J244" s="17"/>
      <c r="K244" s="18"/>
      <c r="L244" s="19"/>
      <c r="M244" s="18"/>
    </row>
    <row r="245" customFormat="false" ht="15" hidden="false" customHeight="true" outlineLevel="0" collapsed="false">
      <c r="A245" s="17"/>
      <c r="B245" s="17"/>
      <c r="C245" s="17"/>
      <c r="D245" s="17"/>
      <c r="E245" s="18"/>
      <c r="F245" s="18"/>
      <c r="G245" s="18"/>
      <c r="H245" s="17"/>
      <c r="I245" s="17"/>
      <c r="J245" s="17"/>
      <c r="K245" s="18"/>
      <c r="L245" s="19"/>
      <c r="M245" s="18"/>
    </row>
    <row r="246" customFormat="false" ht="15" hidden="false" customHeight="true" outlineLevel="0" collapsed="false">
      <c r="A246" s="17"/>
      <c r="B246" s="17"/>
      <c r="C246" s="17"/>
      <c r="D246" s="17"/>
      <c r="E246" s="18"/>
      <c r="F246" s="18"/>
      <c r="G246" s="18"/>
      <c r="H246" s="17"/>
      <c r="I246" s="17"/>
      <c r="J246" s="17"/>
      <c r="K246" s="18"/>
      <c r="L246" s="19"/>
      <c r="M246" s="18"/>
    </row>
    <row r="247" customFormat="false" ht="15" hidden="false" customHeight="true" outlineLevel="0" collapsed="false">
      <c r="A247" s="17"/>
      <c r="B247" s="17"/>
      <c r="C247" s="17"/>
      <c r="D247" s="17"/>
      <c r="E247" s="18"/>
      <c r="F247" s="18"/>
      <c r="G247" s="18"/>
      <c r="H247" s="17"/>
      <c r="I247" s="17"/>
      <c r="J247" s="17"/>
      <c r="K247" s="18"/>
      <c r="L247" s="19"/>
      <c r="M247" s="18"/>
    </row>
    <row r="248" customFormat="false" ht="15" hidden="false" customHeight="true" outlineLevel="0" collapsed="false">
      <c r="A248" s="17"/>
      <c r="B248" s="17"/>
      <c r="C248" s="17"/>
      <c r="D248" s="17"/>
      <c r="E248" s="18"/>
      <c r="F248" s="18"/>
      <c r="G248" s="18"/>
      <c r="H248" s="17"/>
      <c r="I248" s="17"/>
      <c r="J248" s="17"/>
      <c r="K248" s="18"/>
      <c r="L248" s="19"/>
      <c r="M248" s="18"/>
    </row>
    <row r="249" customFormat="false" ht="15" hidden="false" customHeight="true" outlineLevel="0" collapsed="false">
      <c r="A249" s="17"/>
      <c r="B249" s="17"/>
      <c r="C249" s="17"/>
      <c r="D249" s="17"/>
      <c r="E249" s="18"/>
      <c r="F249" s="18"/>
      <c r="G249" s="18"/>
      <c r="H249" s="17"/>
      <c r="I249" s="17"/>
      <c r="J249" s="17"/>
      <c r="K249" s="18"/>
      <c r="L249" s="19"/>
      <c r="M249" s="18"/>
    </row>
    <row r="250" customFormat="false" ht="15" hidden="false" customHeight="true" outlineLevel="0" collapsed="false">
      <c r="A250" s="17"/>
      <c r="B250" s="17"/>
      <c r="C250" s="17"/>
      <c r="D250" s="17"/>
      <c r="E250" s="18"/>
      <c r="F250" s="18"/>
      <c r="G250" s="18"/>
      <c r="H250" s="17"/>
      <c r="I250" s="17"/>
      <c r="J250" s="17"/>
      <c r="K250" s="18"/>
      <c r="L250" s="19"/>
      <c r="M250" s="18"/>
    </row>
    <row r="251" customFormat="false" ht="15" hidden="false" customHeight="true" outlineLevel="0" collapsed="false">
      <c r="A251" s="17"/>
      <c r="B251" s="17"/>
      <c r="C251" s="17"/>
      <c r="D251" s="17"/>
      <c r="E251" s="18"/>
      <c r="F251" s="18"/>
      <c r="G251" s="18"/>
      <c r="H251" s="17"/>
      <c r="I251" s="17"/>
      <c r="J251" s="17"/>
      <c r="K251" s="18"/>
      <c r="L251" s="19"/>
      <c r="M251" s="18"/>
    </row>
    <row r="252" customFormat="false" ht="15" hidden="false" customHeight="true" outlineLevel="0" collapsed="false">
      <c r="A252" s="17"/>
      <c r="B252" s="17"/>
      <c r="C252" s="17"/>
      <c r="D252" s="17"/>
      <c r="E252" s="18"/>
      <c r="F252" s="18"/>
      <c r="G252" s="18"/>
      <c r="H252" s="17"/>
      <c r="I252" s="17"/>
      <c r="J252" s="17"/>
      <c r="K252" s="18"/>
      <c r="L252" s="19"/>
      <c r="M252" s="18"/>
    </row>
    <row r="253" customFormat="false" ht="15" hidden="false" customHeight="true" outlineLevel="0" collapsed="false">
      <c r="A253" s="17"/>
      <c r="B253" s="17"/>
      <c r="C253" s="17"/>
      <c r="D253" s="17"/>
      <c r="E253" s="18"/>
      <c r="F253" s="18"/>
      <c r="G253" s="18"/>
      <c r="H253" s="17"/>
      <c r="I253" s="17"/>
      <c r="J253" s="17"/>
      <c r="K253" s="18"/>
      <c r="L253" s="19"/>
      <c r="M253" s="18"/>
    </row>
    <row r="254" customFormat="false" ht="15" hidden="false" customHeight="true" outlineLevel="0" collapsed="false">
      <c r="A254" s="17"/>
      <c r="B254" s="17"/>
      <c r="C254" s="17"/>
      <c r="D254" s="17"/>
      <c r="E254" s="18"/>
      <c r="F254" s="18"/>
      <c r="G254" s="18"/>
      <c r="H254" s="17"/>
      <c r="I254" s="17"/>
      <c r="J254" s="17"/>
      <c r="K254" s="18"/>
      <c r="L254" s="19"/>
      <c r="M254" s="18"/>
    </row>
    <row r="255" customFormat="false" ht="15" hidden="false" customHeight="true" outlineLevel="0" collapsed="false">
      <c r="A255" s="17"/>
      <c r="B255" s="17"/>
      <c r="C255" s="17"/>
      <c r="D255" s="17"/>
      <c r="E255" s="18"/>
      <c r="F255" s="18"/>
      <c r="G255" s="18"/>
      <c r="H255" s="17"/>
      <c r="I255" s="17"/>
      <c r="J255" s="17"/>
      <c r="K255" s="18"/>
      <c r="L255" s="19"/>
      <c r="M255" s="18"/>
    </row>
    <row r="256" customFormat="false" ht="15" hidden="false" customHeight="true" outlineLevel="0" collapsed="false">
      <c r="A256" s="17"/>
      <c r="B256" s="17"/>
      <c r="C256" s="17"/>
      <c r="D256" s="17"/>
      <c r="E256" s="18"/>
      <c r="F256" s="18"/>
      <c r="G256" s="18"/>
      <c r="H256" s="17"/>
      <c r="I256" s="17"/>
      <c r="J256" s="17"/>
      <c r="K256" s="18"/>
      <c r="L256" s="19"/>
      <c r="M256" s="18"/>
    </row>
    <row r="257" customFormat="false" ht="15" hidden="false" customHeight="true" outlineLevel="0" collapsed="false">
      <c r="A257" s="17"/>
      <c r="B257" s="17"/>
      <c r="C257" s="17"/>
      <c r="D257" s="17"/>
      <c r="E257" s="18"/>
      <c r="F257" s="18"/>
      <c r="G257" s="18"/>
      <c r="H257" s="17"/>
      <c r="I257" s="17"/>
      <c r="J257" s="17"/>
      <c r="K257" s="18"/>
      <c r="L257" s="19"/>
      <c r="M257" s="18"/>
    </row>
    <row r="258" customFormat="false" ht="15" hidden="false" customHeight="true" outlineLevel="0" collapsed="false">
      <c r="A258" s="17"/>
      <c r="B258" s="17"/>
      <c r="C258" s="17"/>
      <c r="D258" s="17"/>
      <c r="E258" s="18"/>
      <c r="F258" s="18"/>
      <c r="G258" s="18"/>
      <c r="H258" s="17"/>
      <c r="I258" s="17"/>
      <c r="J258" s="17"/>
      <c r="K258" s="18"/>
      <c r="L258" s="19"/>
      <c r="M258" s="18"/>
    </row>
    <row r="259" customFormat="false" ht="15" hidden="false" customHeight="true" outlineLevel="0" collapsed="false">
      <c r="A259" s="17"/>
      <c r="B259" s="17"/>
      <c r="C259" s="17"/>
      <c r="D259" s="17"/>
      <c r="E259" s="18"/>
      <c r="F259" s="18"/>
      <c r="G259" s="18"/>
      <c r="H259" s="17"/>
      <c r="I259" s="17"/>
      <c r="J259" s="17"/>
      <c r="K259" s="18"/>
      <c r="L259" s="19"/>
      <c r="M259" s="18"/>
    </row>
    <row r="260" customFormat="false" ht="15" hidden="false" customHeight="true" outlineLevel="0" collapsed="false">
      <c r="A260" s="17"/>
      <c r="B260" s="17"/>
      <c r="C260" s="17"/>
      <c r="D260" s="17"/>
      <c r="E260" s="18"/>
      <c r="F260" s="18"/>
      <c r="G260" s="18"/>
      <c r="H260" s="17"/>
      <c r="I260" s="17"/>
      <c r="J260" s="17"/>
      <c r="K260" s="18"/>
      <c r="L260" s="19"/>
      <c r="M260" s="18"/>
    </row>
    <row r="261" customFormat="false" ht="15" hidden="false" customHeight="true" outlineLevel="0" collapsed="false">
      <c r="A261" s="17"/>
      <c r="B261" s="17"/>
      <c r="C261" s="17"/>
      <c r="D261" s="17"/>
      <c r="E261" s="18"/>
      <c r="F261" s="18"/>
      <c r="G261" s="18"/>
      <c r="H261" s="17"/>
      <c r="I261" s="17"/>
      <c r="J261" s="17"/>
      <c r="K261" s="18"/>
      <c r="L261" s="19"/>
      <c r="M261" s="18"/>
    </row>
    <row r="262" customFormat="false" ht="15" hidden="false" customHeight="true" outlineLevel="0" collapsed="false">
      <c r="A262" s="17"/>
      <c r="B262" s="17"/>
      <c r="C262" s="17"/>
      <c r="D262" s="17"/>
      <c r="E262" s="18"/>
      <c r="F262" s="18"/>
      <c r="G262" s="18"/>
      <c r="H262" s="17"/>
      <c r="I262" s="17"/>
      <c r="J262" s="17"/>
      <c r="K262" s="18"/>
      <c r="L262" s="19"/>
      <c r="M262" s="18"/>
    </row>
    <row r="263" customFormat="false" ht="15" hidden="false" customHeight="true" outlineLevel="0" collapsed="false">
      <c r="A263" s="17"/>
      <c r="B263" s="17"/>
      <c r="C263" s="17"/>
      <c r="D263" s="17"/>
      <c r="E263" s="18"/>
      <c r="F263" s="18"/>
      <c r="G263" s="18"/>
      <c r="H263" s="17"/>
      <c r="I263" s="17"/>
      <c r="J263" s="17"/>
      <c r="K263" s="18"/>
      <c r="L263" s="19"/>
      <c r="M263" s="18"/>
    </row>
    <row r="264" customFormat="false" ht="15" hidden="false" customHeight="true" outlineLevel="0" collapsed="false">
      <c r="A264" s="17"/>
      <c r="B264" s="17"/>
      <c r="C264" s="17"/>
      <c r="D264" s="17"/>
      <c r="E264" s="18"/>
      <c r="F264" s="18"/>
      <c r="G264" s="18"/>
      <c r="H264" s="17"/>
      <c r="I264" s="17"/>
      <c r="J264" s="17"/>
      <c r="K264" s="18"/>
      <c r="L264" s="19"/>
      <c r="M264" s="18"/>
    </row>
    <row r="265" customFormat="false" ht="15" hidden="false" customHeight="true" outlineLevel="0" collapsed="false">
      <c r="A265" s="17"/>
      <c r="B265" s="17"/>
      <c r="C265" s="17"/>
      <c r="D265" s="17"/>
      <c r="E265" s="18"/>
      <c r="F265" s="18"/>
      <c r="G265" s="18"/>
      <c r="H265" s="17"/>
      <c r="I265" s="17"/>
      <c r="J265" s="17"/>
      <c r="K265" s="18"/>
      <c r="L265" s="19"/>
      <c r="M265" s="18"/>
    </row>
    <row r="266" customFormat="false" ht="15" hidden="false" customHeight="true" outlineLevel="0" collapsed="false">
      <c r="A266" s="17"/>
      <c r="B266" s="17"/>
      <c r="C266" s="17"/>
      <c r="D266" s="17"/>
      <c r="E266" s="18"/>
      <c r="F266" s="18"/>
      <c r="G266" s="18"/>
      <c r="H266" s="17"/>
      <c r="I266" s="17"/>
      <c r="J266" s="17"/>
      <c r="K266" s="18"/>
      <c r="L266" s="19"/>
      <c r="M266" s="18"/>
    </row>
    <row r="267" customFormat="false" ht="15" hidden="false" customHeight="true" outlineLevel="0" collapsed="false">
      <c r="A267" s="17"/>
      <c r="B267" s="17"/>
      <c r="C267" s="17"/>
      <c r="D267" s="17"/>
      <c r="E267" s="18"/>
      <c r="F267" s="18"/>
      <c r="G267" s="18"/>
      <c r="H267" s="17"/>
      <c r="I267" s="17"/>
      <c r="J267" s="17"/>
      <c r="K267" s="18"/>
      <c r="L267" s="19"/>
      <c r="M267" s="18"/>
    </row>
    <row r="268" customFormat="false" ht="15" hidden="false" customHeight="true" outlineLevel="0" collapsed="false">
      <c r="A268" s="17"/>
      <c r="B268" s="17"/>
      <c r="C268" s="17"/>
      <c r="D268" s="17"/>
      <c r="E268" s="18"/>
      <c r="F268" s="18"/>
      <c r="G268" s="18"/>
      <c r="H268" s="17"/>
      <c r="I268" s="17"/>
      <c r="J268" s="17"/>
      <c r="K268" s="18"/>
      <c r="L268" s="19"/>
      <c r="M268" s="18"/>
    </row>
    <row r="269" customFormat="false" ht="15" hidden="false" customHeight="true" outlineLevel="0" collapsed="false">
      <c r="A269" s="17"/>
      <c r="B269" s="17"/>
      <c r="C269" s="17"/>
      <c r="D269" s="17"/>
      <c r="E269" s="18"/>
      <c r="F269" s="18"/>
      <c r="G269" s="18"/>
      <c r="H269" s="17"/>
      <c r="I269" s="17"/>
      <c r="J269" s="17"/>
      <c r="K269" s="18"/>
      <c r="L269" s="19"/>
      <c r="M269" s="18"/>
    </row>
    <row r="270" customFormat="false" ht="15" hidden="false" customHeight="true" outlineLevel="0" collapsed="false">
      <c r="A270" s="17"/>
      <c r="B270" s="17"/>
      <c r="C270" s="17"/>
      <c r="D270" s="17"/>
      <c r="E270" s="18"/>
      <c r="F270" s="18"/>
      <c r="G270" s="18"/>
      <c r="H270" s="17"/>
      <c r="I270" s="17"/>
      <c r="J270" s="17"/>
      <c r="K270" s="18"/>
      <c r="L270" s="19"/>
      <c r="M270" s="18"/>
    </row>
    <row r="271" customFormat="false" ht="15" hidden="false" customHeight="true" outlineLevel="0" collapsed="false">
      <c r="A271" s="17"/>
      <c r="B271" s="17"/>
      <c r="C271" s="17"/>
      <c r="D271" s="17"/>
      <c r="E271" s="18"/>
      <c r="F271" s="18"/>
      <c r="G271" s="18"/>
      <c r="H271" s="17"/>
      <c r="I271" s="17"/>
      <c r="J271" s="17"/>
      <c r="K271" s="18"/>
      <c r="L271" s="19"/>
      <c r="M271" s="18"/>
    </row>
    <row r="272" customFormat="false" ht="15" hidden="false" customHeight="true" outlineLevel="0" collapsed="false">
      <c r="A272" s="17"/>
      <c r="B272" s="17"/>
      <c r="C272" s="17"/>
      <c r="D272" s="17"/>
      <c r="E272" s="18"/>
      <c r="F272" s="18"/>
      <c r="G272" s="18"/>
      <c r="H272" s="17"/>
      <c r="I272" s="17"/>
      <c r="J272" s="17"/>
      <c r="K272" s="18"/>
      <c r="L272" s="19"/>
      <c r="M272" s="18"/>
    </row>
    <row r="273" customFormat="false" ht="15" hidden="false" customHeight="true" outlineLevel="0" collapsed="false">
      <c r="A273" s="17"/>
      <c r="B273" s="17"/>
      <c r="C273" s="17"/>
      <c r="D273" s="17"/>
      <c r="E273" s="18"/>
      <c r="F273" s="18"/>
      <c r="G273" s="18"/>
      <c r="H273" s="17"/>
      <c r="I273" s="17"/>
      <c r="J273" s="17"/>
      <c r="K273" s="18"/>
      <c r="L273" s="19"/>
      <c r="M273" s="18"/>
    </row>
    <row r="274" customFormat="false" ht="15" hidden="false" customHeight="true" outlineLevel="0" collapsed="false">
      <c r="A274" s="17"/>
      <c r="B274" s="17"/>
      <c r="C274" s="17"/>
      <c r="D274" s="17"/>
      <c r="E274" s="18"/>
      <c r="F274" s="18"/>
      <c r="G274" s="18"/>
      <c r="H274" s="17"/>
      <c r="I274" s="17"/>
      <c r="J274" s="17"/>
      <c r="K274" s="18"/>
      <c r="L274" s="19"/>
      <c r="M274" s="18"/>
    </row>
    <row r="275" customFormat="false" ht="15" hidden="false" customHeight="true" outlineLevel="0" collapsed="false">
      <c r="A275" s="17"/>
      <c r="B275" s="17"/>
      <c r="C275" s="17"/>
      <c r="D275" s="17"/>
      <c r="E275" s="18"/>
      <c r="F275" s="18"/>
      <c r="G275" s="18"/>
      <c r="H275" s="17"/>
      <c r="I275" s="17"/>
      <c r="J275" s="17"/>
      <c r="K275" s="18"/>
      <c r="L275" s="19"/>
      <c r="M275" s="18"/>
    </row>
    <row r="276" customFormat="false" ht="15" hidden="false" customHeight="true" outlineLevel="0" collapsed="false">
      <c r="A276" s="17"/>
      <c r="B276" s="17"/>
      <c r="C276" s="17"/>
      <c r="D276" s="17"/>
      <c r="E276" s="18"/>
      <c r="F276" s="18"/>
      <c r="G276" s="18"/>
      <c r="H276" s="17"/>
      <c r="I276" s="17"/>
      <c r="J276" s="17"/>
      <c r="K276" s="18"/>
      <c r="L276" s="19"/>
      <c r="M276" s="18"/>
    </row>
    <row r="277" customFormat="false" ht="15" hidden="false" customHeight="true" outlineLevel="0" collapsed="false">
      <c r="A277" s="17"/>
      <c r="B277" s="17"/>
      <c r="C277" s="17"/>
      <c r="D277" s="17"/>
      <c r="E277" s="18"/>
      <c r="F277" s="18"/>
      <c r="G277" s="18"/>
      <c r="H277" s="17"/>
      <c r="I277" s="17"/>
      <c r="J277" s="17"/>
      <c r="K277" s="18"/>
      <c r="L277" s="19"/>
      <c r="M277" s="18"/>
    </row>
    <row r="278" customFormat="false" ht="15" hidden="false" customHeight="true" outlineLevel="0" collapsed="false">
      <c r="A278" s="17"/>
      <c r="B278" s="17"/>
      <c r="C278" s="17"/>
      <c r="D278" s="17"/>
      <c r="E278" s="18"/>
      <c r="F278" s="18"/>
      <c r="G278" s="18"/>
      <c r="H278" s="17"/>
      <c r="I278" s="17"/>
      <c r="J278" s="17"/>
      <c r="K278" s="18"/>
      <c r="L278" s="19"/>
      <c r="M278" s="18"/>
    </row>
    <row r="279" customFormat="false" ht="15" hidden="false" customHeight="true" outlineLevel="0" collapsed="false">
      <c r="A279" s="17"/>
      <c r="B279" s="17"/>
      <c r="C279" s="17"/>
      <c r="D279" s="17"/>
      <c r="E279" s="18"/>
      <c r="F279" s="18"/>
      <c r="G279" s="18"/>
      <c r="H279" s="17"/>
      <c r="I279" s="17"/>
      <c r="J279" s="17"/>
      <c r="K279" s="18"/>
      <c r="L279" s="19"/>
      <c r="M279" s="18"/>
    </row>
    <row r="280" customFormat="false" ht="15" hidden="false" customHeight="true" outlineLevel="0" collapsed="false">
      <c r="A280" s="17"/>
      <c r="B280" s="17"/>
      <c r="C280" s="17"/>
      <c r="D280" s="17"/>
      <c r="E280" s="18"/>
      <c r="F280" s="18"/>
      <c r="G280" s="18"/>
      <c r="H280" s="17"/>
      <c r="I280" s="17"/>
      <c r="J280" s="17"/>
      <c r="K280" s="18"/>
      <c r="L280" s="19"/>
      <c r="M280" s="18"/>
    </row>
    <row r="281" customFormat="false" ht="15" hidden="false" customHeight="true" outlineLevel="0" collapsed="false">
      <c r="A281" s="17"/>
      <c r="B281" s="17"/>
      <c r="C281" s="17"/>
      <c r="D281" s="17"/>
      <c r="E281" s="18"/>
      <c r="F281" s="18"/>
      <c r="G281" s="18"/>
      <c r="H281" s="17"/>
      <c r="I281" s="17"/>
      <c r="J281" s="17"/>
      <c r="K281" s="18"/>
      <c r="L281" s="19"/>
      <c r="M281" s="18"/>
    </row>
    <row r="282" customFormat="false" ht="15" hidden="false" customHeight="true" outlineLevel="0" collapsed="false">
      <c r="A282" s="17"/>
      <c r="B282" s="17"/>
      <c r="C282" s="17"/>
      <c r="D282" s="17"/>
      <c r="E282" s="18"/>
      <c r="F282" s="18"/>
      <c r="G282" s="18"/>
      <c r="H282" s="17"/>
      <c r="I282" s="17"/>
      <c r="J282" s="17"/>
      <c r="K282" s="18"/>
      <c r="L282" s="19"/>
      <c r="M282" s="18"/>
    </row>
    <row r="283" customFormat="false" ht="15" hidden="false" customHeight="true" outlineLevel="0" collapsed="false">
      <c r="A283" s="17"/>
      <c r="B283" s="17"/>
      <c r="C283" s="17"/>
      <c r="D283" s="17"/>
      <c r="E283" s="18"/>
      <c r="F283" s="18"/>
      <c r="G283" s="18"/>
      <c r="H283" s="17"/>
      <c r="I283" s="17"/>
      <c r="J283" s="17"/>
      <c r="K283" s="18"/>
      <c r="L283" s="19"/>
      <c r="M283" s="18"/>
    </row>
    <row r="284" customFormat="false" ht="15" hidden="false" customHeight="true" outlineLevel="0" collapsed="false">
      <c r="A284" s="17"/>
      <c r="B284" s="17"/>
      <c r="C284" s="17"/>
      <c r="D284" s="17"/>
      <c r="E284" s="18"/>
      <c r="F284" s="18"/>
      <c r="G284" s="18"/>
      <c r="H284" s="17"/>
      <c r="I284" s="17"/>
      <c r="J284" s="17"/>
      <c r="K284" s="18"/>
      <c r="L284" s="19"/>
      <c r="M284" s="18"/>
    </row>
    <row r="285" customFormat="false" ht="15" hidden="false" customHeight="true" outlineLevel="0" collapsed="false">
      <c r="A285" s="17"/>
      <c r="B285" s="17"/>
      <c r="C285" s="17"/>
      <c r="D285" s="17"/>
      <c r="E285" s="18"/>
      <c r="F285" s="18"/>
      <c r="G285" s="18"/>
      <c r="H285" s="17"/>
      <c r="I285" s="17"/>
      <c r="J285" s="17"/>
      <c r="K285" s="18"/>
      <c r="L285" s="19"/>
      <c r="M285" s="18"/>
    </row>
    <row r="286" customFormat="false" ht="15" hidden="false" customHeight="true" outlineLevel="0" collapsed="false">
      <c r="A286" s="17"/>
      <c r="B286" s="17"/>
      <c r="C286" s="17"/>
      <c r="D286" s="17"/>
      <c r="E286" s="18"/>
      <c r="F286" s="18"/>
      <c r="G286" s="18"/>
      <c r="H286" s="17"/>
      <c r="I286" s="17"/>
      <c r="J286" s="17"/>
      <c r="K286" s="18"/>
      <c r="L286" s="19"/>
      <c r="M286" s="18"/>
    </row>
    <row r="287" customFormat="false" ht="15" hidden="false" customHeight="true" outlineLevel="0" collapsed="false">
      <c r="A287" s="17"/>
      <c r="B287" s="17"/>
      <c r="C287" s="17"/>
      <c r="D287" s="17"/>
      <c r="E287" s="18"/>
      <c r="F287" s="18"/>
      <c r="G287" s="18"/>
      <c r="H287" s="17"/>
      <c r="I287" s="17"/>
      <c r="J287" s="17"/>
      <c r="K287" s="18"/>
      <c r="L287" s="19"/>
      <c r="M287" s="18"/>
    </row>
    <row r="288" customFormat="false" ht="15" hidden="false" customHeight="true" outlineLevel="0" collapsed="false">
      <c r="A288" s="17"/>
      <c r="B288" s="17"/>
      <c r="C288" s="17"/>
      <c r="D288" s="17"/>
      <c r="E288" s="18"/>
      <c r="F288" s="18"/>
      <c r="G288" s="18"/>
      <c r="H288" s="17"/>
      <c r="I288" s="17"/>
      <c r="J288" s="17"/>
      <c r="K288" s="18"/>
      <c r="L288" s="19"/>
      <c r="M288" s="18"/>
    </row>
    <row r="289" customFormat="false" ht="15" hidden="false" customHeight="true" outlineLevel="0" collapsed="false">
      <c r="A289" s="17"/>
      <c r="B289" s="17"/>
      <c r="C289" s="17"/>
      <c r="D289" s="17"/>
      <c r="E289" s="18"/>
      <c r="F289" s="18"/>
      <c r="G289" s="18"/>
      <c r="H289" s="17"/>
      <c r="I289" s="17"/>
      <c r="J289" s="17"/>
      <c r="K289" s="18"/>
      <c r="L289" s="19"/>
      <c r="M289" s="18"/>
    </row>
    <row r="290" customFormat="false" ht="15" hidden="false" customHeight="true" outlineLevel="0" collapsed="false">
      <c r="A290" s="17"/>
      <c r="B290" s="17"/>
      <c r="C290" s="17"/>
      <c r="D290" s="17"/>
      <c r="E290" s="18"/>
      <c r="F290" s="18"/>
      <c r="G290" s="18"/>
      <c r="H290" s="17"/>
      <c r="I290" s="17"/>
      <c r="J290" s="17"/>
      <c r="K290" s="18"/>
      <c r="L290" s="19"/>
      <c r="M290" s="18"/>
    </row>
    <row r="291" customFormat="false" ht="15" hidden="false" customHeight="true" outlineLevel="0" collapsed="false">
      <c r="A291" s="17"/>
      <c r="B291" s="17"/>
      <c r="C291" s="17"/>
      <c r="D291" s="17"/>
      <c r="E291" s="18"/>
      <c r="F291" s="18"/>
      <c r="G291" s="18"/>
      <c r="H291" s="17"/>
      <c r="I291" s="17"/>
      <c r="J291" s="17"/>
      <c r="K291" s="18"/>
      <c r="L291" s="19"/>
      <c r="M291" s="18"/>
    </row>
    <row r="292" customFormat="false" ht="15" hidden="false" customHeight="true" outlineLevel="0" collapsed="false">
      <c r="A292" s="17"/>
      <c r="B292" s="17"/>
      <c r="C292" s="17"/>
      <c r="D292" s="17"/>
      <c r="E292" s="18"/>
      <c r="F292" s="18"/>
      <c r="G292" s="18"/>
      <c r="H292" s="17"/>
      <c r="I292" s="17"/>
      <c r="J292" s="17"/>
      <c r="K292" s="18"/>
      <c r="L292" s="19"/>
      <c r="M292" s="18"/>
    </row>
    <row r="293" customFormat="false" ht="15" hidden="false" customHeight="true" outlineLevel="0" collapsed="false">
      <c r="A293" s="17"/>
      <c r="B293" s="17"/>
      <c r="C293" s="17"/>
      <c r="D293" s="17"/>
      <c r="E293" s="18"/>
      <c r="F293" s="18"/>
      <c r="G293" s="18"/>
      <c r="H293" s="17"/>
      <c r="I293" s="17"/>
      <c r="J293" s="17"/>
      <c r="K293" s="18"/>
      <c r="L293" s="19"/>
      <c r="M293" s="18"/>
    </row>
    <row r="294" customFormat="false" ht="15" hidden="false" customHeight="true" outlineLevel="0" collapsed="false">
      <c r="A294" s="17"/>
      <c r="B294" s="17"/>
      <c r="C294" s="17"/>
      <c r="D294" s="17"/>
      <c r="E294" s="18"/>
      <c r="F294" s="18"/>
      <c r="G294" s="18"/>
      <c r="H294" s="17"/>
      <c r="I294" s="17"/>
      <c r="J294" s="17"/>
      <c r="K294" s="18"/>
      <c r="L294" s="19"/>
      <c r="M294" s="18"/>
    </row>
    <row r="295" customFormat="false" ht="15" hidden="false" customHeight="true" outlineLevel="0" collapsed="false">
      <c r="A295" s="17"/>
      <c r="B295" s="17"/>
      <c r="C295" s="17"/>
      <c r="D295" s="17"/>
      <c r="E295" s="18"/>
      <c r="F295" s="18"/>
      <c r="G295" s="18"/>
      <c r="H295" s="17"/>
      <c r="I295" s="17"/>
      <c r="J295" s="17"/>
      <c r="K295" s="18"/>
      <c r="L295" s="19"/>
      <c r="M295" s="18"/>
    </row>
    <row r="296" customFormat="false" ht="15" hidden="false" customHeight="true" outlineLevel="0" collapsed="false">
      <c r="A296" s="17"/>
      <c r="B296" s="17"/>
      <c r="C296" s="17"/>
      <c r="D296" s="17"/>
      <c r="E296" s="18"/>
      <c r="F296" s="18"/>
      <c r="G296" s="18"/>
      <c r="H296" s="17"/>
      <c r="I296" s="17"/>
      <c r="J296" s="17"/>
      <c r="K296" s="18"/>
      <c r="L296" s="19"/>
      <c r="M296" s="18"/>
    </row>
    <row r="297" customFormat="false" ht="15" hidden="false" customHeight="true" outlineLevel="0" collapsed="false">
      <c r="A297" s="17"/>
      <c r="B297" s="17"/>
      <c r="C297" s="17"/>
      <c r="D297" s="17"/>
      <c r="E297" s="18"/>
      <c r="F297" s="18"/>
      <c r="G297" s="18"/>
      <c r="H297" s="17"/>
      <c r="I297" s="17"/>
      <c r="J297" s="17"/>
      <c r="K297" s="18"/>
      <c r="L297" s="19"/>
      <c r="M297" s="18"/>
    </row>
    <row r="298" customFormat="false" ht="15" hidden="false" customHeight="true" outlineLevel="0" collapsed="false">
      <c r="A298" s="17"/>
      <c r="B298" s="17"/>
      <c r="C298" s="17"/>
      <c r="D298" s="17"/>
      <c r="E298" s="18"/>
      <c r="F298" s="18"/>
      <c r="G298" s="18"/>
      <c r="H298" s="17"/>
      <c r="I298" s="17"/>
      <c r="J298" s="17"/>
      <c r="K298" s="18"/>
      <c r="L298" s="19"/>
      <c r="M298" s="18"/>
    </row>
    <row r="299" customFormat="false" ht="15" hidden="false" customHeight="true" outlineLevel="0" collapsed="false">
      <c r="A299" s="17"/>
      <c r="B299" s="17"/>
      <c r="C299" s="17"/>
      <c r="D299" s="17"/>
      <c r="E299" s="18"/>
      <c r="F299" s="18"/>
      <c r="G299" s="18"/>
      <c r="H299" s="17"/>
      <c r="I299" s="17"/>
      <c r="J299" s="17"/>
      <c r="K299" s="18"/>
      <c r="L299" s="19"/>
      <c r="M299" s="18"/>
    </row>
    <row r="300" customFormat="false" ht="15" hidden="false" customHeight="true" outlineLevel="0" collapsed="false">
      <c r="A300" s="17"/>
      <c r="B300" s="17"/>
      <c r="C300" s="17"/>
      <c r="D300" s="17"/>
      <c r="E300" s="18"/>
      <c r="F300" s="18"/>
      <c r="G300" s="18"/>
      <c r="H300" s="17"/>
      <c r="I300" s="17"/>
      <c r="J300" s="17"/>
      <c r="K300" s="18"/>
      <c r="L300" s="19"/>
      <c r="M300" s="18"/>
    </row>
    <row r="301" customFormat="false" ht="15" hidden="false" customHeight="true" outlineLevel="0" collapsed="false">
      <c r="A301" s="17"/>
      <c r="B301" s="17"/>
      <c r="C301" s="17"/>
      <c r="D301" s="17"/>
      <c r="E301" s="18"/>
      <c r="F301" s="18"/>
      <c r="G301" s="18"/>
      <c r="H301" s="17"/>
      <c r="I301" s="17"/>
      <c r="J301" s="17"/>
      <c r="K301" s="18"/>
      <c r="L301" s="19"/>
      <c r="M301" s="18"/>
    </row>
    <row r="302" customFormat="false" ht="15" hidden="false" customHeight="true" outlineLevel="0" collapsed="false">
      <c r="A302" s="17"/>
      <c r="B302" s="17"/>
      <c r="C302" s="17"/>
      <c r="D302" s="17"/>
      <c r="E302" s="18"/>
      <c r="F302" s="18"/>
      <c r="G302" s="18"/>
      <c r="H302" s="17"/>
      <c r="I302" s="17"/>
      <c r="J302" s="17"/>
      <c r="K302" s="18"/>
      <c r="L302" s="19"/>
      <c r="M302" s="18"/>
    </row>
    <row r="303" customFormat="false" ht="15" hidden="false" customHeight="true" outlineLevel="0" collapsed="false">
      <c r="A303" s="17"/>
      <c r="B303" s="17"/>
      <c r="C303" s="17"/>
      <c r="D303" s="17"/>
      <c r="E303" s="18"/>
      <c r="F303" s="18"/>
      <c r="G303" s="18"/>
      <c r="H303" s="17"/>
      <c r="I303" s="17"/>
      <c r="J303" s="17"/>
      <c r="K303" s="18"/>
      <c r="L303" s="19"/>
      <c r="M303" s="18"/>
    </row>
    <row r="304" customFormat="false" ht="15" hidden="false" customHeight="true" outlineLevel="0" collapsed="false">
      <c r="A304" s="17"/>
      <c r="B304" s="17"/>
      <c r="C304" s="17"/>
      <c r="D304" s="17"/>
      <c r="E304" s="18"/>
      <c r="F304" s="18"/>
      <c r="G304" s="18"/>
      <c r="H304" s="17"/>
      <c r="I304" s="17"/>
      <c r="J304" s="17"/>
      <c r="K304" s="18"/>
      <c r="L304" s="19"/>
      <c r="M304" s="18"/>
    </row>
    <row r="305" customFormat="false" ht="15" hidden="false" customHeight="true" outlineLevel="0" collapsed="false">
      <c r="A305" s="17"/>
      <c r="B305" s="17"/>
      <c r="C305" s="17"/>
      <c r="D305" s="17"/>
      <c r="E305" s="18"/>
      <c r="F305" s="18"/>
      <c r="G305" s="18"/>
      <c r="H305" s="17"/>
      <c r="I305" s="17"/>
      <c r="J305" s="17"/>
      <c r="K305" s="18"/>
      <c r="L305" s="19"/>
      <c r="M305" s="18"/>
    </row>
    <row r="306" customFormat="false" ht="15" hidden="false" customHeight="true" outlineLevel="0" collapsed="false">
      <c r="A306" s="17"/>
      <c r="B306" s="17"/>
      <c r="C306" s="17"/>
      <c r="D306" s="17"/>
      <c r="E306" s="18"/>
      <c r="F306" s="18"/>
      <c r="G306" s="18"/>
      <c r="H306" s="17"/>
      <c r="I306" s="17"/>
      <c r="J306" s="17"/>
      <c r="K306" s="18"/>
      <c r="L306" s="19"/>
      <c r="M306" s="18"/>
    </row>
    <row r="307" customFormat="false" ht="15" hidden="false" customHeight="true" outlineLevel="0" collapsed="false">
      <c r="A307" s="17"/>
      <c r="B307" s="17"/>
      <c r="C307" s="17"/>
      <c r="D307" s="17"/>
      <c r="E307" s="18"/>
      <c r="F307" s="18"/>
      <c r="G307" s="18"/>
      <c r="H307" s="17"/>
      <c r="I307" s="17"/>
      <c r="J307" s="17"/>
      <c r="K307" s="18"/>
      <c r="L307" s="19"/>
      <c r="M307" s="18"/>
    </row>
    <row r="308" customFormat="false" ht="15" hidden="false" customHeight="true" outlineLevel="0" collapsed="false">
      <c r="A308" s="17"/>
      <c r="B308" s="17"/>
      <c r="C308" s="17"/>
      <c r="D308" s="17"/>
      <c r="E308" s="18"/>
      <c r="F308" s="18"/>
      <c r="G308" s="18"/>
      <c r="H308" s="17"/>
      <c r="I308" s="17"/>
      <c r="J308" s="17"/>
      <c r="K308" s="18"/>
      <c r="L308" s="19"/>
      <c r="M308" s="18"/>
    </row>
    <row r="309" customFormat="false" ht="15" hidden="false" customHeight="true" outlineLevel="0" collapsed="false">
      <c r="A309" s="17"/>
      <c r="B309" s="17"/>
      <c r="C309" s="17"/>
      <c r="D309" s="17"/>
      <c r="E309" s="18"/>
      <c r="F309" s="18"/>
      <c r="G309" s="18"/>
      <c r="H309" s="17"/>
      <c r="I309" s="17"/>
      <c r="J309" s="17"/>
      <c r="K309" s="18"/>
      <c r="L309" s="19"/>
      <c r="M309" s="18"/>
    </row>
    <row r="310" customFormat="false" ht="15" hidden="false" customHeight="true" outlineLevel="0" collapsed="false">
      <c r="A310" s="17"/>
      <c r="B310" s="17"/>
      <c r="C310" s="17"/>
      <c r="D310" s="17"/>
      <c r="E310" s="18"/>
      <c r="F310" s="18"/>
      <c r="G310" s="18"/>
      <c r="H310" s="17"/>
      <c r="I310" s="17"/>
      <c r="J310" s="17"/>
      <c r="K310" s="18"/>
      <c r="L310" s="19"/>
      <c r="M310" s="18"/>
    </row>
    <row r="311" customFormat="false" ht="15" hidden="false" customHeight="true" outlineLevel="0" collapsed="false">
      <c r="A311" s="17"/>
      <c r="B311" s="17"/>
      <c r="C311" s="17"/>
      <c r="D311" s="17"/>
      <c r="E311" s="18"/>
      <c r="F311" s="18"/>
      <c r="G311" s="18"/>
      <c r="H311" s="17"/>
      <c r="I311" s="17"/>
      <c r="J311" s="17"/>
      <c r="K311" s="18"/>
      <c r="L311" s="19"/>
      <c r="M311" s="18"/>
    </row>
    <row r="312" customFormat="false" ht="15" hidden="false" customHeight="true" outlineLevel="0" collapsed="false">
      <c r="A312" s="17"/>
      <c r="B312" s="17"/>
      <c r="C312" s="17"/>
      <c r="D312" s="17"/>
      <c r="E312" s="18"/>
      <c r="F312" s="18"/>
      <c r="G312" s="18"/>
      <c r="H312" s="17"/>
      <c r="I312" s="17"/>
      <c r="J312" s="17"/>
      <c r="K312" s="18"/>
      <c r="L312" s="19"/>
      <c r="M312" s="18"/>
    </row>
    <row r="313" customFormat="false" ht="15" hidden="false" customHeight="true" outlineLevel="0" collapsed="false">
      <c r="A313" s="17"/>
      <c r="B313" s="17"/>
      <c r="C313" s="17"/>
      <c r="D313" s="17"/>
      <c r="E313" s="18"/>
      <c r="F313" s="18"/>
      <c r="G313" s="18"/>
      <c r="H313" s="17"/>
      <c r="I313" s="17"/>
      <c r="J313" s="17"/>
      <c r="K313" s="18"/>
      <c r="L313" s="19"/>
      <c r="M313" s="18"/>
    </row>
    <row r="314" customFormat="false" ht="15" hidden="false" customHeight="true" outlineLevel="0" collapsed="false">
      <c r="A314" s="17"/>
      <c r="B314" s="17"/>
      <c r="C314" s="17"/>
      <c r="D314" s="17"/>
      <c r="E314" s="18"/>
      <c r="F314" s="18"/>
      <c r="G314" s="18"/>
      <c r="H314" s="17"/>
      <c r="I314" s="17"/>
      <c r="J314" s="17"/>
      <c r="K314" s="18"/>
      <c r="L314" s="19"/>
      <c r="M314" s="18"/>
    </row>
    <row r="315" customFormat="false" ht="15" hidden="false" customHeight="true" outlineLevel="0" collapsed="false">
      <c r="A315" s="17"/>
      <c r="B315" s="17"/>
      <c r="C315" s="17"/>
      <c r="D315" s="17"/>
      <c r="E315" s="18"/>
      <c r="F315" s="18"/>
      <c r="G315" s="18"/>
      <c r="H315" s="17"/>
      <c r="I315" s="17"/>
      <c r="J315" s="17"/>
      <c r="K315" s="18"/>
      <c r="L315" s="19"/>
      <c r="M315" s="18"/>
    </row>
    <row r="316" customFormat="false" ht="15" hidden="false" customHeight="true" outlineLevel="0" collapsed="false">
      <c r="A316" s="17"/>
      <c r="B316" s="17"/>
      <c r="C316" s="17"/>
      <c r="D316" s="17"/>
      <c r="E316" s="18"/>
      <c r="F316" s="18"/>
      <c r="G316" s="18"/>
      <c r="H316" s="17"/>
      <c r="I316" s="17"/>
      <c r="J316" s="17"/>
      <c r="K316" s="18"/>
      <c r="L316" s="19"/>
      <c r="M316" s="18"/>
    </row>
    <row r="317" customFormat="false" ht="15" hidden="false" customHeight="true" outlineLevel="0" collapsed="false">
      <c r="A317" s="17"/>
      <c r="B317" s="17"/>
      <c r="C317" s="17"/>
      <c r="D317" s="17"/>
      <c r="E317" s="18"/>
      <c r="F317" s="18"/>
      <c r="G317" s="18"/>
      <c r="H317" s="17"/>
      <c r="I317" s="17"/>
      <c r="J317" s="17"/>
      <c r="K317" s="18"/>
      <c r="L317" s="19"/>
      <c r="M317" s="18"/>
    </row>
    <row r="318" customFormat="false" ht="15" hidden="false" customHeight="true" outlineLevel="0" collapsed="false">
      <c r="A318" s="17"/>
      <c r="B318" s="17"/>
      <c r="C318" s="17"/>
      <c r="D318" s="17"/>
      <c r="E318" s="18"/>
      <c r="F318" s="18"/>
      <c r="G318" s="18"/>
      <c r="H318" s="17"/>
      <c r="I318" s="17"/>
      <c r="J318" s="17"/>
      <c r="K318" s="18"/>
      <c r="L318" s="19"/>
      <c r="M318" s="18"/>
    </row>
    <row r="319" customFormat="false" ht="15" hidden="false" customHeight="true" outlineLevel="0" collapsed="false">
      <c r="A319" s="17"/>
      <c r="B319" s="17"/>
      <c r="C319" s="17"/>
      <c r="D319" s="17"/>
      <c r="E319" s="18"/>
      <c r="F319" s="18"/>
      <c r="G319" s="18"/>
      <c r="H319" s="17"/>
      <c r="I319" s="17"/>
      <c r="J319" s="17"/>
      <c r="K319" s="18"/>
      <c r="L319" s="19"/>
      <c r="M319" s="18"/>
    </row>
    <row r="320" customFormat="false" ht="15" hidden="false" customHeight="true" outlineLevel="0" collapsed="false">
      <c r="A320" s="17"/>
      <c r="B320" s="17"/>
      <c r="C320" s="17"/>
      <c r="D320" s="17"/>
      <c r="E320" s="18"/>
      <c r="F320" s="18"/>
      <c r="G320" s="18"/>
      <c r="H320" s="17"/>
      <c r="I320" s="17"/>
      <c r="J320" s="17"/>
      <c r="K320" s="18"/>
      <c r="L320" s="19"/>
      <c r="M320" s="18"/>
    </row>
    <row r="321" customFormat="false" ht="15" hidden="false" customHeight="true" outlineLevel="0" collapsed="false">
      <c r="A321" s="17"/>
      <c r="B321" s="17"/>
      <c r="C321" s="17"/>
      <c r="D321" s="17"/>
      <c r="E321" s="18"/>
      <c r="F321" s="18"/>
      <c r="G321" s="18"/>
      <c r="H321" s="17"/>
      <c r="I321" s="17"/>
      <c r="J321" s="17"/>
      <c r="K321" s="18"/>
      <c r="L321" s="19"/>
      <c r="M321" s="18"/>
    </row>
    <row r="322" customFormat="false" ht="15" hidden="false" customHeight="true" outlineLevel="0" collapsed="false">
      <c r="A322" s="17"/>
      <c r="B322" s="17"/>
      <c r="C322" s="17"/>
      <c r="D322" s="17"/>
      <c r="E322" s="18"/>
      <c r="F322" s="18"/>
      <c r="G322" s="18"/>
      <c r="H322" s="17"/>
      <c r="I322" s="17"/>
      <c r="J322" s="17"/>
      <c r="K322" s="18"/>
      <c r="L322" s="19"/>
      <c r="M322" s="18"/>
    </row>
    <row r="323" customFormat="false" ht="15" hidden="false" customHeight="true" outlineLevel="0" collapsed="false">
      <c r="A323" s="17"/>
      <c r="B323" s="17"/>
      <c r="C323" s="17"/>
      <c r="D323" s="17"/>
      <c r="E323" s="18"/>
      <c r="F323" s="18"/>
      <c r="G323" s="18"/>
      <c r="H323" s="17"/>
      <c r="I323" s="17"/>
      <c r="J323" s="17"/>
      <c r="K323" s="18"/>
      <c r="L323" s="19"/>
      <c r="M323" s="18"/>
    </row>
    <row r="324" customFormat="false" ht="15" hidden="false" customHeight="true" outlineLevel="0" collapsed="false">
      <c r="A324" s="17"/>
      <c r="B324" s="17"/>
      <c r="C324" s="17"/>
      <c r="D324" s="17"/>
      <c r="E324" s="18"/>
      <c r="F324" s="18"/>
      <c r="G324" s="18"/>
      <c r="H324" s="17"/>
      <c r="I324" s="17"/>
      <c r="J324" s="17"/>
      <c r="K324" s="18"/>
      <c r="L324" s="19"/>
      <c r="M324" s="18"/>
    </row>
    <row r="325" customFormat="false" ht="15" hidden="false" customHeight="true" outlineLevel="0" collapsed="false">
      <c r="A325" s="17"/>
      <c r="B325" s="17"/>
      <c r="C325" s="17"/>
      <c r="D325" s="17"/>
      <c r="E325" s="18"/>
      <c r="F325" s="18"/>
      <c r="G325" s="18"/>
      <c r="H325" s="17"/>
      <c r="I325" s="17"/>
      <c r="J325" s="17"/>
      <c r="K325" s="18"/>
      <c r="L325" s="19"/>
      <c r="M325" s="18"/>
    </row>
    <row r="326" customFormat="false" ht="15" hidden="false" customHeight="true" outlineLevel="0" collapsed="false">
      <c r="A326" s="17"/>
      <c r="B326" s="17"/>
      <c r="C326" s="17"/>
      <c r="D326" s="17"/>
      <c r="E326" s="18"/>
      <c r="F326" s="18"/>
      <c r="G326" s="18"/>
      <c r="H326" s="17"/>
      <c r="I326" s="17"/>
      <c r="J326" s="17"/>
      <c r="K326" s="18"/>
      <c r="L326" s="19"/>
      <c r="M326" s="18"/>
    </row>
    <row r="327" customFormat="false" ht="15" hidden="false" customHeight="true" outlineLevel="0" collapsed="false">
      <c r="A327" s="17"/>
      <c r="B327" s="17"/>
      <c r="C327" s="17"/>
      <c r="D327" s="17"/>
      <c r="E327" s="18"/>
      <c r="F327" s="18"/>
      <c r="G327" s="18"/>
      <c r="H327" s="17"/>
      <c r="I327" s="17"/>
      <c r="J327" s="17"/>
      <c r="K327" s="18"/>
      <c r="L327" s="19"/>
      <c r="M327" s="18"/>
    </row>
    <row r="328" customFormat="false" ht="15" hidden="false" customHeight="true" outlineLevel="0" collapsed="false">
      <c r="A328" s="17"/>
      <c r="B328" s="17"/>
      <c r="C328" s="17"/>
      <c r="D328" s="17"/>
      <c r="E328" s="18"/>
      <c r="F328" s="18"/>
      <c r="G328" s="18"/>
      <c r="H328" s="17"/>
      <c r="I328" s="17"/>
      <c r="J328" s="17"/>
      <c r="K328" s="18"/>
      <c r="L328" s="19"/>
      <c r="M328" s="18"/>
    </row>
    <row r="329" customFormat="false" ht="15" hidden="false" customHeight="true" outlineLevel="0" collapsed="false">
      <c r="A329" s="17"/>
      <c r="B329" s="17"/>
      <c r="C329" s="17"/>
      <c r="D329" s="17"/>
      <c r="E329" s="18"/>
      <c r="F329" s="18"/>
      <c r="G329" s="18"/>
      <c r="H329" s="17"/>
      <c r="I329" s="17"/>
      <c r="J329" s="17"/>
      <c r="K329" s="18"/>
      <c r="L329" s="19"/>
      <c r="M329" s="18"/>
    </row>
    <row r="330" customFormat="false" ht="15" hidden="false" customHeight="true" outlineLevel="0" collapsed="false">
      <c r="A330" s="17"/>
      <c r="B330" s="17"/>
      <c r="C330" s="17"/>
      <c r="D330" s="17"/>
      <c r="E330" s="18"/>
      <c r="F330" s="18"/>
      <c r="G330" s="18"/>
      <c r="H330" s="17"/>
      <c r="I330" s="17"/>
      <c r="J330" s="17"/>
      <c r="K330" s="18"/>
      <c r="L330" s="19"/>
      <c r="M330" s="18"/>
    </row>
    <row r="331" customFormat="false" ht="15" hidden="false" customHeight="true" outlineLevel="0" collapsed="false">
      <c r="A331" s="17"/>
      <c r="B331" s="17"/>
      <c r="C331" s="17"/>
      <c r="D331" s="17"/>
      <c r="E331" s="18"/>
      <c r="F331" s="18"/>
      <c r="G331" s="18"/>
      <c r="H331" s="17"/>
      <c r="I331" s="17"/>
      <c r="J331" s="17"/>
      <c r="K331" s="18"/>
      <c r="L331" s="19"/>
      <c r="M331" s="18"/>
    </row>
    <row r="332" customFormat="false" ht="15" hidden="false" customHeight="true" outlineLevel="0" collapsed="false">
      <c r="A332" s="17"/>
      <c r="B332" s="17"/>
      <c r="C332" s="17"/>
      <c r="D332" s="17"/>
      <c r="E332" s="18"/>
      <c r="F332" s="18"/>
      <c r="G332" s="18"/>
      <c r="H332" s="17"/>
      <c r="I332" s="17"/>
      <c r="J332" s="17"/>
      <c r="K332" s="18"/>
      <c r="L332" s="19"/>
      <c r="M332" s="18"/>
    </row>
    <row r="333" customFormat="false" ht="15" hidden="false" customHeight="true" outlineLevel="0" collapsed="false">
      <c r="A333" s="17"/>
      <c r="B333" s="17"/>
      <c r="C333" s="17"/>
      <c r="D333" s="17"/>
      <c r="E333" s="18"/>
      <c r="F333" s="18"/>
      <c r="G333" s="18"/>
      <c r="H333" s="17"/>
      <c r="I333" s="17"/>
      <c r="J333" s="17"/>
      <c r="K333" s="18"/>
      <c r="L333" s="19"/>
      <c r="M333" s="18"/>
    </row>
    <row r="334" customFormat="false" ht="15" hidden="false" customHeight="true" outlineLevel="0" collapsed="false">
      <c r="A334" s="17"/>
      <c r="B334" s="17"/>
      <c r="C334" s="17"/>
      <c r="D334" s="17"/>
      <c r="E334" s="18"/>
      <c r="F334" s="18"/>
      <c r="G334" s="18"/>
      <c r="H334" s="17"/>
      <c r="I334" s="17"/>
      <c r="J334" s="17"/>
      <c r="K334" s="18"/>
      <c r="L334" s="19"/>
      <c r="M334" s="18"/>
    </row>
    <row r="335" customFormat="false" ht="15" hidden="false" customHeight="true" outlineLevel="0" collapsed="false">
      <c r="A335" s="17"/>
      <c r="B335" s="17"/>
      <c r="C335" s="17"/>
      <c r="D335" s="17"/>
      <c r="E335" s="18"/>
      <c r="F335" s="18"/>
      <c r="G335" s="18"/>
      <c r="H335" s="17"/>
      <c r="I335" s="17"/>
      <c r="J335" s="17"/>
      <c r="K335" s="18"/>
      <c r="L335" s="19"/>
      <c r="M335" s="18"/>
    </row>
    <row r="336" customFormat="false" ht="15" hidden="false" customHeight="true" outlineLevel="0" collapsed="false">
      <c r="A336" s="17"/>
      <c r="B336" s="17"/>
      <c r="C336" s="17"/>
      <c r="D336" s="17"/>
      <c r="E336" s="18"/>
      <c r="F336" s="18"/>
      <c r="G336" s="18"/>
      <c r="H336" s="17"/>
      <c r="I336" s="17"/>
      <c r="J336" s="17"/>
      <c r="K336" s="18"/>
      <c r="L336" s="19"/>
      <c r="M336" s="18"/>
    </row>
    <row r="337" customFormat="false" ht="15" hidden="false" customHeight="true" outlineLevel="0" collapsed="false">
      <c r="A337" s="17"/>
      <c r="B337" s="17"/>
      <c r="C337" s="17"/>
      <c r="D337" s="17"/>
      <c r="E337" s="18"/>
      <c r="F337" s="18"/>
      <c r="G337" s="18"/>
      <c r="H337" s="17"/>
      <c r="I337" s="17"/>
      <c r="J337" s="17"/>
      <c r="K337" s="18"/>
      <c r="L337" s="19"/>
      <c r="M337" s="18"/>
    </row>
    <row r="338" customFormat="false" ht="15" hidden="false" customHeight="true" outlineLevel="0" collapsed="false">
      <c r="A338" s="17"/>
      <c r="B338" s="17"/>
      <c r="C338" s="17"/>
      <c r="D338" s="17"/>
      <c r="E338" s="18"/>
      <c r="F338" s="18"/>
      <c r="G338" s="18"/>
      <c r="H338" s="17"/>
      <c r="I338" s="17"/>
      <c r="J338" s="17"/>
      <c r="K338" s="18"/>
      <c r="L338" s="19"/>
      <c r="M338" s="18"/>
    </row>
    <row r="339" customFormat="false" ht="15" hidden="false" customHeight="true" outlineLevel="0" collapsed="false">
      <c r="A339" s="17"/>
      <c r="B339" s="17"/>
      <c r="C339" s="17"/>
      <c r="D339" s="17"/>
      <c r="E339" s="18"/>
      <c r="F339" s="18"/>
      <c r="G339" s="18"/>
      <c r="H339" s="17"/>
      <c r="I339" s="17"/>
      <c r="J339" s="17"/>
      <c r="K339" s="18"/>
      <c r="L339" s="19"/>
      <c r="M339" s="18"/>
    </row>
    <row r="340" customFormat="false" ht="15" hidden="false" customHeight="true" outlineLevel="0" collapsed="false">
      <c r="A340" s="17"/>
      <c r="B340" s="17"/>
      <c r="C340" s="17"/>
      <c r="D340" s="17"/>
      <c r="E340" s="18"/>
      <c r="F340" s="18"/>
      <c r="G340" s="18"/>
      <c r="H340" s="17"/>
      <c r="I340" s="17"/>
      <c r="J340" s="17"/>
      <c r="K340" s="18"/>
      <c r="L340" s="19"/>
      <c r="M340" s="18"/>
    </row>
    <row r="341" customFormat="false" ht="15" hidden="false" customHeight="true" outlineLevel="0" collapsed="false">
      <c r="A341" s="17"/>
      <c r="B341" s="17"/>
      <c r="C341" s="17"/>
      <c r="D341" s="17"/>
      <c r="E341" s="18"/>
      <c r="F341" s="18"/>
      <c r="G341" s="18"/>
      <c r="H341" s="17"/>
      <c r="I341" s="17"/>
      <c r="J341" s="17"/>
      <c r="K341" s="18"/>
      <c r="L341" s="19"/>
      <c r="M341" s="18"/>
    </row>
    <row r="342" customFormat="false" ht="15" hidden="false" customHeight="true" outlineLevel="0" collapsed="false">
      <c r="A342" s="17"/>
      <c r="B342" s="17"/>
      <c r="C342" s="17"/>
      <c r="D342" s="17"/>
      <c r="E342" s="18"/>
      <c r="F342" s="18"/>
      <c r="G342" s="18"/>
      <c r="H342" s="17"/>
      <c r="I342" s="17"/>
      <c r="J342" s="17"/>
      <c r="K342" s="18"/>
      <c r="L342" s="19"/>
      <c r="M342" s="18"/>
    </row>
    <row r="343" customFormat="false" ht="15" hidden="false" customHeight="true" outlineLevel="0" collapsed="false">
      <c r="A343" s="17"/>
      <c r="B343" s="17"/>
      <c r="C343" s="17"/>
      <c r="D343" s="17"/>
      <c r="E343" s="18"/>
      <c r="F343" s="18"/>
      <c r="G343" s="18"/>
      <c r="H343" s="17"/>
      <c r="I343" s="17"/>
      <c r="J343" s="17"/>
      <c r="K343" s="18"/>
      <c r="L343" s="19"/>
      <c r="M343" s="18"/>
    </row>
    <row r="344" customFormat="false" ht="15" hidden="false" customHeight="true" outlineLevel="0" collapsed="false">
      <c r="A344" s="17"/>
      <c r="B344" s="17"/>
      <c r="C344" s="17"/>
      <c r="D344" s="17"/>
      <c r="E344" s="18"/>
      <c r="F344" s="18"/>
      <c r="G344" s="18"/>
      <c r="H344" s="17"/>
      <c r="I344" s="17"/>
      <c r="J344" s="17"/>
      <c r="K344" s="18"/>
      <c r="L344" s="19"/>
      <c r="M344" s="18"/>
    </row>
    <row r="345" customFormat="false" ht="15" hidden="false" customHeight="true" outlineLevel="0" collapsed="false">
      <c r="A345" s="17"/>
      <c r="B345" s="17"/>
      <c r="C345" s="17"/>
      <c r="D345" s="17"/>
      <c r="E345" s="18"/>
      <c r="F345" s="18"/>
      <c r="G345" s="18"/>
      <c r="H345" s="17"/>
      <c r="I345" s="17"/>
      <c r="J345" s="17"/>
      <c r="K345" s="18"/>
      <c r="L345" s="19"/>
      <c r="M345" s="18"/>
    </row>
    <row r="346" customFormat="false" ht="15" hidden="false" customHeight="true" outlineLevel="0" collapsed="false">
      <c r="A346" s="17"/>
      <c r="B346" s="17"/>
      <c r="C346" s="17"/>
      <c r="D346" s="17"/>
      <c r="E346" s="18"/>
      <c r="F346" s="18"/>
      <c r="G346" s="18"/>
      <c r="H346" s="17"/>
      <c r="I346" s="17"/>
      <c r="J346" s="17"/>
      <c r="K346" s="18"/>
      <c r="L346" s="19"/>
      <c r="M346" s="18"/>
    </row>
    <row r="347" customFormat="false" ht="15" hidden="false" customHeight="true" outlineLevel="0" collapsed="false">
      <c r="A347" s="17"/>
      <c r="B347" s="17"/>
      <c r="C347" s="17"/>
      <c r="D347" s="17"/>
      <c r="E347" s="18"/>
      <c r="F347" s="18"/>
      <c r="G347" s="18"/>
      <c r="H347" s="17"/>
      <c r="I347" s="17"/>
      <c r="J347" s="17"/>
      <c r="K347" s="18"/>
      <c r="L347" s="19"/>
      <c r="M347" s="18"/>
    </row>
    <row r="348" customFormat="false" ht="15" hidden="false" customHeight="true" outlineLevel="0" collapsed="false">
      <c r="A348" s="17"/>
      <c r="B348" s="17"/>
      <c r="C348" s="17"/>
      <c r="D348" s="17"/>
      <c r="E348" s="18"/>
      <c r="F348" s="18"/>
      <c r="G348" s="18"/>
      <c r="H348" s="17"/>
      <c r="I348" s="17"/>
      <c r="J348" s="17"/>
      <c r="K348" s="18"/>
      <c r="L348" s="19"/>
      <c r="M348" s="18"/>
    </row>
    <row r="349" customFormat="false" ht="15" hidden="false" customHeight="true" outlineLevel="0" collapsed="false">
      <c r="A349" s="17"/>
      <c r="B349" s="17"/>
      <c r="C349" s="17"/>
      <c r="D349" s="17"/>
      <c r="E349" s="18"/>
      <c r="F349" s="18"/>
      <c r="G349" s="18"/>
      <c r="H349" s="17"/>
      <c r="I349" s="17"/>
      <c r="J349" s="17"/>
      <c r="K349" s="18"/>
      <c r="L349" s="19"/>
      <c r="M349" s="18"/>
    </row>
    <row r="350" customFormat="false" ht="15" hidden="false" customHeight="true" outlineLevel="0" collapsed="false">
      <c r="A350" s="17"/>
      <c r="B350" s="17"/>
      <c r="C350" s="17"/>
      <c r="D350" s="17"/>
      <c r="E350" s="18"/>
      <c r="F350" s="18"/>
      <c r="G350" s="18"/>
      <c r="H350" s="17"/>
      <c r="I350" s="17"/>
      <c r="J350" s="17"/>
      <c r="K350" s="18"/>
      <c r="L350" s="19"/>
      <c r="M350" s="18"/>
    </row>
    <row r="351" customFormat="false" ht="15" hidden="false" customHeight="true" outlineLevel="0" collapsed="false">
      <c r="A351" s="17"/>
      <c r="B351" s="17"/>
      <c r="C351" s="17"/>
      <c r="D351" s="17"/>
      <c r="E351" s="18"/>
      <c r="F351" s="18"/>
      <c r="G351" s="18"/>
      <c r="H351" s="17"/>
      <c r="I351" s="17"/>
      <c r="J351" s="17"/>
      <c r="K351" s="18"/>
      <c r="L351" s="19"/>
      <c r="M351" s="18"/>
    </row>
    <row r="352" customFormat="false" ht="15" hidden="false" customHeight="true" outlineLevel="0" collapsed="false">
      <c r="A352" s="17"/>
      <c r="B352" s="17"/>
      <c r="C352" s="17"/>
      <c r="D352" s="17"/>
      <c r="E352" s="18"/>
      <c r="F352" s="18"/>
      <c r="G352" s="18"/>
      <c r="H352" s="17"/>
      <c r="I352" s="17"/>
      <c r="J352" s="17"/>
      <c r="K352" s="18"/>
      <c r="L352" s="19"/>
      <c r="M352" s="18"/>
    </row>
    <row r="353" customFormat="false" ht="15" hidden="false" customHeight="true" outlineLevel="0" collapsed="false">
      <c r="A353" s="17"/>
      <c r="B353" s="17"/>
      <c r="C353" s="17"/>
      <c r="D353" s="17"/>
      <c r="E353" s="18"/>
      <c r="F353" s="18"/>
      <c r="G353" s="18"/>
      <c r="H353" s="17"/>
      <c r="I353" s="17"/>
      <c r="J353" s="17"/>
      <c r="K353" s="18"/>
      <c r="L353" s="19"/>
      <c r="M353" s="18"/>
    </row>
    <row r="354" customFormat="false" ht="15" hidden="false" customHeight="true" outlineLevel="0" collapsed="false">
      <c r="A354" s="17"/>
      <c r="B354" s="17"/>
      <c r="C354" s="17"/>
      <c r="D354" s="17"/>
      <c r="E354" s="18"/>
      <c r="F354" s="18"/>
      <c r="G354" s="18"/>
      <c r="H354" s="17"/>
      <c r="I354" s="17"/>
      <c r="J354" s="17"/>
      <c r="K354" s="18"/>
      <c r="L354" s="19"/>
      <c r="M354" s="18"/>
    </row>
    <row r="355" customFormat="false" ht="15" hidden="false" customHeight="true" outlineLevel="0" collapsed="false">
      <c r="A355" s="17"/>
      <c r="B355" s="17"/>
      <c r="C355" s="17"/>
      <c r="D355" s="17"/>
      <c r="E355" s="18"/>
      <c r="F355" s="18"/>
      <c r="G355" s="18"/>
      <c r="H355" s="17"/>
      <c r="I355" s="17"/>
      <c r="J355" s="17"/>
      <c r="K355" s="18"/>
      <c r="L355" s="19"/>
      <c r="M355" s="18"/>
    </row>
    <row r="356" customFormat="false" ht="15" hidden="false" customHeight="true" outlineLevel="0" collapsed="false">
      <c r="A356" s="17"/>
      <c r="B356" s="17"/>
      <c r="C356" s="17"/>
      <c r="D356" s="17"/>
      <c r="E356" s="18"/>
      <c r="F356" s="18"/>
      <c r="G356" s="18"/>
      <c r="H356" s="17"/>
      <c r="I356" s="17"/>
      <c r="J356" s="17"/>
      <c r="K356" s="18"/>
      <c r="L356" s="19"/>
      <c r="M356" s="18"/>
    </row>
    <row r="357" customFormat="false" ht="15" hidden="false" customHeight="true" outlineLevel="0" collapsed="false">
      <c r="A357" s="17"/>
      <c r="B357" s="17"/>
      <c r="C357" s="17"/>
      <c r="D357" s="17"/>
      <c r="E357" s="18"/>
      <c r="F357" s="18"/>
      <c r="G357" s="18"/>
      <c r="H357" s="17"/>
      <c r="I357" s="17"/>
      <c r="J357" s="17"/>
      <c r="K357" s="18"/>
      <c r="L357" s="19"/>
      <c r="M357" s="18"/>
    </row>
    <row r="358" customFormat="false" ht="15" hidden="false" customHeight="true" outlineLevel="0" collapsed="false">
      <c r="A358" s="17"/>
      <c r="B358" s="17"/>
      <c r="C358" s="17"/>
      <c r="D358" s="17"/>
      <c r="E358" s="18"/>
      <c r="F358" s="18"/>
      <c r="G358" s="18"/>
      <c r="H358" s="17"/>
      <c r="I358" s="17"/>
      <c r="J358" s="17"/>
      <c r="K358" s="18"/>
      <c r="L358" s="19"/>
      <c r="M358" s="18"/>
    </row>
    <row r="359" customFormat="false" ht="15" hidden="false" customHeight="true" outlineLevel="0" collapsed="false">
      <c r="A359" s="17"/>
      <c r="B359" s="17"/>
      <c r="C359" s="17"/>
      <c r="D359" s="17"/>
      <c r="E359" s="18"/>
      <c r="F359" s="18"/>
      <c r="G359" s="18"/>
      <c r="H359" s="17"/>
      <c r="I359" s="17"/>
      <c r="J359" s="17"/>
      <c r="K359" s="18"/>
      <c r="L359" s="19"/>
      <c r="M359" s="18"/>
    </row>
    <row r="360" customFormat="false" ht="15" hidden="false" customHeight="true" outlineLevel="0" collapsed="false">
      <c r="A360" s="17"/>
      <c r="B360" s="17"/>
      <c r="C360" s="17"/>
      <c r="D360" s="17"/>
      <c r="E360" s="18"/>
      <c r="F360" s="18"/>
      <c r="G360" s="18"/>
      <c r="H360" s="17"/>
      <c r="I360" s="17"/>
      <c r="J360" s="17"/>
      <c r="K360" s="18"/>
      <c r="L360" s="19"/>
      <c r="M360" s="18"/>
    </row>
    <row r="361" customFormat="false" ht="15" hidden="false" customHeight="true" outlineLevel="0" collapsed="false">
      <c r="A361" s="17"/>
      <c r="B361" s="17"/>
      <c r="C361" s="17"/>
      <c r="D361" s="17"/>
      <c r="E361" s="18"/>
      <c r="F361" s="18"/>
      <c r="G361" s="18"/>
      <c r="H361" s="17"/>
      <c r="I361" s="17"/>
      <c r="J361" s="17"/>
      <c r="K361" s="18"/>
      <c r="L361" s="19"/>
      <c r="M361" s="18"/>
    </row>
    <row r="362" customFormat="false" ht="15" hidden="false" customHeight="true" outlineLevel="0" collapsed="false">
      <c r="A362" s="17"/>
      <c r="B362" s="17"/>
      <c r="C362" s="17"/>
      <c r="D362" s="17"/>
      <c r="E362" s="18"/>
      <c r="F362" s="18"/>
      <c r="G362" s="18"/>
      <c r="H362" s="17"/>
      <c r="I362" s="17"/>
      <c r="J362" s="17"/>
      <c r="K362" s="18"/>
      <c r="L362" s="19"/>
      <c r="M362" s="18"/>
    </row>
    <row r="363" customFormat="false" ht="15" hidden="false" customHeight="true" outlineLevel="0" collapsed="false">
      <c r="A363" s="17"/>
      <c r="B363" s="17"/>
      <c r="C363" s="17"/>
      <c r="D363" s="17"/>
      <c r="E363" s="18"/>
      <c r="F363" s="18"/>
      <c r="G363" s="18"/>
      <c r="H363" s="17"/>
      <c r="I363" s="17"/>
      <c r="J363" s="17"/>
      <c r="K363" s="18"/>
      <c r="L363" s="19"/>
      <c r="M363" s="18"/>
    </row>
    <row r="364" customFormat="false" ht="15" hidden="false" customHeight="true" outlineLevel="0" collapsed="false">
      <c r="A364" s="17"/>
      <c r="B364" s="17"/>
      <c r="C364" s="17"/>
      <c r="D364" s="17"/>
      <c r="E364" s="18"/>
      <c r="F364" s="18"/>
      <c r="G364" s="18"/>
      <c r="H364" s="17"/>
      <c r="I364" s="17"/>
      <c r="J364" s="17"/>
      <c r="K364" s="18"/>
      <c r="L364" s="19"/>
      <c r="M364" s="18"/>
    </row>
    <row r="365" customFormat="false" ht="15" hidden="false" customHeight="true" outlineLevel="0" collapsed="false">
      <c r="A365" s="17"/>
      <c r="B365" s="17"/>
      <c r="C365" s="17"/>
      <c r="D365" s="17"/>
      <c r="E365" s="18"/>
      <c r="F365" s="18"/>
      <c r="G365" s="18"/>
      <c r="H365" s="17"/>
      <c r="I365" s="17"/>
      <c r="J365" s="17"/>
      <c r="K365" s="18"/>
      <c r="L365" s="19"/>
      <c r="M365" s="18"/>
    </row>
    <row r="366" customFormat="false" ht="15" hidden="false" customHeight="true" outlineLevel="0" collapsed="false">
      <c r="A366" s="17"/>
      <c r="B366" s="17"/>
      <c r="C366" s="17"/>
      <c r="D366" s="17"/>
      <c r="E366" s="18"/>
      <c r="F366" s="18"/>
      <c r="G366" s="18"/>
      <c r="H366" s="17"/>
      <c r="I366" s="17"/>
      <c r="J366" s="17"/>
      <c r="K366" s="18"/>
      <c r="L366" s="19"/>
      <c r="M366" s="18"/>
    </row>
    <row r="367" customFormat="false" ht="15" hidden="false" customHeight="true" outlineLevel="0" collapsed="false">
      <c r="A367" s="17"/>
      <c r="B367" s="17"/>
      <c r="C367" s="17"/>
      <c r="D367" s="17"/>
      <c r="E367" s="18"/>
      <c r="F367" s="18"/>
      <c r="G367" s="18"/>
      <c r="H367" s="17"/>
      <c r="I367" s="17"/>
      <c r="J367" s="17"/>
      <c r="K367" s="18"/>
      <c r="L367" s="19"/>
      <c r="M367" s="18"/>
    </row>
    <row r="368" customFormat="false" ht="15" hidden="false" customHeight="true" outlineLevel="0" collapsed="false">
      <c r="A368" s="17"/>
      <c r="B368" s="17"/>
      <c r="C368" s="17"/>
      <c r="D368" s="17"/>
      <c r="E368" s="18"/>
      <c r="F368" s="18"/>
      <c r="G368" s="18"/>
      <c r="H368" s="17"/>
      <c r="I368" s="17"/>
      <c r="J368" s="17"/>
      <c r="K368" s="18"/>
      <c r="L368" s="19"/>
      <c r="M368" s="18"/>
    </row>
    <row r="369" customFormat="false" ht="15" hidden="false" customHeight="true" outlineLevel="0" collapsed="false">
      <c r="A369" s="17"/>
      <c r="B369" s="17"/>
      <c r="C369" s="17"/>
      <c r="D369" s="17"/>
      <c r="E369" s="18"/>
      <c r="F369" s="18"/>
      <c r="G369" s="18"/>
      <c r="H369" s="17"/>
      <c r="I369" s="17"/>
      <c r="J369" s="17"/>
      <c r="K369" s="18"/>
      <c r="L369" s="19"/>
      <c r="M369" s="18"/>
    </row>
    <row r="370" customFormat="false" ht="15" hidden="false" customHeight="true" outlineLevel="0" collapsed="false">
      <c r="A370" s="17"/>
      <c r="B370" s="17"/>
      <c r="C370" s="17"/>
      <c r="D370" s="17"/>
      <c r="E370" s="18"/>
      <c r="F370" s="18"/>
      <c r="G370" s="18"/>
      <c r="H370" s="17"/>
      <c r="I370" s="17"/>
      <c r="J370" s="17"/>
      <c r="K370" s="18"/>
      <c r="L370" s="19"/>
      <c r="M370" s="18"/>
    </row>
    <row r="371" customFormat="false" ht="15" hidden="false" customHeight="true" outlineLevel="0" collapsed="false">
      <c r="A371" s="17"/>
      <c r="B371" s="17"/>
      <c r="C371" s="17"/>
      <c r="D371" s="17"/>
      <c r="E371" s="18"/>
      <c r="F371" s="18"/>
      <c r="G371" s="18"/>
      <c r="H371" s="17"/>
      <c r="I371" s="17"/>
      <c r="J371" s="17"/>
      <c r="K371" s="18"/>
      <c r="L371" s="19"/>
      <c r="M371" s="18"/>
    </row>
    <row r="372" customFormat="false" ht="15" hidden="false" customHeight="true" outlineLevel="0" collapsed="false">
      <c r="A372" s="17"/>
      <c r="B372" s="17"/>
      <c r="C372" s="17"/>
      <c r="D372" s="17"/>
      <c r="E372" s="18"/>
      <c r="F372" s="18"/>
      <c r="G372" s="18"/>
      <c r="H372" s="17"/>
      <c r="I372" s="17"/>
      <c r="J372" s="17"/>
      <c r="K372" s="18"/>
      <c r="L372" s="19"/>
      <c r="M372" s="18"/>
    </row>
    <row r="373" customFormat="false" ht="15" hidden="false" customHeight="true" outlineLevel="0" collapsed="false">
      <c r="A373" s="17"/>
      <c r="B373" s="17"/>
      <c r="C373" s="17"/>
      <c r="D373" s="17"/>
      <c r="E373" s="18"/>
      <c r="F373" s="18"/>
      <c r="G373" s="18"/>
      <c r="H373" s="17"/>
      <c r="I373" s="17"/>
      <c r="J373" s="17"/>
      <c r="K373" s="18"/>
      <c r="L373" s="19"/>
      <c r="M373" s="18"/>
    </row>
    <row r="374" customFormat="false" ht="15" hidden="false" customHeight="true" outlineLevel="0" collapsed="false">
      <c r="A374" s="17"/>
      <c r="B374" s="17"/>
      <c r="C374" s="17"/>
      <c r="D374" s="17"/>
      <c r="E374" s="18"/>
      <c r="F374" s="18"/>
      <c r="G374" s="18"/>
      <c r="H374" s="17"/>
      <c r="I374" s="17"/>
      <c r="J374" s="17"/>
      <c r="K374" s="18"/>
      <c r="L374" s="19"/>
      <c r="M374" s="18"/>
    </row>
    <row r="375" customFormat="false" ht="15" hidden="false" customHeight="true" outlineLevel="0" collapsed="false">
      <c r="A375" s="17"/>
      <c r="B375" s="17"/>
      <c r="C375" s="17"/>
      <c r="D375" s="17"/>
      <c r="E375" s="18"/>
      <c r="F375" s="18"/>
      <c r="G375" s="18"/>
      <c r="H375" s="17"/>
      <c r="I375" s="17"/>
      <c r="J375" s="17"/>
      <c r="K375" s="18"/>
      <c r="L375" s="19"/>
      <c r="M375" s="18"/>
    </row>
    <row r="376" customFormat="false" ht="15" hidden="false" customHeight="true" outlineLevel="0" collapsed="false">
      <c r="A376" s="17"/>
      <c r="B376" s="17"/>
      <c r="C376" s="17"/>
      <c r="D376" s="17"/>
      <c r="E376" s="18"/>
      <c r="F376" s="18"/>
      <c r="G376" s="18"/>
      <c r="H376" s="17"/>
      <c r="I376" s="17"/>
      <c r="J376" s="17"/>
      <c r="K376" s="18"/>
      <c r="L376" s="19"/>
      <c r="M376" s="18"/>
    </row>
    <row r="377" customFormat="false" ht="15" hidden="false" customHeight="true" outlineLevel="0" collapsed="false">
      <c r="A377" s="17"/>
      <c r="B377" s="17"/>
      <c r="C377" s="17"/>
      <c r="D377" s="17"/>
      <c r="E377" s="18"/>
      <c r="F377" s="18"/>
      <c r="G377" s="18"/>
      <c r="H377" s="17"/>
      <c r="I377" s="17"/>
      <c r="J377" s="17"/>
      <c r="K377" s="18"/>
      <c r="L377" s="19"/>
      <c r="M377" s="18"/>
    </row>
    <row r="378" customFormat="false" ht="15" hidden="false" customHeight="true" outlineLevel="0" collapsed="false">
      <c r="A378" s="17"/>
      <c r="B378" s="17"/>
      <c r="C378" s="17"/>
      <c r="D378" s="17"/>
      <c r="E378" s="18"/>
      <c r="F378" s="18"/>
      <c r="G378" s="18"/>
      <c r="H378" s="17"/>
      <c r="I378" s="17"/>
      <c r="J378" s="17"/>
      <c r="K378" s="18"/>
      <c r="L378" s="19"/>
      <c r="M378" s="18"/>
    </row>
    <row r="379" customFormat="false" ht="15" hidden="false" customHeight="true" outlineLevel="0" collapsed="false">
      <c r="A379" s="17"/>
      <c r="B379" s="17"/>
      <c r="C379" s="17"/>
      <c r="D379" s="17"/>
      <c r="E379" s="18"/>
      <c r="F379" s="18"/>
      <c r="G379" s="18"/>
      <c r="H379" s="17"/>
      <c r="I379" s="17"/>
      <c r="J379" s="17"/>
      <c r="K379" s="18"/>
      <c r="L379" s="19"/>
      <c r="M379" s="18"/>
    </row>
    <row r="380" customFormat="false" ht="15" hidden="false" customHeight="true" outlineLevel="0" collapsed="false">
      <c r="A380" s="17"/>
      <c r="B380" s="17"/>
      <c r="C380" s="17"/>
      <c r="D380" s="17"/>
      <c r="E380" s="18"/>
      <c r="F380" s="18"/>
      <c r="G380" s="18"/>
      <c r="H380" s="17"/>
      <c r="I380" s="17"/>
      <c r="J380" s="17"/>
      <c r="K380" s="18"/>
      <c r="L380" s="19"/>
      <c r="M380" s="18"/>
    </row>
    <row r="381" customFormat="false" ht="15" hidden="false" customHeight="true" outlineLevel="0" collapsed="false">
      <c r="A381" s="17"/>
      <c r="B381" s="17"/>
      <c r="C381" s="17"/>
      <c r="D381" s="17"/>
      <c r="E381" s="18"/>
      <c r="F381" s="18"/>
      <c r="G381" s="18"/>
      <c r="H381" s="17"/>
      <c r="I381" s="17"/>
      <c r="J381" s="17"/>
      <c r="K381" s="18"/>
      <c r="L381" s="19"/>
      <c r="M381" s="18"/>
    </row>
    <row r="382" customFormat="false" ht="15" hidden="false" customHeight="true" outlineLevel="0" collapsed="false">
      <c r="A382" s="17"/>
      <c r="B382" s="17"/>
      <c r="C382" s="17"/>
      <c r="D382" s="17"/>
      <c r="E382" s="18"/>
      <c r="F382" s="18"/>
      <c r="G382" s="18"/>
      <c r="H382" s="17"/>
      <c r="I382" s="17"/>
      <c r="J382" s="17"/>
      <c r="K382" s="18"/>
      <c r="L382" s="19"/>
      <c r="M382" s="18"/>
    </row>
    <row r="383" customFormat="false" ht="15" hidden="false" customHeight="true" outlineLevel="0" collapsed="false">
      <c r="A383" s="17"/>
      <c r="B383" s="17"/>
      <c r="C383" s="17"/>
      <c r="D383" s="17"/>
      <c r="E383" s="18"/>
      <c r="F383" s="18"/>
      <c r="G383" s="18"/>
      <c r="H383" s="17"/>
      <c r="I383" s="17"/>
      <c r="J383" s="17"/>
      <c r="K383" s="18"/>
      <c r="L383" s="19"/>
      <c r="M383" s="18"/>
    </row>
    <row r="384" customFormat="false" ht="15" hidden="false" customHeight="true" outlineLevel="0" collapsed="false">
      <c r="A384" s="17"/>
      <c r="B384" s="17"/>
      <c r="C384" s="17"/>
      <c r="D384" s="17"/>
      <c r="E384" s="18"/>
      <c r="F384" s="18"/>
      <c r="G384" s="18"/>
      <c r="H384" s="17"/>
      <c r="I384" s="17"/>
      <c r="J384" s="17"/>
      <c r="K384" s="18"/>
      <c r="L384" s="19"/>
      <c r="M384" s="18"/>
    </row>
    <row r="385" customFormat="false" ht="15" hidden="false" customHeight="true" outlineLevel="0" collapsed="false">
      <c r="A385" s="17"/>
      <c r="B385" s="17"/>
      <c r="C385" s="17"/>
      <c r="D385" s="17"/>
      <c r="E385" s="18"/>
      <c r="F385" s="18"/>
      <c r="G385" s="18"/>
      <c r="H385" s="17"/>
      <c r="I385" s="17"/>
      <c r="J385" s="17"/>
      <c r="K385" s="18"/>
      <c r="L385" s="19"/>
      <c r="M385" s="18"/>
    </row>
    <row r="386" customFormat="false" ht="15" hidden="false" customHeight="true" outlineLevel="0" collapsed="false">
      <c r="A386" s="17"/>
      <c r="B386" s="17"/>
      <c r="C386" s="17"/>
      <c r="D386" s="17"/>
      <c r="E386" s="18"/>
      <c r="F386" s="18"/>
      <c r="G386" s="18"/>
      <c r="H386" s="17"/>
      <c r="I386" s="17"/>
      <c r="J386" s="17"/>
      <c r="K386" s="18"/>
      <c r="L386" s="19"/>
      <c r="M386" s="18"/>
    </row>
    <row r="387" customFormat="false" ht="15" hidden="false" customHeight="true" outlineLevel="0" collapsed="false">
      <c r="A387" s="17"/>
      <c r="B387" s="17"/>
      <c r="C387" s="17"/>
      <c r="D387" s="17"/>
      <c r="E387" s="18"/>
      <c r="F387" s="18"/>
      <c r="G387" s="18"/>
      <c r="H387" s="17"/>
      <c r="I387" s="17"/>
      <c r="J387" s="17"/>
      <c r="K387" s="18"/>
      <c r="L387" s="19"/>
      <c r="M387" s="18"/>
    </row>
    <row r="388" customFormat="false" ht="15" hidden="false" customHeight="true" outlineLevel="0" collapsed="false">
      <c r="A388" s="17"/>
      <c r="B388" s="17"/>
      <c r="C388" s="17"/>
      <c r="D388" s="17"/>
      <c r="E388" s="18"/>
      <c r="F388" s="18"/>
      <c r="G388" s="18"/>
      <c r="H388" s="17"/>
      <c r="I388" s="17"/>
      <c r="J388" s="17"/>
      <c r="K388" s="18"/>
      <c r="L388" s="19"/>
      <c r="M388" s="18"/>
    </row>
    <row r="389" customFormat="false" ht="15" hidden="false" customHeight="true" outlineLevel="0" collapsed="false">
      <c r="A389" s="17"/>
      <c r="B389" s="17"/>
      <c r="C389" s="17"/>
      <c r="D389" s="17"/>
      <c r="E389" s="18"/>
      <c r="F389" s="18"/>
      <c r="G389" s="18"/>
      <c r="H389" s="17"/>
      <c r="I389" s="17"/>
      <c r="J389" s="17"/>
      <c r="K389" s="18"/>
      <c r="L389" s="19"/>
      <c r="M389" s="18"/>
    </row>
    <row r="390" customFormat="false" ht="15" hidden="false" customHeight="true" outlineLevel="0" collapsed="false">
      <c r="A390" s="17"/>
      <c r="B390" s="17"/>
      <c r="C390" s="17"/>
      <c r="D390" s="17"/>
      <c r="E390" s="18"/>
      <c r="F390" s="18"/>
      <c r="G390" s="18"/>
      <c r="H390" s="17"/>
      <c r="I390" s="17"/>
      <c r="J390" s="17"/>
      <c r="K390" s="18"/>
      <c r="L390" s="19"/>
      <c r="M390" s="18"/>
    </row>
    <row r="391" customFormat="false" ht="15" hidden="false" customHeight="true" outlineLevel="0" collapsed="false">
      <c r="A391" s="17"/>
      <c r="B391" s="17"/>
      <c r="C391" s="17"/>
      <c r="D391" s="17"/>
      <c r="E391" s="18"/>
      <c r="F391" s="18"/>
      <c r="G391" s="18"/>
      <c r="H391" s="17"/>
      <c r="I391" s="17"/>
      <c r="J391" s="17"/>
      <c r="K391" s="18"/>
      <c r="L391" s="19"/>
      <c r="M391" s="18"/>
    </row>
    <row r="392" customFormat="false" ht="15" hidden="false" customHeight="true" outlineLevel="0" collapsed="false">
      <c r="A392" s="17"/>
      <c r="B392" s="17"/>
      <c r="C392" s="17"/>
      <c r="D392" s="17"/>
      <c r="E392" s="18"/>
      <c r="F392" s="18"/>
      <c r="G392" s="18"/>
      <c r="H392" s="17"/>
      <c r="I392" s="17"/>
      <c r="J392" s="17"/>
      <c r="K392" s="18"/>
      <c r="L392" s="19"/>
      <c r="M392" s="18"/>
    </row>
    <row r="393" customFormat="false" ht="15" hidden="false" customHeight="true" outlineLevel="0" collapsed="false">
      <c r="A393" s="17"/>
      <c r="B393" s="17"/>
      <c r="C393" s="17"/>
      <c r="D393" s="17"/>
      <c r="E393" s="18"/>
      <c r="F393" s="18"/>
      <c r="G393" s="18"/>
      <c r="H393" s="17"/>
      <c r="I393" s="17"/>
      <c r="J393" s="17"/>
      <c r="K393" s="18"/>
      <c r="L393" s="19"/>
      <c r="M393" s="18"/>
    </row>
    <row r="394" customFormat="false" ht="15" hidden="false" customHeight="true" outlineLevel="0" collapsed="false">
      <c r="A394" s="17"/>
      <c r="B394" s="17"/>
      <c r="C394" s="17"/>
      <c r="D394" s="17"/>
      <c r="E394" s="18"/>
      <c r="F394" s="18"/>
      <c r="G394" s="18"/>
      <c r="H394" s="17"/>
      <c r="I394" s="17"/>
      <c r="J394" s="17"/>
      <c r="K394" s="18"/>
      <c r="L394" s="19"/>
      <c r="M394" s="18"/>
    </row>
    <row r="395" customFormat="false" ht="15" hidden="false" customHeight="true" outlineLevel="0" collapsed="false">
      <c r="A395" s="17"/>
      <c r="B395" s="17"/>
      <c r="C395" s="17"/>
      <c r="D395" s="17"/>
      <c r="E395" s="18"/>
      <c r="F395" s="18"/>
      <c r="G395" s="18"/>
      <c r="H395" s="17"/>
      <c r="I395" s="17"/>
      <c r="J395" s="17"/>
      <c r="K395" s="18"/>
      <c r="L395" s="19"/>
      <c r="M395" s="18"/>
    </row>
    <row r="396" customFormat="false" ht="15" hidden="false" customHeight="true" outlineLevel="0" collapsed="false">
      <c r="A396" s="17"/>
      <c r="B396" s="17"/>
      <c r="C396" s="17"/>
      <c r="D396" s="17"/>
      <c r="E396" s="18"/>
      <c r="F396" s="18"/>
      <c r="G396" s="18"/>
      <c r="H396" s="17"/>
      <c r="I396" s="17"/>
      <c r="J396" s="17"/>
      <c r="K396" s="18"/>
      <c r="L396" s="19"/>
      <c r="M396" s="18"/>
    </row>
    <row r="397" customFormat="false" ht="15" hidden="false" customHeight="true" outlineLevel="0" collapsed="false">
      <c r="A397" s="17"/>
      <c r="B397" s="17"/>
      <c r="C397" s="17"/>
      <c r="D397" s="17"/>
      <c r="E397" s="18"/>
      <c r="F397" s="18"/>
      <c r="G397" s="18"/>
      <c r="H397" s="17"/>
      <c r="I397" s="17"/>
      <c r="J397" s="17"/>
      <c r="K397" s="18"/>
      <c r="L397" s="19"/>
      <c r="M397" s="18"/>
    </row>
    <row r="398" customFormat="false" ht="15" hidden="false" customHeight="true" outlineLevel="0" collapsed="false">
      <c r="A398" s="17"/>
      <c r="B398" s="17"/>
      <c r="C398" s="17"/>
      <c r="D398" s="17"/>
      <c r="E398" s="18"/>
      <c r="F398" s="18"/>
      <c r="G398" s="18"/>
      <c r="H398" s="17"/>
      <c r="I398" s="17"/>
      <c r="J398" s="17"/>
      <c r="K398" s="18"/>
      <c r="L398" s="19"/>
      <c r="M398" s="18"/>
    </row>
    <row r="399" customFormat="false" ht="15" hidden="false" customHeight="true" outlineLevel="0" collapsed="false">
      <c r="A399" s="17"/>
      <c r="B399" s="17"/>
      <c r="C399" s="17"/>
      <c r="D399" s="17"/>
      <c r="E399" s="18"/>
      <c r="F399" s="18"/>
      <c r="G399" s="18"/>
      <c r="H399" s="17"/>
      <c r="I399" s="17"/>
      <c r="J399" s="17"/>
      <c r="K399" s="18"/>
      <c r="L399" s="19"/>
      <c r="M399" s="18"/>
    </row>
    <row r="400" customFormat="false" ht="15" hidden="false" customHeight="true" outlineLevel="0" collapsed="false">
      <c r="A400" s="17"/>
      <c r="B400" s="17"/>
      <c r="C400" s="17"/>
      <c r="D400" s="17"/>
      <c r="E400" s="18"/>
      <c r="F400" s="18"/>
      <c r="G400" s="18"/>
      <c r="H400" s="17"/>
      <c r="I400" s="17"/>
      <c r="J400" s="17"/>
      <c r="K400" s="18"/>
      <c r="L400" s="19"/>
      <c r="M400" s="18"/>
    </row>
    <row r="401" customFormat="false" ht="15" hidden="false" customHeight="true" outlineLevel="0" collapsed="false">
      <c r="A401" s="17"/>
      <c r="B401" s="17"/>
      <c r="C401" s="17"/>
      <c r="D401" s="17"/>
      <c r="E401" s="18"/>
      <c r="F401" s="18"/>
      <c r="G401" s="18"/>
      <c r="H401" s="17"/>
      <c r="I401" s="17"/>
      <c r="J401" s="17"/>
      <c r="K401" s="18"/>
      <c r="L401" s="19"/>
      <c r="M401" s="18"/>
    </row>
    <row r="402" customFormat="false" ht="15" hidden="false" customHeight="true" outlineLevel="0" collapsed="false">
      <c r="A402" s="17"/>
      <c r="B402" s="17"/>
      <c r="C402" s="17"/>
      <c r="D402" s="17"/>
      <c r="E402" s="18"/>
      <c r="F402" s="18"/>
      <c r="G402" s="18"/>
      <c r="H402" s="17"/>
      <c r="I402" s="17"/>
      <c r="J402" s="17"/>
      <c r="K402" s="18"/>
      <c r="L402" s="19"/>
      <c r="M402" s="18"/>
    </row>
    <row r="403" customFormat="false" ht="15" hidden="false" customHeight="true" outlineLevel="0" collapsed="false">
      <c r="A403" s="17"/>
      <c r="B403" s="17"/>
      <c r="C403" s="17"/>
      <c r="D403" s="17"/>
      <c r="E403" s="18"/>
      <c r="F403" s="18"/>
      <c r="G403" s="18"/>
      <c r="H403" s="17"/>
      <c r="I403" s="17"/>
      <c r="J403" s="17"/>
      <c r="K403" s="18"/>
      <c r="L403" s="19"/>
      <c r="M403" s="18"/>
    </row>
    <row r="404" customFormat="false" ht="15" hidden="false" customHeight="true" outlineLevel="0" collapsed="false">
      <c r="A404" s="17"/>
      <c r="B404" s="17"/>
      <c r="C404" s="17"/>
      <c r="D404" s="17"/>
      <c r="E404" s="18"/>
      <c r="F404" s="18"/>
      <c r="G404" s="18"/>
      <c r="H404" s="17"/>
      <c r="I404" s="17"/>
      <c r="J404" s="17"/>
      <c r="K404" s="18"/>
      <c r="L404" s="19"/>
      <c r="M404" s="18"/>
    </row>
    <row r="405" customFormat="false" ht="15" hidden="false" customHeight="true" outlineLevel="0" collapsed="false">
      <c r="A405" s="17"/>
      <c r="B405" s="17"/>
      <c r="C405" s="17"/>
      <c r="D405" s="17"/>
      <c r="E405" s="18"/>
      <c r="F405" s="18"/>
      <c r="G405" s="18"/>
      <c r="H405" s="17"/>
      <c r="I405" s="17"/>
      <c r="J405" s="17"/>
      <c r="K405" s="18"/>
      <c r="L405" s="19"/>
      <c r="M405" s="18"/>
    </row>
    <row r="406" customFormat="false" ht="15" hidden="false" customHeight="true" outlineLevel="0" collapsed="false">
      <c r="A406" s="17"/>
      <c r="B406" s="17"/>
      <c r="C406" s="17"/>
      <c r="D406" s="17"/>
      <c r="E406" s="18"/>
      <c r="F406" s="18"/>
      <c r="G406" s="18"/>
      <c r="H406" s="17"/>
      <c r="I406" s="17"/>
      <c r="J406" s="17"/>
      <c r="K406" s="18"/>
      <c r="L406" s="19"/>
      <c r="M406" s="18"/>
    </row>
    <row r="407" customFormat="false" ht="15" hidden="false" customHeight="true" outlineLevel="0" collapsed="false">
      <c r="A407" s="17"/>
      <c r="B407" s="17"/>
      <c r="C407" s="17"/>
      <c r="D407" s="17"/>
      <c r="E407" s="18"/>
      <c r="F407" s="18"/>
      <c r="G407" s="18"/>
      <c r="H407" s="17"/>
      <c r="I407" s="17"/>
      <c r="J407" s="17"/>
      <c r="K407" s="18"/>
      <c r="L407" s="19"/>
      <c r="M407" s="18"/>
    </row>
    <row r="408" customFormat="false" ht="15" hidden="false" customHeight="true" outlineLevel="0" collapsed="false">
      <c r="A408" s="17"/>
      <c r="B408" s="17"/>
      <c r="C408" s="17"/>
      <c r="D408" s="17"/>
      <c r="E408" s="18"/>
      <c r="F408" s="18"/>
      <c r="G408" s="18"/>
      <c r="H408" s="17"/>
      <c r="I408" s="17"/>
      <c r="J408" s="17"/>
      <c r="K408" s="18"/>
      <c r="L408" s="19"/>
      <c r="M408" s="18"/>
    </row>
    <row r="409" customFormat="false" ht="15" hidden="false" customHeight="true" outlineLevel="0" collapsed="false">
      <c r="A409" s="17"/>
      <c r="B409" s="17"/>
      <c r="C409" s="17"/>
      <c r="D409" s="17"/>
      <c r="E409" s="18"/>
      <c r="F409" s="18"/>
      <c r="G409" s="18"/>
      <c r="H409" s="17"/>
      <c r="I409" s="17"/>
      <c r="J409" s="17"/>
      <c r="K409" s="18"/>
      <c r="L409" s="19"/>
      <c r="M409" s="18"/>
    </row>
    <row r="410" customFormat="false" ht="15" hidden="false" customHeight="true" outlineLevel="0" collapsed="false">
      <c r="A410" s="17"/>
      <c r="B410" s="17"/>
      <c r="C410" s="17"/>
      <c r="D410" s="17"/>
      <c r="E410" s="18"/>
      <c r="F410" s="18"/>
      <c r="G410" s="18"/>
      <c r="H410" s="17"/>
      <c r="I410" s="17"/>
      <c r="J410" s="17"/>
      <c r="K410" s="18"/>
      <c r="L410" s="19"/>
      <c r="M410" s="18"/>
    </row>
    <row r="411" customFormat="false" ht="15" hidden="false" customHeight="true" outlineLevel="0" collapsed="false">
      <c r="A411" s="17"/>
      <c r="B411" s="17"/>
      <c r="C411" s="17"/>
      <c r="D411" s="17"/>
      <c r="E411" s="18"/>
      <c r="F411" s="18"/>
      <c r="G411" s="18"/>
      <c r="H411" s="17"/>
      <c r="I411" s="17"/>
      <c r="J411" s="17"/>
      <c r="K411" s="18"/>
      <c r="L411" s="19"/>
      <c r="M411" s="18"/>
    </row>
    <row r="412" customFormat="false" ht="15" hidden="false" customHeight="true" outlineLevel="0" collapsed="false">
      <c r="A412" s="17"/>
      <c r="B412" s="17"/>
      <c r="C412" s="17"/>
      <c r="D412" s="17"/>
      <c r="E412" s="18"/>
      <c r="F412" s="18"/>
      <c r="G412" s="18"/>
      <c r="H412" s="17"/>
      <c r="I412" s="17"/>
      <c r="J412" s="17"/>
      <c r="K412" s="18"/>
      <c r="L412" s="19"/>
      <c r="M412" s="18"/>
    </row>
    <row r="413" customFormat="false" ht="15" hidden="false" customHeight="true" outlineLevel="0" collapsed="false">
      <c r="A413" s="17"/>
      <c r="B413" s="17"/>
      <c r="C413" s="17"/>
      <c r="D413" s="17"/>
      <c r="E413" s="18"/>
      <c r="F413" s="18"/>
      <c r="G413" s="18"/>
      <c r="H413" s="17"/>
      <c r="I413" s="17"/>
      <c r="J413" s="17"/>
      <c r="K413" s="18"/>
      <c r="L413" s="19"/>
      <c r="M413" s="18"/>
    </row>
    <row r="414" customFormat="false" ht="15" hidden="false" customHeight="true" outlineLevel="0" collapsed="false">
      <c r="A414" s="17"/>
      <c r="B414" s="17"/>
      <c r="C414" s="17"/>
      <c r="D414" s="17"/>
      <c r="E414" s="18"/>
      <c r="F414" s="18"/>
      <c r="G414" s="18"/>
      <c r="H414" s="17"/>
      <c r="I414" s="17"/>
      <c r="J414" s="17"/>
      <c r="K414" s="18"/>
      <c r="L414" s="19"/>
      <c r="M414" s="18"/>
    </row>
    <row r="415" customFormat="false" ht="15" hidden="false" customHeight="true" outlineLevel="0" collapsed="false">
      <c r="A415" s="17"/>
      <c r="B415" s="17"/>
      <c r="C415" s="17"/>
      <c r="D415" s="17"/>
      <c r="E415" s="18"/>
      <c r="F415" s="18"/>
      <c r="G415" s="18"/>
      <c r="H415" s="17"/>
      <c r="I415" s="17"/>
      <c r="J415" s="17"/>
      <c r="K415" s="18"/>
      <c r="L415" s="19"/>
      <c r="M415" s="18"/>
    </row>
    <row r="416" customFormat="false" ht="15" hidden="false" customHeight="true" outlineLevel="0" collapsed="false">
      <c r="A416" s="17"/>
      <c r="B416" s="17"/>
      <c r="C416" s="17"/>
      <c r="D416" s="17"/>
      <c r="E416" s="18"/>
      <c r="F416" s="18"/>
      <c r="G416" s="18"/>
      <c r="H416" s="17"/>
      <c r="I416" s="17"/>
      <c r="J416" s="17"/>
      <c r="K416" s="18"/>
      <c r="L416" s="19"/>
      <c r="M416" s="18"/>
    </row>
    <row r="417" customFormat="false" ht="15" hidden="false" customHeight="true" outlineLevel="0" collapsed="false">
      <c r="A417" s="17"/>
      <c r="B417" s="17"/>
      <c r="C417" s="17"/>
      <c r="D417" s="17"/>
      <c r="E417" s="18"/>
      <c r="F417" s="18"/>
      <c r="G417" s="18"/>
      <c r="H417" s="17"/>
      <c r="I417" s="17"/>
      <c r="J417" s="17"/>
      <c r="K417" s="18"/>
      <c r="L417" s="19"/>
      <c r="M417" s="18"/>
    </row>
    <row r="418" customFormat="false" ht="15" hidden="false" customHeight="true" outlineLevel="0" collapsed="false">
      <c r="A418" s="17"/>
      <c r="B418" s="17"/>
      <c r="C418" s="17"/>
      <c r="D418" s="17"/>
      <c r="E418" s="18"/>
      <c r="F418" s="18"/>
      <c r="G418" s="18"/>
      <c r="H418" s="17"/>
      <c r="I418" s="17"/>
      <c r="J418" s="17"/>
      <c r="K418" s="18"/>
      <c r="L418" s="19"/>
      <c r="M418" s="18"/>
    </row>
    <row r="419" customFormat="false" ht="15" hidden="false" customHeight="true" outlineLevel="0" collapsed="false">
      <c r="A419" s="17"/>
      <c r="B419" s="17"/>
      <c r="C419" s="17"/>
      <c r="D419" s="17"/>
      <c r="E419" s="18"/>
      <c r="F419" s="18"/>
      <c r="G419" s="18"/>
      <c r="H419" s="17"/>
      <c r="I419" s="17"/>
      <c r="J419" s="17"/>
      <c r="K419" s="18"/>
      <c r="L419" s="19"/>
      <c r="M419" s="18"/>
    </row>
    <row r="420" customFormat="false" ht="15" hidden="false" customHeight="true" outlineLevel="0" collapsed="false">
      <c r="A420" s="17"/>
      <c r="B420" s="17"/>
      <c r="C420" s="17"/>
      <c r="D420" s="17"/>
      <c r="E420" s="18"/>
      <c r="F420" s="18"/>
      <c r="G420" s="18"/>
      <c r="H420" s="17"/>
      <c r="I420" s="17"/>
      <c r="J420" s="17"/>
      <c r="K420" s="18"/>
      <c r="L420" s="19"/>
      <c r="M420" s="18"/>
    </row>
    <row r="421" customFormat="false" ht="15" hidden="false" customHeight="true" outlineLevel="0" collapsed="false">
      <c r="A421" s="17"/>
      <c r="B421" s="17"/>
      <c r="C421" s="17"/>
      <c r="D421" s="17"/>
      <c r="E421" s="18"/>
      <c r="F421" s="18"/>
      <c r="G421" s="18"/>
      <c r="H421" s="17"/>
      <c r="I421" s="17"/>
      <c r="J421" s="17"/>
      <c r="K421" s="18"/>
      <c r="L421" s="19"/>
      <c r="M421" s="18"/>
    </row>
    <row r="422" customFormat="false" ht="15" hidden="false" customHeight="true" outlineLevel="0" collapsed="false">
      <c r="A422" s="17"/>
      <c r="B422" s="17"/>
      <c r="C422" s="17"/>
      <c r="D422" s="17"/>
      <c r="E422" s="18"/>
      <c r="F422" s="18"/>
      <c r="G422" s="18"/>
      <c r="H422" s="17"/>
      <c r="I422" s="17"/>
      <c r="J422" s="17"/>
      <c r="K422" s="18"/>
      <c r="L422" s="19"/>
      <c r="M422" s="18"/>
    </row>
    <row r="423" customFormat="false" ht="15" hidden="false" customHeight="true" outlineLevel="0" collapsed="false">
      <c r="A423" s="17"/>
      <c r="B423" s="17"/>
      <c r="C423" s="17"/>
      <c r="D423" s="17"/>
      <c r="E423" s="18"/>
      <c r="F423" s="18"/>
      <c r="G423" s="18"/>
      <c r="H423" s="17"/>
      <c r="I423" s="17"/>
      <c r="J423" s="17"/>
      <c r="K423" s="18"/>
      <c r="L423" s="19"/>
      <c r="M423" s="18"/>
    </row>
    <row r="424" customFormat="false" ht="15" hidden="false" customHeight="true" outlineLevel="0" collapsed="false">
      <c r="A424" s="17"/>
      <c r="B424" s="17"/>
      <c r="C424" s="17"/>
      <c r="D424" s="17"/>
      <c r="E424" s="18"/>
      <c r="F424" s="18"/>
      <c r="G424" s="18"/>
      <c r="H424" s="17"/>
      <c r="I424" s="17"/>
      <c r="J424" s="17"/>
      <c r="K424" s="18"/>
      <c r="L424" s="19"/>
      <c r="M424" s="18"/>
    </row>
    <row r="425" customFormat="false" ht="15" hidden="false" customHeight="true" outlineLevel="0" collapsed="false">
      <c r="A425" s="17"/>
      <c r="B425" s="17"/>
      <c r="C425" s="17"/>
      <c r="D425" s="17"/>
      <c r="E425" s="18"/>
      <c r="F425" s="18"/>
      <c r="G425" s="18"/>
      <c r="H425" s="17"/>
      <c r="I425" s="17"/>
      <c r="J425" s="17"/>
      <c r="K425" s="18"/>
      <c r="L425" s="19"/>
      <c r="M425" s="18"/>
    </row>
    <row r="426" customFormat="false" ht="15" hidden="false" customHeight="true" outlineLevel="0" collapsed="false">
      <c r="A426" s="17"/>
      <c r="B426" s="17"/>
      <c r="C426" s="17"/>
      <c r="D426" s="17"/>
      <c r="E426" s="18"/>
      <c r="F426" s="18"/>
      <c r="G426" s="18"/>
      <c r="H426" s="17"/>
      <c r="I426" s="17"/>
      <c r="J426" s="17"/>
      <c r="K426" s="18"/>
      <c r="L426" s="19"/>
      <c r="M426" s="18"/>
    </row>
    <row r="427" customFormat="false" ht="15" hidden="false" customHeight="true" outlineLevel="0" collapsed="false">
      <c r="A427" s="17"/>
      <c r="B427" s="17"/>
      <c r="C427" s="17"/>
      <c r="D427" s="17"/>
      <c r="E427" s="18"/>
      <c r="F427" s="18"/>
      <c r="G427" s="18"/>
      <c r="H427" s="17"/>
      <c r="I427" s="17"/>
      <c r="J427" s="17"/>
      <c r="K427" s="18"/>
      <c r="L427" s="19"/>
      <c r="M427" s="18"/>
    </row>
    <row r="428" customFormat="false" ht="15" hidden="false" customHeight="true" outlineLevel="0" collapsed="false">
      <c r="A428" s="17"/>
      <c r="B428" s="17"/>
      <c r="C428" s="17"/>
      <c r="D428" s="17"/>
      <c r="E428" s="18"/>
      <c r="F428" s="18"/>
      <c r="G428" s="18"/>
      <c r="H428" s="17"/>
      <c r="I428" s="17"/>
      <c r="J428" s="17"/>
      <c r="K428" s="18"/>
      <c r="L428" s="19"/>
      <c r="M428" s="18"/>
    </row>
    <row r="429" customFormat="false" ht="15" hidden="false" customHeight="true" outlineLevel="0" collapsed="false">
      <c r="A429" s="17"/>
      <c r="B429" s="17"/>
      <c r="C429" s="17"/>
      <c r="D429" s="17"/>
      <c r="E429" s="18"/>
      <c r="F429" s="18"/>
      <c r="G429" s="18"/>
      <c r="H429" s="17"/>
      <c r="I429" s="17"/>
      <c r="J429" s="17"/>
      <c r="K429" s="18"/>
      <c r="L429" s="19"/>
      <c r="M429" s="18"/>
    </row>
    <row r="430" customFormat="false" ht="15" hidden="false" customHeight="true" outlineLevel="0" collapsed="false">
      <c r="A430" s="17"/>
      <c r="B430" s="17"/>
      <c r="C430" s="17"/>
      <c r="D430" s="17"/>
      <c r="E430" s="18"/>
      <c r="F430" s="18"/>
      <c r="G430" s="18"/>
      <c r="H430" s="17"/>
      <c r="I430" s="17"/>
      <c r="J430" s="17"/>
      <c r="K430" s="18"/>
      <c r="L430" s="19"/>
      <c r="M430" s="18"/>
    </row>
    <row r="431" customFormat="false" ht="15" hidden="false" customHeight="true" outlineLevel="0" collapsed="false">
      <c r="A431" s="17"/>
      <c r="B431" s="17"/>
      <c r="C431" s="17"/>
      <c r="D431" s="17"/>
      <c r="E431" s="18"/>
      <c r="F431" s="18"/>
      <c r="G431" s="18"/>
      <c r="H431" s="17"/>
      <c r="I431" s="17"/>
      <c r="J431" s="17"/>
      <c r="K431" s="18"/>
      <c r="L431" s="19"/>
      <c r="M431" s="18"/>
    </row>
    <row r="432" customFormat="false" ht="15" hidden="false" customHeight="true" outlineLevel="0" collapsed="false">
      <c r="A432" s="17"/>
      <c r="B432" s="17"/>
      <c r="C432" s="17"/>
      <c r="D432" s="17"/>
      <c r="E432" s="18"/>
      <c r="F432" s="18"/>
      <c r="G432" s="18"/>
      <c r="H432" s="17"/>
      <c r="I432" s="17"/>
      <c r="J432" s="17"/>
      <c r="K432" s="18"/>
      <c r="L432" s="19"/>
      <c r="M432" s="18"/>
    </row>
    <row r="433" customFormat="false" ht="15" hidden="false" customHeight="true" outlineLevel="0" collapsed="false">
      <c r="A433" s="17"/>
      <c r="B433" s="17"/>
      <c r="C433" s="17"/>
      <c r="D433" s="17"/>
      <c r="E433" s="18"/>
      <c r="F433" s="18"/>
      <c r="G433" s="18"/>
      <c r="H433" s="17"/>
      <c r="I433" s="17"/>
      <c r="J433" s="17"/>
      <c r="K433" s="18"/>
      <c r="L433" s="19"/>
      <c r="M433" s="18"/>
    </row>
    <row r="434" customFormat="false" ht="15" hidden="false" customHeight="true" outlineLevel="0" collapsed="false">
      <c r="A434" s="17"/>
      <c r="B434" s="17"/>
      <c r="C434" s="17"/>
      <c r="D434" s="17"/>
      <c r="E434" s="18"/>
      <c r="F434" s="18"/>
      <c r="G434" s="18"/>
      <c r="H434" s="17"/>
      <c r="I434" s="17"/>
      <c r="J434" s="17"/>
      <c r="K434" s="18"/>
      <c r="L434" s="19"/>
      <c r="M434" s="18"/>
    </row>
    <row r="435" customFormat="false" ht="15" hidden="false" customHeight="true" outlineLevel="0" collapsed="false">
      <c r="A435" s="17"/>
      <c r="B435" s="17"/>
      <c r="C435" s="17"/>
      <c r="D435" s="17"/>
      <c r="E435" s="18"/>
      <c r="F435" s="18"/>
      <c r="G435" s="18"/>
      <c r="H435" s="17"/>
      <c r="I435" s="17"/>
      <c r="J435" s="17"/>
      <c r="K435" s="18"/>
      <c r="L435" s="19"/>
      <c r="M435" s="18"/>
    </row>
    <row r="436" customFormat="false" ht="15" hidden="false" customHeight="true" outlineLevel="0" collapsed="false">
      <c r="A436" s="17"/>
      <c r="B436" s="17"/>
      <c r="C436" s="17"/>
      <c r="D436" s="17"/>
      <c r="E436" s="18"/>
      <c r="F436" s="18"/>
      <c r="G436" s="18"/>
      <c r="H436" s="17"/>
      <c r="I436" s="17"/>
      <c r="J436" s="17"/>
      <c r="K436" s="18"/>
      <c r="L436" s="19"/>
      <c r="M436" s="18"/>
    </row>
    <row r="437" customFormat="false" ht="15" hidden="false" customHeight="true" outlineLevel="0" collapsed="false">
      <c r="A437" s="17"/>
      <c r="B437" s="17"/>
      <c r="C437" s="17"/>
      <c r="D437" s="17"/>
      <c r="E437" s="18"/>
      <c r="F437" s="18"/>
      <c r="G437" s="18"/>
      <c r="H437" s="17"/>
      <c r="I437" s="17"/>
      <c r="J437" s="17"/>
      <c r="K437" s="18"/>
      <c r="L437" s="19"/>
      <c r="M437" s="18"/>
    </row>
    <row r="438" customFormat="false" ht="15" hidden="false" customHeight="true" outlineLevel="0" collapsed="false">
      <c r="A438" s="17"/>
      <c r="B438" s="17"/>
      <c r="C438" s="17"/>
      <c r="D438" s="17"/>
      <c r="E438" s="18"/>
      <c r="F438" s="18"/>
      <c r="G438" s="18"/>
      <c r="H438" s="17"/>
      <c r="I438" s="17"/>
      <c r="J438" s="17"/>
      <c r="K438" s="18"/>
      <c r="L438" s="19"/>
      <c r="M438" s="18"/>
    </row>
    <row r="439" customFormat="false" ht="15" hidden="false" customHeight="true" outlineLevel="0" collapsed="false">
      <c r="A439" s="17"/>
      <c r="B439" s="17"/>
      <c r="C439" s="17"/>
      <c r="D439" s="17"/>
      <c r="E439" s="18"/>
      <c r="F439" s="18"/>
      <c r="G439" s="18"/>
      <c r="H439" s="17"/>
      <c r="I439" s="17"/>
      <c r="J439" s="17"/>
      <c r="K439" s="18"/>
      <c r="L439" s="19"/>
      <c r="M439" s="18"/>
    </row>
    <row r="440" customFormat="false" ht="15" hidden="false" customHeight="true" outlineLevel="0" collapsed="false">
      <c r="A440" s="17"/>
      <c r="B440" s="17"/>
      <c r="C440" s="17"/>
      <c r="D440" s="17"/>
      <c r="E440" s="18"/>
      <c r="F440" s="18"/>
      <c r="G440" s="18"/>
      <c r="H440" s="17"/>
      <c r="I440" s="17"/>
      <c r="J440" s="17"/>
      <c r="K440" s="18"/>
      <c r="L440" s="19"/>
      <c r="M440" s="18"/>
    </row>
    <row r="441" customFormat="false" ht="15" hidden="false" customHeight="true" outlineLevel="0" collapsed="false">
      <c r="A441" s="17"/>
      <c r="B441" s="17"/>
      <c r="C441" s="17"/>
      <c r="D441" s="17"/>
      <c r="E441" s="18"/>
      <c r="F441" s="18"/>
      <c r="G441" s="18"/>
      <c r="H441" s="17"/>
      <c r="I441" s="17"/>
      <c r="J441" s="17"/>
      <c r="K441" s="18"/>
      <c r="L441" s="19"/>
      <c r="M441" s="18"/>
    </row>
    <row r="442" customFormat="false" ht="15" hidden="false" customHeight="true" outlineLevel="0" collapsed="false">
      <c r="A442" s="17"/>
      <c r="B442" s="17"/>
      <c r="C442" s="17"/>
      <c r="D442" s="17"/>
      <c r="E442" s="18"/>
      <c r="F442" s="18"/>
      <c r="G442" s="18"/>
      <c r="H442" s="17"/>
      <c r="I442" s="17"/>
      <c r="J442" s="17"/>
      <c r="K442" s="18"/>
      <c r="L442" s="19"/>
      <c r="M442" s="18"/>
    </row>
    <row r="443" customFormat="false" ht="15" hidden="false" customHeight="true" outlineLevel="0" collapsed="false">
      <c r="A443" s="17"/>
      <c r="B443" s="17"/>
      <c r="C443" s="17"/>
      <c r="D443" s="17"/>
      <c r="E443" s="18"/>
      <c r="F443" s="18"/>
      <c r="G443" s="18"/>
      <c r="H443" s="17"/>
      <c r="I443" s="17"/>
      <c r="J443" s="17"/>
      <c r="K443" s="18"/>
      <c r="L443" s="19"/>
      <c r="M443" s="18"/>
    </row>
    <row r="444" customFormat="false" ht="15" hidden="false" customHeight="true" outlineLevel="0" collapsed="false">
      <c r="A444" s="17"/>
      <c r="B444" s="17"/>
      <c r="C444" s="17"/>
      <c r="D444" s="17"/>
      <c r="E444" s="18"/>
      <c r="F444" s="18"/>
      <c r="G444" s="18"/>
      <c r="H444" s="17"/>
      <c r="I444" s="17"/>
      <c r="J444" s="17"/>
      <c r="K444" s="18"/>
      <c r="L444" s="19"/>
      <c r="M444" s="18"/>
    </row>
    <row r="445" customFormat="false" ht="15" hidden="false" customHeight="true" outlineLevel="0" collapsed="false">
      <c r="A445" s="17"/>
      <c r="B445" s="17"/>
      <c r="C445" s="17"/>
      <c r="D445" s="17"/>
      <c r="E445" s="18"/>
      <c r="F445" s="18"/>
      <c r="G445" s="18"/>
      <c r="H445" s="17"/>
      <c r="I445" s="17"/>
      <c r="J445" s="17"/>
      <c r="K445" s="18"/>
      <c r="L445" s="19"/>
      <c r="M445" s="18"/>
    </row>
    <row r="446" customFormat="false" ht="15" hidden="false" customHeight="true" outlineLevel="0" collapsed="false">
      <c r="A446" s="17"/>
      <c r="B446" s="17"/>
      <c r="C446" s="17"/>
      <c r="D446" s="17"/>
      <c r="E446" s="18"/>
      <c r="F446" s="18"/>
      <c r="G446" s="18"/>
      <c r="H446" s="17"/>
      <c r="I446" s="17"/>
      <c r="J446" s="17"/>
      <c r="K446" s="18"/>
      <c r="L446" s="19"/>
      <c r="M446" s="18"/>
    </row>
    <row r="447" customFormat="false" ht="15" hidden="false" customHeight="true" outlineLevel="0" collapsed="false">
      <c r="A447" s="17"/>
      <c r="B447" s="17"/>
      <c r="C447" s="17"/>
      <c r="D447" s="17"/>
      <c r="E447" s="18"/>
      <c r="F447" s="18"/>
      <c r="G447" s="18"/>
      <c r="H447" s="17"/>
      <c r="I447" s="17"/>
      <c r="J447" s="17"/>
      <c r="K447" s="18"/>
      <c r="L447" s="19"/>
      <c r="M447" s="18"/>
    </row>
    <row r="448" customFormat="false" ht="15" hidden="false" customHeight="true" outlineLevel="0" collapsed="false">
      <c r="A448" s="17"/>
      <c r="B448" s="17"/>
      <c r="C448" s="17"/>
      <c r="D448" s="17"/>
      <c r="E448" s="18"/>
      <c r="F448" s="18"/>
      <c r="G448" s="18"/>
      <c r="H448" s="17"/>
      <c r="I448" s="17"/>
      <c r="J448" s="17"/>
      <c r="K448" s="18"/>
      <c r="L448" s="19"/>
      <c r="M448" s="18"/>
    </row>
    <row r="449" customFormat="false" ht="15" hidden="false" customHeight="true" outlineLevel="0" collapsed="false">
      <c r="A449" s="17"/>
      <c r="B449" s="17"/>
      <c r="C449" s="17"/>
      <c r="D449" s="17"/>
      <c r="E449" s="18"/>
      <c r="F449" s="18"/>
      <c r="G449" s="18"/>
      <c r="H449" s="17"/>
      <c r="I449" s="17"/>
      <c r="J449" s="17"/>
      <c r="K449" s="18"/>
      <c r="L449" s="19"/>
      <c r="M449" s="18"/>
    </row>
    <row r="450" customFormat="false" ht="15" hidden="false" customHeight="true" outlineLevel="0" collapsed="false">
      <c r="A450" s="17"/>
      <c r="B450" s="17"/>
      <c r="C450" s="17"/>
      <c r="D450" s="17"/>
      <c r="E450" s="18"/>
      <c r="F450" s="18"/>
      <c r="G450" s="18"/>
      <c r="H450" s="17"/>
      <c r="I450" s="17"/>
      <c r="J450" s="17"/>
      <c r="K450" s="18"/>
      <c r="L450" s="19"/>
      <c r="M450" s="18"/>
    </row>
    <row r="451" customFormat="false" ht="15" hidden="false" customHeight="true" outlineLevel="0" collapsed="false">
      <c r="A451" s="17"/>
      <c r="B451" s="17"/>
      <c r="C451" s="17"/>
      <c r="D451" s="17"/>
      <c r="E451" s="18"/>
      <c r="F451" s="18"/>
      <c r="G451" s="18"/>
      <c r="H451" s="17"/>
      <c r="I451" s="17"/>
      <c r="J451" s="17"/>
      <c r="K451" s="18"/>
      <c r="L451" s="19"/>
      <c r="M451" s="18"/>
    </row>
    <row r="452" customFormat="false" ht="15" hidden="false" customHeight="true" outlineLevel="0" collapsed="false">
      <c r="A452" s="17"/>
      <c r="B452" s="17"/>
      <c r="C452" s="17"/>
      <c r="D452" s="17"/>
      <c r="E452" s="18"/>
      <c r="F452" s="18"/>
      <c r="G452" s="18"/>
      <c r="H452" s="17"/>
      <c r="I452" s="17"/>
      <c r="J452" s="17"/>
      <c r="K452" s="18"/>
      <c r="L452" s="19"/>
      <c r="M452" s="18"/>
    </row>
    <row r="453" customFormat="false" ht="15" hidden="false" customHeight="true" outlineLevel="0" collapsed="false">
      <c r="A453" s="17"/>
      <c r="B453" s="17"/>
      <c r="C453" s="17"/>
      <c r="D453" s="17"/>
      <c r="E453" s="18"/>
      <c r="F453" s="18"/>
      <c r="G453" s="18"/>
      <c r="H453" s="17"/>
      <c r="I453" s="17"/>
      <c r="J453" s="17"/>
      <c r="K453" s="18"/>
      <c r="L453" s="19"/>
      <c r="M453" s="18"/>
    </row>
    <row r="454" customFormat="false" ht="15" hidden="false" customHeight="true" outlineLevel="0" collapsed="false">
      <c r="A454" s="17"/>
      <c r="B454" s="17"/>
      <c r="C454" s="17"/>
      <c r="D454" s="17"/>
      <c r="E454" s="18"/>
      <c r="F454" s="18"/>
      <c r="G454" s="18"/>
      <c r="H454" s="17"/>
      <c r="I454" s="17"/>
      <c r="J454" s="17"/>
      <c r="K454" s="18"/>
      <c r="L454" s="19"/>
      <c r="M454" s="18"/>
    </row>
    <row r="455" customFormat="false" ht="15" hidden="false" customHeight="true" outlineLevel="0" collapsed="false">
      <c r="A455" s="17"/>
      <c r="B455" s="17"/>
      <c r="C455" s="17"/>
      <c r="D455" s="17"/>
      <c r="E455" s="18"/>
      <c r="F455" s="18"/>
      <c r="G455" s="18"/>
      <c r="H455" s="17"/>
      <c r="I455" s="17"/>
      <c r="J455" s="17"/>
      <c r="K455" s="18"/>
      <c r="L455" s="19"/>
      <c r="M455" s="18"/>
    </row>
    <row r="456" customFormat="false" ht="15" hidden="false" customHeight="true" outlineLevel="0" collapsed="false">
      <c r="A456" s="17"/>
      <c r="B456" s="17"/>
      <c r="C456" s="17"/>
      <c r="D456" s="17"/>
      <c r="E456" s="18"/>
      <c r="F456" s="18"/>
      <c r="G456" s="18"/>
      <c r="H456" s="17"/>
      <c r="I456" s="17"/>
      <c r="J456" s="17"/>
      <c r="K456" s="18"/>
      <c r="L456" s="19"/>
      <c r="M456" s="18"/>
    </row>
    <row r="457" customFormat="false" ht="15" hidden="false" customHeight="true" outlineLevel="0" collapsed="false">
      <c r="A457" s="17"/>
      <c r="B457" s="17"/>
      <c r="C457" s="17"/>
      <c r="D457" s="17"/>
      <c r="E457" s="18"/>
      <c r="F457" s="18"/>
      <c r="G457" s="18"/>
      <c r="H457" s="17"/>
      <c r="I457" s="17"/>
      <c r="J457" s="17"/>
      <c r="K457" s="18"/>
      <c r="L457" s="19"/>
      <c r="M457" s="18"/>
    </row>
    <row r="458" customFormat="false" ht="15" hidden="false" customHeight="true" outlineLevel="0" collapsed="false">
      <c r="A458" s="17"/>
      <c r="B458" s="17"/>
      <c r="C458" s="17"/>
      <c r="D458" s="17"/>
      <c r="E458" s="18"/>
      <c r="F458" s="18"/>
      <c r="G458" s="18"/>
      <c r="H458" s="17"/>
      <c r="I458" s="17"/>
      <c r="J458" s="17"/>
      <c r="K458" s="18"/>
      <c r="L458" s="19"/>
      <c r="M458" s="18"/>
    </row>
    <row r="459" customFormat="false" ht="15" hidden="false" customHeight="true" outlineLevel="0" collapsed="false">
      <c r="A459" s="17"/>
      <c r="B459" s="17"/>
      <c r="C459" s="17"/>
      <c r="D459" s="17"/>
      <c r="E459" s="18"/>
      <c r="F459" s="18"/>
      <c r="G459" s="18"/>
      <c r="H459" s="17"/>
      <c r="I459" s="17"/>
      <c r="J459" s="17"/>
      <c r="K459" s="18"/>
      <c r="L459" s="19"/>
      <c r="M459" s="18"/>
    </row>
    <row r="460" customFormat="false" ht="15" hidden="false" customHeight="true" outlineLevel="0" collapsed="false">
      <c r="A460" s="17"/>
      <c r="B460" s="17"/>
      <c r="C460" s="17"/>
      <c r="D460" s="17"/>
      <c r="E460" s="18"/>
      <c r="F460" s="18"/>
      <c r="G460" s="18"/>
      <c r="H460" s="17"/>
      <c r="I460" s="17"/>
      <c r="J460" s="17"/>
      <c r="K460" s="18"/>
      <c r="L460" s="19"/>
      <c r="M460" s="18"/>
    </row>
    <row r="461" customFormat="false" ht="15" hidden="false" customHeight="true" outlineLevel="0" collapsed="false">
      <c r="A461" s="17"/>
      <c r="B461" s="17"/>
      <c r="C461" s="17"/>
      <c r="D461" s="17"/>
      <c r="E461" s="18"/>
      <c r="F461" s="18"/>
      <c r="G461" s="18"/>
      <c r="H461" s="17"/>
      <c r="I461" s="17"/>
      <c r="J461" s="17"/>
      <c r="K461" s="18"/>
      <c r="L461" s="19"/>
      <c r="M461" s="18"/>
    </row>
    <row r="462" customFormat="false" ht="15" hidden="false" customHeight="true" outlineLevel="0" collapsed="false">
      <c r="A462" s="17"/>
      <c r="B462" s="17"/>
      <c r="C462" s="17"/>
      <c r="D462" s="17"/>
      <c r="E462" s="18"/>
      <c r="F462" s="18"/>
      <c r="G462" s="18"/>
      <c r="H462" s="17"/>
      <c r="I462" s="17"/>
      <c r="J462" s="17"/>
      <c r="K462" s="18"/>
      <c r="L462" s="19"/>
      <c r="M462" s="18"/>
    </row>
    <row r="463" customFormat="false" ht="15" hidden="false" customHeight="true" outlineLevel="0" collapsed="false">
      <c r="A463" s="17"/>
      <c r="B463" s="17"/>
      <c r="C463" s="17"/>
      <c r="D463" s="17"/>
      <c r="E463" s="18"/>
      <c r="F463" s="18"/>
      <c r="G463" s="18"/>
      <c r="H463" s="17"/>
      <c r="I463" s="17"/>
      <c r="J463" s="17"/>
      <c r="K463" s="18"/>
      <c r="L463" s="19"/>
      <c r="M463" s="18"/>
    </row>
    <row r="464" customFormat="false" ht="15" hidden="false" customHeight="true" outlineLevel="0" collapsed="false">
      <c r="A464" s="17"/>
      <c r="B464" s="17"/>
      <c r="C464" s="17"/>
      <c r="D464" s="17"/>
      <c r="E464" s="18"/>
      <c r="F464" s="18"/>
      <c r="G464" s="18"/>
      <c r="H464" s="17"/>
      <c r="I464" s="17"/>
      <c r="J464" s="17"/>
      <c r="K464" s="18"/>
      <c r="L464" s="19"/>
      <c r="M464" s="18"/>
    </row>
    <row r="465" customFormat="false" ht="15" hidden="false" customHeight="true" outlineLevel="0" collapsed="false">
      <c r="A465" s="17"/>
      <c r="B465" s="17"/>
      <c r="C465" s="17"/>
      <c r="D465" s="17"/>
      <c r="E465" s="18"/>
      <c r="F465" s="18"/>
      <c r="G465" s="18"/>
      <c r="H465" s="17"/>
      <c r="I465" s="17"/>
      <c r="J465" s="17"/>
      <c r="K465" s="18"/>
      <c r="L465" s="19"/>
      <c r="M465" s="18"/>
    </row>
    <row r="466" customFormat="false" ht="15" hidden="false" customHeight="true" outlineLevel="0" collapsed="false">
      <c r="A466" s="17"/>
      <c r="B466" s="17"/>
      <c r="C466" s="17"/>
      <c r="D466" s="17"/>
      <c r="E466" s="18"/>
      <c r="F466" s="18"/>
      <c r="G466" s="18"/>
      <c r="H466" s="17"/>
      <c r="I466" s="17"/>
      <c r="J466" s="17"/>
      <c r="K466" s="18"/>
      <c r="L466" s="19"/>
      <c r="M466" s="18"/>
    </row>
    <row r="467" customFormat="false" ht="15" hidden="false" customHeight="true" outlineLevel="0" collapsed="false">
      <c r="A467" s="17"/>
      <c r="B467" s="17"/>
      <c r="C467" s="17"/>
      <c r="D467" s="17"/>
      <c r="E467" s="18"/>
      <c r="F467" s="18"/>
      <c r="G467" s="18"/>
      <c r="H467" s="17"/>
      <c r="I467" s="17"/>
      <c r="J467" s="17"/>
      <c r="K467" s="18"/>
      <c r="L467" s="19"/>
      <c r="M467" s="18"/>
    </row>
    <row r="468" customFormat="false" ht="15" hidden="false" customHeight="true" outlineLevel="0" collapsed="false">
      <c r="A468" s="17"/>
      <c r="B468" s="17"/>
      <c r="C468" s="17"/>
      <c r="D468" s="17"/>
      <c r="E468" s="18"/>
      <c r="F468" s="18"/>
      <c r="G468" s="18"/>
      <c r="H468" s="17"/>
      <c r="I468" s="17"/>
      <c r="J468" s="17"/>
      <c r="K468" s="18"/>
      <c r="L468" s="19"/>
      <c r="M468" s="18"/>
    </row>
    <row r="469" customFormat="false" ht="15" hidden="false" customHeight="true" outlineLevel="0" collapsed="false">
      <c r="A469" s="17"/>
      <c r="B469" s="17"/>
      <c r="C469" s="17"/>
      <c r="D469" s="17"/>
      <c r="E469" s="18"/>
      <c r="F469" s="18"/>
      <c r="G469" s="18"/>
      <c r="H469" s="17"/>
      <c r="I469" s="17"/>
      <c r="J469" s="17"/>
      <c r="K469" s="18"/>
      <c r="L469" s="19"/>
      <c r="M469" s="18"/>
    </row>
    <row r="470" customFormat="false" ht="15" hidden="false" customHeight="true" outlineLevel="0" collapsed="false">
      <c r="A470" s="17"/>
      <c r="B470" s="17"/>
      <c r="C470" s="17"/>
      <c r="D470" s="17"/>
      <c r="E470" s="18"/>
      <c r="F470" s="18"/>
      <c r="G470" s="18"/>
      <c r="H470" s="17"/>
      <c r="I470" s="17"/>
      <c r="J470" s="17"/>
      <c r="K470" s="18"/>
      <c r="L470" s="19"/>
      <c r="M470" s="18"/>
    </row>
    <row r="471" customFormat="false" ht="15" hidden="false" customHeight="true" outlineLevel="0" collapsed="false">
      <c r="A471" s="17"/>
      <c r="B471" s="17"/>
      <c r="C471" s="17"/>
      <c r="D471" s="17"/>
      <c r="E471" s="18"/>
      <c r="F471" s="18"/>
      <c r="G471" s="18"/>
      <c r="H471" s="17"/>
      <c r="I471" s="17"/>
      <c r="J471" s="17"/>
      <c r="K471" s="18"/>
      <c r="L471" s="19"/>
      <c r="M471" s="18"/>
    </row>
    <row r="472" customFormat="false" ht="15" hidden="false" customHeight="true" outlineLevel="0" collapsed="false">
      <c r="A472" s="17"/>
      <c r="B472" s="17"/>
      <c r="C472" s="17"/>
      <c r="D472" s="17"/>
      <c r="E472" s="18"/>
      <c r="F472" s="18"/>
      <c r="G472" s="18"/>
      <c r="H472" s="17"/>
      <c r="I472" s="17"/>
      <c r="J472" s="17"/>
      <c r="K472" s="18"/>
      <c r="L472" s="19"/>
      <c r="M472" s="18"/>
    </row>
    <row r="473" customFormat="false" ht="15" hidden="false" customHeight="true" outlineLevel="0" collapsed="false">
      <c r="A473" s="17"/>
      <c r="B473" s="17"/>
      <c r="C473" s="17"/>
      <c r="D473" s="17"/>
      <c r="E473" s="18"/>
      <c r="F473" s="18"/>
      <c r="G473" s="18"/>
      <c r="H473" s="17"/>
      <c r="I473" s="17"/>
      <c r="J473" s="17"/>
      <c r="K473" s="18"/>
      <c r="L473" s="19"/>
      <c r="M473" s="18"/>
    </row>
    <row r="474" customFormat="false" ht="15" hidden="false" customHeight="true" outlineLevel="0" collapsed="false">
      <c r="A474" s="17"/>
      <c r="B474" s="17"/>
      <c r="C474" s="17"/>
      <c r="D474" s="17"/>
      <c r="E474" s="18"/>
      <c r="F474" s="18"/>
      <c r="G474" s="18"/>
      <c r="H474" s="17"/>
      <c r="I474" s="17"/>
      <c r="J474" s="17"/>
      <c r="K474" s="18"/>
      <c r="L474" s="19"/>
      <c r="M474" s="18"/>
    </row>
    <row r="475" customFormat="false" ht="15" hidden="false" customHeight="true" outlineLevel="0" collapsed="false">
      <c r="A475" s="17"/>
      <c r="B475" s="17"/>
      <c r="C475" s="17"/>
      <c r="D475" s="17"/>
      <c r="E475" s="18"/>
      <c r="F475" s="18"/>
      <c r="G475" s="18"/>
      <c r="H475" s="17"/>
      <c r="I475" s="17"/>
      <c r="J475" s="17"/>
      <c r="K475" s="18"/>
      <c r="L475" s="19"/>
      <c r="M475" s="18"/>
    </row>
    <row r="476" customFormat="false" ht="15" hidden="false" customHeight="true" outlineLevel="0" collapsed="false">
      <c r="A476" s="17"/>
      <c r="B476" s="17"/>
      <c r="C476" s="17"/>
      <c r="D476" s="17"/>
      <c r="E476" s="18"/>
      <c r="F476" s="18"/>
      <c r="G476" s="18"/>
      <c r="H476" s="17"/>
      <c r="I476" s="17"/>
      <c r="J476" s="17"/>
      <c r="K476" s="18"/>
      <c r="L476" s="19"/>
      <c r="M476" s="18"/>
    </row>
    <row r="477" customFormat="false" ht="15" hidden="false" customHeight="true" outlineLevel="0" collapsed="false">
      <c r="A477" s="17"/>
      <c r="B477" s="17"/>
      <c r="C477" s="17"/>
      <c r="D477" s="17"/>
      <c r="E477" s="18"/>
      <c r="F477" s="18"/>
      <c r="G477" s="18"/>
      <c r="H477" s="17"/>
      <c r="I477" s="17"/>
      <c r="J477" s="17"/>
      <c r="K477" s="18"/>
      <c r="L477" s="19"/>
      <c r="M477" s="18"/>
    </row>
    <row r="478" customFormat="false" ht="15" hidden="false" customHeight="true" outlineLevel="0" collapsed="false">
      <c r="A478" s="17"/>
      <c r="B478" s="17"/>
      <c r="C478" s="17"/>
      <c r="D478" s="17"/>
      <c r="E478" s="18"/>
      <c r="F478" s="18"/>
      <c r="G478" s="18"/>
      <c r="H478" s="17"/>
      <c r="I478" s="17"/>
      <c r="J478" s="17"/>
      <c r="K478" s="18"/>
      <c r="L478" s="19"/>
      <c r="M478" s="18"/>
    </row>
    <row r="479" customFormat="false" ht="15" hidden="false" customHeight="true" outlineLevel="0" collapsed="false">
      <c r="A479" s="17"/>
      <c r="B479" s="17"/>
      <c r="C479" s="17"/>
      <c r="D479" s="17"/>
      <c r="E479" s="18"/>
      <c r="F479" s="18"/>
      <c r="G479" s="18"/>
      <c r="H479" s="17"/>
      <c r="I479" s="17"/>
      <c r="J479" s="17"/>
      <c r="K479" s="18"/>
      <c r="L479" s="19"/>
      <c r="M479" s="18"/>
    </row>
    <row r="480" customFormat="false" ht="15" hidden="false" customHeight="true" outlineLevel="0" collapsed="false">
      <c r="A480" s="17"/>
      <c r="B480" s="17"/>
      <c r="C480" s="17"/>
      <c r="D480" s="17"/>
      <c r="E480" s="18"/>
      <c r="F480" s="18"/>
      <c r="G480" s="18"/>
      <c r="H480" s="17"/>
      <c r="I480" s="17"/>
      <c r="J480" s="17"/>
      <c r="K480" s="18"/>
      <c r="L480" s="19"/>
      <c r="M480" s="18"/>
    </row>
    <row r="481" customFormat="false" ht="15" hidden="false" customHeight="true" outlineLevel="0" collapsed="false">
      <c r="A481" s="17"/>
      <c r="B481" s="17"/>
      <c r="C481" s="17"/>
      <c r="D481" s="17"/>
      <c r="E481" s="18"/>
      <c r="F481" s="18"/>
      <c r="G481" s="18"/>
      <c r="H481" s="17"/>
      <c r="I481" s="17"/>
      <c r="J481" s="17"/>
      <c r="K481" s="18"/>
      <c r="L481" s="19"/>
      <c r="M481" s="18"/>
    </row>
    <row r="482" customFormat="false" ht="15" hidden="false" customHeight="true" outlineLevel="0" collapsed="false">
      <c r="A482" s="17"/>
      <c r="B482" s="17"/>
      <c r="C482" s="17"/>
      <c r="D482" s="17"/>
      <c r="E482" s="18"/>
      <c r="F482" s="18"/>
      <c r="G482" s="18"/>
      <c r="H482" s="17"/>
      <c r="I482" s="17"/>
      <c r="J482" s="17"/>
      <c r="K482" s="18"/>
      <c r="L482" s="19"/>
      <c r="M482" s="18"/>
    </row>
    <row r="483" customFormat="false" ht="15" hidden="false" customHeight="true" outlineLevel="0" collapsed="false">
      <c r="A483" s="17"/>
      <c r="B483" s="17"/>
      <c r="C483" s="17"/>
      <c r="D483" s="17"/>
      <c r="E483" s="18"/>
      <c r="F483" s="18"/>
      <c r="G483" s="18"/>
      <c r="H483" s="17"/>
      <c r="I483" s="17"/>
      <c r="J483" s="17"/>
      <c r="K483" s="18"/>
      <c r="L483" s="19"/>
      <c r="M483" s="18"/>
    </row>
    <row r="484" customFormat="false" ht="15" hidden="false" customHeight="true" outlineLevel="0" collapsed="false">
      <c r="A484" s="17"/>
      <c r="B484" s="17"/>
      <c r="C484" s="17"/>
      <c r="D484" s="17"/>
      <c r="E484" s="18"/>
      <c r="F484" s="18"/>
      <c r="G484" s="18"/>
      <c r="H484" s="17"/>
      <c r="I484" s="17"/>
      <c r="J484" s="17"/>
      <c r="K484" s="18"/>
      <c r="L484" s="19"/>
      <c r="M484" s="18"/>
    </row>
    <row r="485" customFormat="false" ht="15" hidden="false" customHeight="true" outlineLevel="0" collapsed="false">
      <c r="A485" s="17"/>
      <c r="B485" s="17"/>
      <c r="C485" s="17"/>
      <c r="D485" s="17"/>
      <c r="E485" s="18"/>
      <c r="F485" s="18"/>
      <c r="G485" s="18"/>
      <c r="H485" s="17"/>
      <c r="I485" s="17"/>
      <c r="J485" s="17"/>
      <c r="K485" s="18"/>
      <c r="L485" s="19"/>
      <c r="M485" s="18"/>
    </row>
    <row r="486" customFormat="false" ht="15" hidden="false" customHeight="true" outlineLevel="0" collapsed="false">
      <c r="A486" s="17"/>
      <c r="B486" s="17"/>
      <c r="C486" s="17"/>
      <c r="D486" s="17"/>
      <c r="E486" s="18"/>
      <c r="F486" s="18"/>
      <c r="G486" s="18"/>
      <c r="H486" s="17"/>
      <c r="I486" s="17"/>
      <c r="J486" s="17"/>
      <c r="K486" s="18"/>
      <c r="L486" s="19"/>
      <c r="M486" s="18"/>
    </row>
    <row r="487" customFormat="false" ht="15" hidden="false" customHeight="true" outlineLevel="0" collapsed="false">
      <c r="A487" s="17"/>
      <c r="B487" s="17"/>
      <c r="C487" s="17"/>
      <c r="D487" s="17"/>
      <c r="E487" s="18"/>
      <c r="F487" s="18"/>
      <c r="G487" s="18"/>
      <c r="H487" s="17"/>
      <c r="I487" s="17"/>
      <c r="J487" s="17"/>
      <c r="K487" s="18"/>
      <c r="L487" s="19"/>
      <c r="M487" s="18"/>
    </row>
    <row r="488" customFormat="false" ht="15" hidden="false" customHeight="true" outlineLevel="0" collapsed="false">
      <c r="A488" s="17"/>
      <c r="B488" s="17"/>
      <c r="C488" s="17"/>
      <c r="D488" s="17"/>
      <c r="E488" s="18"/>
      <c r="F488" s="18"/>
      <c r="G488" s="18"/>
      <c r="H488" s="17"/>
      <c r="I488" s="17"/>
      <c r="J488" s="17"/>
      <c r="K488" s="18"/>
      <c r="L488" s="19"/>
      <c r="M488" s="18"/>
    </row>
    <row r="489" customFormat="false" ht="15" hidden="false" customHeight="true" outlineLevel="0" collapsed="false">
      <c r="A489" s="17"/>
      <c r="B489" s="17"/>
      <c r="C489" s="17"/>
      <c r="D489" s="17"/>
      <c r="E489" s="18"/>
      <c r="F489" s="18"/>
      <c r="G489" s="18"/>
      <c r="H489" s="17"/>
      <c r="I489" s="17"/>
      <c r="J489" s="17"/>
      <c r="K489" s="18"/>
      <c r="L489" s="19"/>
      <c r="M489" s="18"/>
    </row>
    <row r="490" customFormat="false" ht="15" hidden="false" customHeight="true" outlineLevel="0" collapsed="false">
      <c r="A490" s="17"/>
      <c r="B490" s="17"/>
      <c r="C490" s="17"/>
      <c r="D490" s="17"/>
      <c r="E490" s="18"/>
      <c r="F490" s="18"/>
      <c r="G490" s="18"/>
      <c r="H490" s="17"/>
      <c r="I490" s="17"/>
      <c r="J490" s="17"/>
      <c r="K490" s="18"/>
      <c r="L490" s="19"/>
      <c r="M490" s="18"/>
    </row>
    <row r="491" customFormat="false" ht="15" hidden="false" customHeight="true" outlineLevel="0" collapsed="false">
      <c r="A491" s="17"/>
      <c r="B491" s="17"/>
      <c r="C491" s="17"/>
      <c r="D491" s="17"/>
      <c r="E491" s="18"/>
      <c r="F491" s="18"/>
      <c r="G491" s="18"/>
      <c r="H491" s="17"/>
      <c r="I491" s="17"/>
      <c r="J491" s="17"/>
      <c r="K491" s="18"/>
      <c r="L491" s="19"/>
      <c r="M491" s="18"/>
    </row>
    <row r="492" customFormat="false" ht="15" hidden="false" customHeight="true" outlineLevel="0" collapsed="false">
      <c r="A492" s="17"/>
      <c r="B492" s="17"/>
      <c r="C492" s="17"/>
      <c r="D492" s="17"/>
      <c r="E492" s="18"/>
      <c r="F492" s="18"/>
      <c r="G492" s="18"/>
      <c r="H492" s="17"/>
      <c r="I492" s="17"/>
      <c r="J492" s="17"/>
      <c r="K492" s="18"/>
      <c r="L492" s="19"/>
      <c r="M492" s="18"/>
    </row>
    <row r="493" customFormat="false" ht="15" hidden="false" customHeight="true" outlineLevel="0" collapsed="false">
      <c r="A493" s="17"/>
      <c r="B493" s="17"/>
      <c r="C493" s="17"/>
      <c r="D493" s="17"/>
      <c r="E493" s="18"/>
      <c r="F493" s="18"/>
      <c r="G493" s="18"/>
      <c r="H493" s="17"/>
      <c r="I493" s="17"/>
      <c r="J493" s="17"/>
      <c r="K493" s="18"/>
      <c r="L493" s="19"/>
      <c r="M493" s="18"/>
    </row>
    <row r="494" customFormat="false" ht="15" hidden="false" customHeight="true" outlineLevel="0" collapsed="false">
      <c r="A494" s="17"/>
      <c r="B494" s="17"/>
      <c r="C494" s="17"/>
      <c r="D494" s="17"/>
      <c r="E494" s="18"/>
      <c r="F494" s="18"/>
      <c r="G494" s="18"/>
      <c r="H494" s="17"/>
      <c r="I494" s="17"/>
      <c r="J494" s="17"/>
      <c r="K494" s="18"/>
      <c r="L494" s="19"/>
      <c r="M494" s="18"/>
    </row>
    <row r="495" customFormat="false" ht="15" hidden="false" customHeight="true" outlineLevel="0" collapsed="false">
      <c r="A495" s="17"/>
      <c r="B495" s="17"/>
      <c r="C495" s="17"/>
      <c r="D495" s="17"/>
      <c r="E495" s="18"/>
      <c r="F495" s="18"/>
      <c r="G495" s="18"/>
      <c r="H495" s="17"/>
      <c r="I495" s="17"/>
      <c r="J495" s="17"/>
      <c r="K495" s="18"/>
      <c r="L495" s="19"/>
      <c r="M495" s="18"/>
    </row>
    <row r="496" customFormat="false" ht="15" hidden="false" customHeight="true" outlineLevel="0" collapsed="false">
      <c r="A496" s="17"/>
      <c r="B496" s="17"/>
      <c r="C496" s="17"/>
      <c r="D496" s="17"/>
      <c r="E496" s="18"/>
      <c r="F496" s="18"/>
      <c r="G496" s="18"/>
      <c r="H496" s="17"/>
      <c r="I496" s="17"/>
      <c r="J496" s="17"/>
      <c r="K496" s="18"/>
      <c r="L496" s="19"/>
      <c r="M496" s="18"/>
    </row>
    <row r="497" customFormat="false" ht="15" hidden="false" customHeight="true" outlineLevel="0" collapsed="false">
      <c r="A497" s="17"/>
      <c r="B497" s="17"/>
      <c r="C497" s="17"/>
      <c r="D497" s="17"/>
      <c r="E497" s="18"/>
      <c r="F497" s="18"/>
      <c r="G497" s="18"/>
      <c r="H497" s="17"/>
      <c r="I497" s="17"/>
      <c r="J497" s="17"/>
      <c r="K497" s="18"/>
      <c r="L497" s="19"/>
      <c r="M497" s="18"/>
    </row>
    <row r="498" customFormat="false" ht="15" hidden="false" customHeight="true" outlineLevel="0" collapsed="false">
      <c r="A498" s="17"/>
      <c r="B498" s="17"/>
      <c r="C498" s="17"/>
      <c r="D498" s="17"/>
      <c r="E498" s="18"/>
      <c r="F498" s="18"/>
      <c r="G498" s="18"/>
      <c r="H498" s="17"/>
      <c r="I498" s="17"/>
      <c r="J498" s="17"/>
      <c r="K498" s="18"/>
      <c r="L498" s="19"/>
      <c r="M498" s="18"/>
    </row>
    <row r="499" customFormat="false" ht="15" hidden="false" customHeight="true" outlineLevel="0" collapsed="false">
      <c r="A499" s="17"/>
      <c r="B499" s="17"/>
      <c r="C499" s="17"/>
      <c r="D499" s="17"/>
      <c r="E499" s="18"/>
      <c r="F499" s="18"/>
      <c r="G499" s="18"/>
      <c r="H499" s="17"/>
      <c r="I499" s="17"/>
      <c r="J499" s="17"/>
      <c r="K499" s="18"/>
      <c r="L499" s="19"/>
      <c r="M499" s="18"/>
    </row>
    <row r="500" customFormat="false" ht="15" hidden="false" customHeight="true" outlineLevel="0" collapsed="false">
      <c r="A500" s="17"/>
      <c r="B500" s="17"/>
      <c r="C500" s="17"/>
      <c r="D500" s="17"/>
      <c r="E500" s="18"/>
      <c r="F500" s="18"/>
      <c r="G500" s="18"/>
      <c r="H500" s="17"/>
      <c r="I500" s="17"/>
      <c r="J500" s="17"/>
      <c r="K500" s="18"/>
      <c r="L500" s="19"/>
      <c r="M500" s="18"/>
    </row>
    <row r="501" customFormat="false" ht="15" hidden="false" customHeight="true" outlineLevel="0" collapsed="false">
      <c r="A501" s="17"/>
      <c r="B501" s="17"/>
      <c r="C501" s="17"/>
      <c r="D501" s="17"/>
      <c r="E501" s="18"/>
      <c r="F501" s="18"/>
      <c r="G501" s="18"/>
      <c r="H501" s="17"/>
      <c r="I501" s="17"/>
      <c r="J501" s="17"/>
      <c r="K501" s="18"/>
      <c r="L501" s="19"/>
      <c r="M501" s="18"/>
    </row>
    <row r="502" customFormat="false" ht="15" hidden="false" customHeight="true" outlineLevel="0" collapsed="false">
      <c r="A502" s="17"/>
      <c r="B502" s="17"/>
      <c r="C502" s="17"/>
      <c r="D502" s="17"/>
      <c r="E502" s="18"/>
      <c r="F502" s="18"/>
      <c r="G502" s="18"/>
      <c r="H502" s="17"/>
      <c r="I502" s="17"/>
      <c r="J502" s="17"/>
      <c r="K502" s="18"/>
      <c r="L502" s="19"/>
      <c r="M502" s="18"/>
    </row>
    <row r="503" customFormat="false" ht="15" hidden="false" customHeight="true" outlineLevel="0" collapsed="false">
      <c r="A503" s="17"/>
      <c r="B503" s="17"/>
      <c r="C503" s="17"/>
      <c r="D503" s="17"/>
      <c r="E503" s="18"/>
      <c r="F503" s="18"/>
      <c r="G503" s="18"/>
      <c r="H503" s="17"/>
      <c r="I503" s="17"/>
      <c r="J503" s="17"/>
      <c r="K503" s="18"/>
      <c r="L503" s="19"/>
      <c r="M503" s="18"/>
    </row>
    <row r="504" customFormat="false" ht="15" hidden="false" customHeight="true" outlineLevel="0" collapsed="false">
      <c r="A504" s="17"/>
      <c r="B504" s="17"/>
      <c r="C504" s="17"/>
      <c r="D504" s="17"/>
      <c r="E504" s="18"/>
      <c r="F504" s="18"/>
      <c r="G504" s="18"/>
      <c r="H504" s="17"/>
      <c r="I504" s="17"/>
      <c r="J504" s="17"/>
      <c r="K504" s="18"/>
      <c r="L504" s="19"/>
      <c r="M504" s="18"/>
    </row>
    <row r="505" customFormat="false" ht="15" hidden="false" customHeight="true" outlineLevel="0" collapsed="false">
      <c r="A505" s="17"/>
      <c r="B505" s="17"/>
      <c r="C505" s="17"/>
      <c r="D505" s="17"/>
      <c r="E505" s="18"/>
      <c r="F505" s="18"/>
      <c r="G505" s="18"/>
      <c r="H505" s="17"/>
      <c r="I505" s="17"/>
      <c r="J505" s="17"/>
      <c r="K505" s="18"/>
      <c r="L505" s="19"/>
      <c r="M505" s="18"/>
    </row>
    <row r="506" customFormat="false" ht="15" hidden="false" customHeight="true" outlineLevel="0" collapsed="false">
      <c r="A506" s="17"/>
      <c r="B506" s="17"/>
      <c r="C506" s="17"/>
      <c r="D506" s="17"/>
      <c r="E506" s="18"/>
      <c r="F506" s="18"/>
      <c r="G506" s="18"/>
      <c r="H506" s="17"/>
      <c r="I506" s="17"/>
      <c r="J506" s="17"/>
      <c r="K506" s="18"/>
      <c r="L506" s="19"/>
      <c r="M506" s="18"/>
    </row>
    <row r="507" customFormat="false" ht="15" hidden="false" customHeight="true" outlineLevel="0" collapsed="false">
      <c r="A507" s="17"/>
      <c r="B507" s="17"/>
      <c r="C507" s="17"/>
      <c r="D507" s="17"/>
      <c r="E507" s="18"/>
      <c r="F507" s="18"/>
      <c r="G507" s="18"/>
      <c r="H507" s="17"/>
      <c r="I507" s="17"/>
      <c r="J507" s="17"/>
      <c r="K507" s="18"/>
      <c r="L507" s="19"/>
      <c r="M507" s="18"/>
    </row>
    <row r="508" customFormat="false" ht="15" hidden="false" customHeight="true" outlineLevel="0" collapsed="false">
      <c r="A508" s="17"/>
      <c r="B508" s="17"/>
      <c r="C508" s="17"/>
      <c r="D508" s="17"/>
      <c r="E508" s="18"/>
      <c r="F508" s="18"/>
      <c r="G508" s="18"/>
      <c r="H508" s="17"/>
      <c r="I508" s="17"/>
      <c r="J508" s="17"/>
      <c r="K508" s="18"/>
      <c r="L508" s="19"/>
      <c r="M508" s="18"/>
    </row>
    <row r="509" customFormat="false" ht="15" hidden="false" customHeight="true" outlineLevel="0" collapsed="false">
      <c r="A509" s="17"/>
      <c r="B509" s="17"/>
      <c r="C509" s="17"/>
      <c r="D509" s="17"/>
      <c r="E509" s="18"/>
      <c r="F509" s="18"/>
      <c r="G509" s="18"/>
      <c r="H509" s="17"/>
      <c r="I509" s="17"/>
      <c r="J509" s="17"/>
      <c r="K509" s="18"/>
      <c r="L509" s="19"/>
      <c r="M509" s="18"/>
    </row>
    <row r="510" customFormat="false" ht="15" hidden="false" customHeight="true" outlineLevel="0" collapsed="false">
      <c r="A510" s="17"/>
      <c r="B510" s="17"/>
      <c r="C510" s="17"/>
      <c r="D510" s="17"/>
      <c r="E510" s="18"/>
      <c r="F510" s="18"/>
      <c r="G510" s="18"/>
      <c r="H510" s="17"/>
      <c r="I510" s="17"/>
      <c r="J510" s="17"/>
      <c r="K510" s="18"/>
      <c r="L510" s="19"/>
      <c r="M510" s="18"/>
    </row>
    <row r="511" customFormat="false" ht="15" hidden="false" customHeight="true" outlineLevel="0" collapsed="false">
      <c r="A511" s="17"/>
      <c r="B511" s="17"/>
      <c r="C511" s="17"/>
      <c r="D511" s="17"/>
      <c r="E511" s="18"/>
      <c r="F511" s="18"/>
      <c r="G511" s="18"/>
      <c r="H511" s="17"/>
      <c r="I511" s="17"/>
      <c r="J511" s="17"/>
      <c r="K511" s="18"/>
      <c r="L511" s="19"/>
      <c r="M511" s="18"/>
    </row>
    <row r="512" customFormat="false" ht="15" hidden="false" customHeight="true" outlineLevel="0" collapsed="false">
      <c r="A512" s="17"/>
      <c r="B512" s="17"/>
      <c r="C512" s="17"/>
      <c r="D512" s="17"/>
      <c r="E512" s="18"/>
      <c r="F512" s="18"/>
      <c r="G512" s="18"/>
      <c r="H512" s="17"/>
      <c r="I512" s="17"/>
      <c r="J512" s="17"/>
      <c r="K512" s="18"/>
      <c r="L512" s="19"/>
      <c r="M512" s="18"/>
    </row>
    <row r="513" customFormat="false" ht="15" hidden="false" customHeight="true" outlineLevel="0" collapsed="false">
      <c r="A513" s="17"/>
      <c r="B513" s="17"/>
      <c r="C513" s="17"/>
      <c r="D513" s="17"/>
      <c r="E513" s="18"/>
      <c r="F513" s="18"/>
      <c r="G513" s="18"/>
      <c r="H513" s="17"/>
      <c r="I513" s="17"/>
      <c r="J513" s="17"/>
      <c r="K513" s="18"/>
      <c r="L513" s="19"/>
      <c r="M513" s="18"/>
    </row>
    <row r="514" customFormat="false" ht="15" hidden="false" customHeight="true" outlineLevel="0" collapsed="false">
      <c r="A514" s="17"/>
      <c r="B514" s="17"/>
      <c r="C514" s="17"/>
      <c r="D514" s="17"/>
      <c r="E514" s="18"/>
      <c r="F514" s="18"/>
      <c r="G514" s="18"/>
      <c r="H514" s="17"/>
      <c r="I514" s="17"/>
      <c r="J514" s="17"/>
      <c r="K514" s="18"/>
      <c r="L514" s="19"/>
      <c r="M514" s="18"/>
    </row>
    <row r="515" customFormat="false" ht="15" hidden="false" customHeight="true" outlineLevel="0" collapsed="false">
      <c r="A515" s="17"/>
      <c r="B515" s="17"/>
      <c r="C515" s="17"/>
      <c r="D515" s="17"/>
      <c r="E515" s="18"/>
      <c r="F515" s="18"/>
      <c r="G515" s="18"/>
      <c r="H515" s="17"/>
      <c r="I515" s="17"/>
      <c r="J515" s="17"/>
      <c r="K515" s="18"/>
      <c r="L515" s="19"/>
      <c r="M515" s="18"/>
    </row>
    <row r="516" customFormat="false" ht="15" hidden="false" customHeight="true" outlineLevel="0" collapsed="false">
      <c r="A516" s="17"/>
      <c r="B516" s="17"/>
      <c r="C516" s="17"/>
      <c r="D516" s="17"/>
      <c r="E516" s="18"/>
      <c r="F516" s="18"/>
      <c r="G516" s="18"/>
      <c r="H516" s="17"/>
      <c r="I516" s="17"/>
      <c r="J516" s="17"/>
      <c r="K516" s="18"/>
      <c r="L516" s="19"/>
      <c r="M516" s="18"/>
    </row>
    <row r="517" customFormat="false" ht="15" hidden="false" customHeight="true" outlineLevel="0" collapsed="false">
      <c r="A517" s="17"/>
      <c r="B517" s="17"/>
      <c r="C517" s="17"/>
      <c r="D517" s="17"/>
      <c r="E517" s="18"/>
      <c r="F517" s="18"/>
      <c r="G517" s="18"/>
      <c r="H517" s="17"/>
      <c r="I517" s="17"/>
      <c r="J517" s="17"/>
      <c r="K517" s="18"/>
      <c r="L517" s="19"/>
      <c r="M517" s="18"/>
    </row>
    <row r="518" customFormat="false" ht="15" hidden="false" customHeight="true" outlineLevel="0" collapsed="false">
      <c r="A518" s="17"/>
      <c r="B518" s="17"/>
      <c r="C518" s="17"/>
      <c r="D518" s="17"/>
      <c r="E518" s="18"/>
      <c r="F518" s="18"/>
      <c r="G518" s="18"/>
      <c r="H518" s="17"/>
      <c r="I518" s="17"/>
      <c r="J518" s="17"/>
      <c r="K518" s="18"/>
      <c r="L518" s="19"/>
      <c r="M518" s="18"/>
    </row>
    <row r="519" customFormat="false" ht="15" hidden="false" customHeight="true" outlineLevel="0" collapsed="false">
      <c r="A519" s="17"/>
      <c r="B519" s="17"/>
      <c r="C519" s="17"/>
      <c r="D519" s="17"/>
      <c r="E519" s="18"/>
      <c r="F519" s="18"/>
      <c r="G519" s="18"/>
      <c r="H519" s="17"/>
      <c r="I519" s="17"/>
      <c r="J519" s="17"/>
      <c r="K519" s="18"/>
      <c r="L519" s="19"/>
      <c r="M519" s="18"/>
    </row>
    <row r="520" customFormat="false" ht="15" hidden="false" customHeight="true" outlineLevel="0" collapsed="false">
      <c r="A520" s="17"/>
      <c r="B520" s="17"/>
      <c r="C520" s="17"/>
      <c r="D520" s="17"/>
      <c r="E520" s="18"/>
      <c r="F520" s="18"/>
      <c r="G520" s="18"/>
      <c r="H520" s="17"/>
      <c r="I520" s="17"/>
      <c r="J520" s="17"/>
      <c r="K520" s="18"/>
      <c r="L520" s="19"/>
      <c r="M520" s="18"/>
    </row>
    <row r="521" customFormat="false" ht="15" hidden="false" customHeight="true" outlineLevel="0" collapsed="false">
      <c r="A521" s="17"/>
      <c r="B521" s="17"/>
      <c r="C521" s="17"/>
      <c r="D521" s="17"/>
      <c r="E521" s="18"/>
      <c r="F521" s="18"/>
      <c r="G521" s="18"/>
      <c r="H521" s="17"/>
      <c r="I521" s="17"/>
      <c r="J521" s="17"/>
      <c r="K521" s="18"/>
      <c r="L521" s="19"/>
      <c r="M521" s="18"/>
    </row>
    <row r="522" customFormat="false" ht="15" hidden="false" customHeight="true" outlineLevel="0" collapsed="false">
      <c r="A522" s="17"/>
      <c r="B522" s="17"/>
      <c r="C522" s="17"/>
      <c r="D522" s="17"/>
      <c r="E522" s="18"/>
      <c r="F522" s="18"/>
      <c r="G522" s="18"/>
      <c r="H522" s="17"/>
      <c r="I522" s="17"/>
      <c r="J522" s="17"/>
      <c r="K522" s="18"/>
      <c r="L522" s="19"/>
      <c r="M522" s="18"/>
    </row>
    <row r="523" customFormat="false" ht="15" hidden="false" customHeight="true" outlineLevel="0" collapsed="false">
      <c r="A523" s="17"/>
      <c r="B523" s="17"/>
      <c r="C523" s="17"/>
      <c r="D523" s="17"/>
      <c r="E523" s="18"/>
      <c r="F523" s="18"/>
      <c r="G523" s="18"/>
      <c r="H523" s="17"/>
      <c r="I523" s="17"/>
      <c r="J523" s="17"/>
      <c r="K523" s="18"/>
      <c r="L523" s="19"/>
      <c r="M523" s="18"/>
    </row>
    <row r="524" customFormat="false" ht="15" hidden="false" customHeight="true" outlineLevel="0" collapsed="false">
      <c r="A524" s="17"/>
      <c r="B524" s="17"/>
      <c r="C524" s="17"/>
      <c r="D524" s="17"/>
      <c r="E524" s="18"/>
      <c r="F524" s="18"/>
      <c r="G524" s="18"/>
      <c r="H524" s="17"/>
      <c r="I524" s="17"/>
      <c r="J524" s="17"/>
      <c r="K524" s="18"/>
      <c r="L524" s="19"/>
      <c r="M524" s="18"/>
    </row>
    <row r="525" customFormat="false" ht="15" hidden="false" customHeight="true" outlineLevel="0" collapsed="false">
      <c r="A525" s="17"/>
      <c r="B525" s="17"/>
      <c r="C525" s="17"/>
      <c r="D525" s="17"/>
      <c r="E525" s="18"/>
      <c r="F525" s="18"/>
      <c r="G525" s="18"/>
      <c r="H525" s="17"/>
      <c r="I525" s="17"/>
      <c r="J525" s="17"/>
      <c r="K525" s="18"/>
      <c r="L525" s="19"/>
      <c r="M525" s="18"/>
    </row>
    <row r="526" customFormat="false" ht="15" hidden="false" customHeight="true" outlineLevel="0" collapsed="false">
      <c r="A526" s="17"/>
      <c r="B526" s="17"/>
      <c r="C526" s="17"/>
      <c r="D526" s="17"/>
      <c r="E526" s="18"/>
      <c r="F526" s="18"/>
      <c r="G526" s="18"/>
      <c r="H526" s="17"/>
      <c r="I526" s="17"/>
      <c r="J526" s="17"/>
      <c r="K526" s="18"/>
      <c r="L526" s="19"/>
      <c r="M526" s="18"/>
    </row>
    <row r="527" customFormat="false" ht="15" hidden="false" customHeight="true" outlineLevel="0" collapsed="false">
      <c r="A527" s="17"/>
      <c r="B527" s="17"/>
      <c r="C527" s="17"/>
      <c r="D527" s="17"/>
      <c r="E527" s="18"/>
      <c r="F527" s="18"/>
      <c r="G527" s="18"/>
      <c r="H527" s="17"/>
      <c r="I527" s="17"/>
      <c r="J527" s="17"/>
      <c r="K527" s="18"/>
      <c r="L527" s="19"/>
      <c r="M527" s="18"/>
    </row>
    <row r="528" customFormat="false" ht="15" hidden="false" customHeight="true" outlineLevel="0" collapsed="false">
      <c r="A528" s="17"/>
      <c r="B528" s="17"/>
      <c r="C528" s="17"/>
      <c r="D528" s="17"/>
      <c r="E528" s="18"/>
      <c r="F528" s="18"/>
      <c r="G528" s="18"/>
      <c r="H528" s="17"/>
      <c r="I528" s="17"/>
      <c r="J528" s="17"/>
      <c r="K528" s="18"/>
      <c r="L528" s="19"/>
      <c r="M528" s="18"/>
    </row>
    <row r="529" customFormat="false" ht="15" hidden="false" customHeight="true" outlineLevel="0" collapsed="false">
      <c r="A529" s="17"/>
      <c r="B529" s="17"/>
      <c r="C529" s="17"/>
      <c r="D529" s="17"/>
      <c r="E529" s="18"/>
      <c r="F529" s="18"/>
      <c r="G529" s="18"/>
      <c r="H529" s="17"/>
      <c r="I529" s="17"/>
      <c r="J529" s="17"/>
      <c r="K529" s="18"/>
      <c r="L529" s="19"/>
      <c r="M529" s="18"/>
    </row>
    <row r="530" customFormat="false" ht="15" hidden="false" customHeight="true" outlineLevel="0" collapsed="false">
      <c r="A530" s="17"/>
      <c r="B530" s="17"/>
      <c r="C530" s="17"/>
      <c r="D530" s="17"/>
      <c r="E530" s="18"/>
      <c r="F530" s="18"/>
      <c r="G530" s="18"/>
      <c r="H530" s="17"/>
      <c r="I530" s="17"/>
      <c r="J530" s="17"/>
      <c r="K530" s="18"/>
      <c r="L530" s="19"/>
      <c r="M530" s="18"/>
    </row>
    <row r="531" customFormat="false" ht="15" hidden="false" customHeight="true" outlineLevel="0" collapsed="false">
      <c r="A531" s="17"/>
      <c r="B531" s="17"/>
      <c r="C531" s="17"/>
      <c r="D531" s="17"/>
      <c r="E531" s="18"/>
      <c r="F531" s="18"/>
      <c r="G531" s="18"/>
      <c r="H531" s="17"/>
      <c r="I531" s="17"/>
      <c r="J531" s="17"/>
      <c r="K531" s="18"/>
      <c r="L531" s="19"/>
      <c r="M531" s="18"/>
    </row>
    <row r="532" customFormat="false" ht="15" hidden="false" customHeight="true" outlineLevel="0" collapsed="false">
      <c r="A532" s="17"/>
      <c r="B532" s="17"/>
      <c r="C532" s="17"/>
      <c r="D532" s="17"/>
      <c r="E532" s="18"/>
      <c r="F532" s="18"/>
      <c r="G532" s="18"/>
      <c r="H532" s="17"/>
      <c r="I532" s="17"/>
      <c r="J532" s="17"/>
      <c r="K532" s="18"/>
      <c r="L532" s="19"/>
      <c r="M532" s="18"/>
    </row>
    <row r="533" customFormat="false" ht="15" hidden="false" customHeight="true" outlineLevel="0" collapsed="false">
      <c r="A533" s="17"/>
      <c r="B533" s="17"/>
      <c r="C533" s="17"/>
      <c r="D533" s="17"/>
      <c r="E533" s="18"/>
      <c r="F533" s="18"/>
      <c r="G533" s="18"/>
      <c r="H533" s="17"/>
      <c r="I533" s="17"/>
      <c r="J533" s="17"/>
      <c r="K533" s="18"/>
      <c r="L533" s="19"/>
      <c r="M533" s="18"/>
    </row>
    <row r="534" customFormat="false" ht="15" hidden="false" customHeight="true" outlineLevel="0" collapsed="false">
      <c r="A534" s="17"/>
      <c r="B534" s="17"/>
      <c r="C534" s="17"/>
      <c r="D534" s="17"/>
      <c r="E534" s="18"/>
      <c r="F534" s="18"/>
      <c r="G534" s="18"/>
      <c r="H534" s="17"/>
      <c r="I534" s="17"/>
      <c r="J534" s="17"/>
      <c r="K534" s="18"/>
      <c r="L534" s="19"/>
      <c r="M534" s="18"/>
    </row>
    <row r="535" customFormat="false" ht="15" hidden="false" customHeight="true" outlineLevel="0" collapsed="false">
      <c r="A535" s="17"/>
      <c r="B535" s="17"/>
      <c r="C535" s="17"/>
      <c r="D535" s="17"/>
      <c r="E535" s="18"/>
      <c r="F535" s="18"/>
      <c r="G535" s="18"/>
      <c r="H535" s="17"/>
      <c r="I535" s="17"/>
      <c r="J535" s="17"/>
      <c r="K535" s="18"/>
      <c r="L535" s="19"/>
      <c r="M535" s="18"/>
    </row>
    <row r="536" customFormat="false" ht="15" hidden="false" customHeight="true" outlineLevel="0" collapsed="false">
      <c r="A536" s="17"/>
      <c r="B536" s="17"/>
      <c r="C536" s="17"/>
      <c r="D536" s="17"/>
      <c r="E536" s="18"/>
      <c r="F536" s="18"/>
      <c r="G536" s="18"/>
      <c r="H536" s="17"/>
      <c r="I536" s="17"/>
      <c r="J536" s="17"/>
      <c r="K536" s="18"/>
      <c r="L536" s="19"/>
      <c r="M536" s="18"/>
    </row>
    <row r="537" customFormat="false" ht="15" hidden="false" customHeight="true" outlineLevel="0" collapsed="false">
      <c r="A537" s="17"/>
      <c r="B537" s="17"/>
      <c r="C537" s="17"/>
      <c r="D537" s="17"/>
      <c r="E537" s="18"/>
      <c r="F537" s="18"/>
      <c r="G537" s="18"/>
      <c r="H537" s="17"/>
      <c r="I537" s="17"/>
      <c r="J537" s="17"/>
      <c r="K537" s="18"/>
      <c r="L537" s="19"/>
      <c r="M537" s="18"/>
    </row>
    <row r="538" customFormat="false" ht="15" hidden="false" customHeight="true" outlineLevel="0" collapsed="false">
      <c r="A538" s="17"/>
      <c r="B538" s="17"/>
      <c r="C538" s="17"/>
      <c r="D538" s="17"/>
      <c r="E538" s="18"/>
      <c r="F538" s="18"/>
      <c r="G538" s="18"/>
      <c r="H538" s="17"/>
      <c r="I538" s="17"/>
      <c r="J538" s="17"/>
      <c r="K538" s="18"/>
      <c r="L538" s="19"/>
      <c r="M538" s="18"/>
    </row>
    <row r="539" customFormat="false" ht="15" hidden="false" customHeight="true" outlineLevel="0" collapsed="false">
      <c r="A539" s="17"/>
      <c r="B539" s="17"/>
      <c r="C539" s="17"/>
      <c r="D539" s="17"/>
      <c r="E539" s="18"/>
      <c r="F539" s="18"/>
      <c r="G539" s="18"/>
      <c r="H539" s="17"/>
      <c r="I539" s="17"/>
      <c r="J539" s="17"/>
      <c r="K539" s="18"/>
      <c r="L539" s="19"/>
      <c r="M539" s="18"/>
    </row>
    <row r="540" customFormat="false" ht="15" hidden="false" customHeight="true" outlineLevel="0" collapsed="false">
      <c r="A540" s="17"/>
      <c r="B540" s="17"/>
      <c r="C540" s="17"/>
      <c r="D540" s="17"/>
      <c r="E540" s="18"/>
      <c r="F540" s="18"/>
      <c r="G540" s="18"/>
      <c r="H540" s="17"/>
      <c r="I540" s="17"/>
      <c r="J540" s="17"/>
      <c r="K540" s="18"/>
      <c r="L540" s="19"/>
      <c r="M540" s="18"/>
    </row>
    <row r="541" customFormat="false" ht="15" hidden="false" customHeight="true" outlineLevel="0" collapsed="false">
      <c r="A541" s="17"/>
      <c r="B541" s="17"/>
      <c r="C541" s="17"/>
      <c r="D541" s="17"/>
      <c r="E541" s="18"/>
      <c r="F541" s="18"/>
      <c r="G541" s="18"/>
      <c r="H541" s="17"/>
      <c r="I541" s="17"/>
      <c r="J541" s="17"/>
      <c r="K541" s="18"/>
      <c r="L541" s="19"/>
      <c r="M541" s="18"/>
    </row>
    <row r="542" customFormat="false" ht="15" hidden="false" customHeight="true" outlineLevel="0" collapsed="false">
      <c r="A542" s="17"/>
      <c r="B542" s="17"/>
      <c r="C542" s="17"/>
      <c r="D542" s="17"/>
      <c r="E542" s="18"/>
      <c r="F542" s="18"/>
      <c r="G542" s="18"/>
      <c r="H542" s="17"/>
      <c r="I542" s="17"/>
      <c r="J542" s="17"/>
      <c r="K542" s="18"/>
      <c r="L542" s="19"/>
      <c r="M542" s="18"/>
    </row>
    <row r="543" customFormat="false" ht="15" hidden="false" customHeight="true" outlineLevel="0" collapsed="false">
      <c r="A543" s="17"/>
      <c r="B543" s="17"/>
      <c r="C543" s="17"/>
      <c r="D543" s="17"/>
      <c r="E543" s="18"/>
      <c r="F543" s="18"/>
      <c r="G543" s="18"/>
      <c r="H543" s="17"/>
      <c r="I543" s="17"/>
      <c r="J543" s="17"/>
      <c r="K543" s="18"/>
      <c r="L543" s="19"/>
      <c r="M543" s="18"/>
    </row>
    <row r="544" customFormat="false" ht="15" hidden="false" customHeight="true" outlineLevel="0" collapsed="false">
      <c r="A544" s="17"/>
      <c r="B544" s="17"/>
      <c r="C544" s="17"/>
      <c r="D544" s="17"/>
      <c r="E544" s="18"/>
      <c r="F544" s="18"/>
      <c r="G544" s="18"/>
      <c r="H544" s="17"/>
      <c r="I544" s="17"/>
      <c r="J544" s="17"/>
      <c r="K544" s="18"/>
      <c r="L544" s="19"/>
      <c r="M544" s="18"/>
    </row>
    <row r="545" customFormat="false" ht="15" hidden="false" customHeight="true" outlineLevel="0" collapsed="false">
      <c r="A545" s="17"/>
      <c r="B545" s="17"/>
      <c r="C545" s="17"/>
      <c r="D545" s="17"/>
      <c r="E545" s="18"/>
      <c r="F545" s="18"/>
      <c r="G545" s="18"/>
      <c r="H545" s="17"/>
      <c r="I545" s="17"/>
      <c r="J545" s="17"/>
      <c r="K545" s="18"/>
      <c r="L545" s="19"/>
      <c r="M545" s="18"/>
    </row>
    <row r="546" customFormat="false" ht="15" hidden="false" customHeight="true" outlineLevel="0" collapsed="false">
      <c r="A546" s="17"/>
      <c r="B546" s="17"/>
      <c r="C546" s="17"/>
      <c r="D546" s="17"/>
      <c r="E546" s="18"/>
      <c r="F546" s="18"/>
      <c r="G546" s="18"/>
      <c r="H546" s="17"/>
      <c r="I546" s="17"/>
      <c r="J546" s="17"/>
      <c r="K546" s="18"/>
      <c r="L546" s="19"/>
      <c r="M546" s="18"/>
    </row>
    <row r="547" customFormat="false" ht="15" hidden="false" customHeight="true" outlineLevel="0" collapsed="false">
      <c r="A547" s="17"/>
      <c r="B547" s="17"/>
      <c r="C547" s="17"/>
      <c r="D547" s="17"/>
      <c r="E547" s="18"/>
      <c r="F547" s="18"/>
      <c r="G547" s="18"/>
      <c r="H547" s="17"/>
      <c r="I547" s="17"/>
      <c r="J547" s="17"/>
      <c r="K547" s="18"/>
      <c r="L547" s="19"/>
      <c r="M547" s="18"/>
    </row>
    <row r="548" customFormat="false" ht="15" hidden="false" customHeight="true" outlineLevel="0" collapsed="false">
      <c r="A548" s="17"/>
      <c r="B548" s="17"/>
      <c r="C548" s="17"/>
      <c r="D548" s="17"/>
      <c r="E548" s="18"/>
      <c r="F548" s="18"/>
      <c r="G548" s="18"/>
      <c r="H548" s="17"/>
      <c r="I548" s="17"/>
      <c r="J548" s="17"/>
      <c r="K548" s="18"/>
      <c r="L548" s="19"/>
      <c r="M548" s="18"/>
    </row>
    <row r="549" customFormat="false" ht="15" hidden="false" customHeight="true" outlineLevel="0" collapsed="false">
      <c r="A549" s="17"/>
      <c r="B549" s="17"/>
      <c r="C549" s="17"/>
      <c r="D549" s="17"/>
      <c r="E549" s="18"/>
      <c r="F549" s="18"/>
      <c r="G549" s="18"/>
      <c r="H549" s="17"/>
      <c r="I549" s="17"/>
      <c r="J549" s="17"/>
      <c r="K549" s="18"/>
      <c r="L549" s="19"/>
      <c r="M549" s="18"/>
    </row>
    <row r="550" customFormat="false" ht="15" hidden="false" customHeight="true" outlineLevel="0" collapsed="false">
      <c r="A550" s="17"/>
      <c r="B550" s="17"/>
      <c r="C550" s="17"/>
      <c r="D550" s="17"/>
      <c r="E550" s="18"/>
      <c r="F550" s="18"/>
      <c r="G550" s="18"/>
      <c r="H550" s="17"/>
      <c r="I550" s="17"/>
      <c r="J550" s="17"/>
      <c r="K550" s="18"/>
      <c r="L550" s="19"/>
      <c r="M550" s="18"/>
    </row>
    <row r="551" customFormat="false" ht="15" hidden="false" customHeight="true" outlineLevel="0" collapsed="false">
      <c r="A551" s="17"/>
      <c r="B551" s="17"/>
      <c r="C551" s="17"/>
      <c r="D551" s="17"/>
      <c r="E551" s="18"/>
      <c r="F551" s="18"/>
      <c r="G551" s="18"/>
      <c r="H551" s="17"/>
      <c r="I551" s="17"/>
      <c r="J551" s="17"/>
      <c r="K551" s="18"/>
      <c r="L551" s="19"/>
      <c r="M551" s="18"/>
    </row>
    <row r="552" customFormat="false" ht="15" hidden="false" customHeight="true" outlineLevel="0" collapsed="false">
      <c r="A552" s="17"/>
      <c r="B552" s="17"/>
      <c r="C552" s="17"/>
      <c r="D552" s="17"/>
      <c r="E552" s="18"/>
      <c r="F552" s="18"/>
      <c r="G552" s="18"/>
      <c r="H552" s="17"/>
      <c r="I552" s="17"/>
      <c r="J552" s="17"/>
      <c r="K552" s="18"/>
      <c r="L552" s="19"/>
      <c r="M552" s="18"/>
    </row>
    <row r="553" customFormat="false" ht="15" hidden="false" customHeight="true" outlineLevel="0" collapsed="false">
      <c r="A553" s="17"/>
      <c r="B553" s="17"/>
      <c r="C553" s="17"/>
      <c r="D553" s="17"/>
      <c r="E553" s="18"/>
      <c r="F553" s="18"/>
      <c r="G553" s="18"/>
      <c r="H553" s="17"/>
      <c r="I553" s="17"/>
      <c r="J553" s="17"/>
      <c r="K553" s="18"/>
      <c r="L553" s="19"/>
      <c r="M553" s="18"/>
    </row>
    <row r="554" customFormat="false" ht="15" hidden="false" customHeight="true" outlineLevel="0" collapsed="false">
      <c r="A554" s="17"/>
      <c r="B554" s="17"/>
      <c r="C554" s="17"/>
      <c r="D554" s="17"/>
      <c r="E554" s="18"/>
      <c r="F554" s="18"/>
      <c r="G554" s="18"/>
      <c r="H554" s="17"/>
      <c r="I554" s="17"/>
      <c r="J554" s="17"/>
      <c r="K554" s="18"/>
      <c r="L554" s="19"/>
      <c r="M554" s="18"/>
    </row>
    <row r="555" customFormat="false" ht="15" hidden="false" customHeight="true" outlineLevel="0" collapsed="false">
      <c r="A555" s="17"/>
      <c r="B555" s="17"/>
      <c r="C555" s="17"/>
      <c r="D555" s="17"/>
      <c r="E555" s="18"/>
      <c r="F555" s="18"/>
      <c r="G555" s="18"/>
      <c r="H555" s="17"/>
      <c r="I555" s="17"/>
      <c r="J555" s="17"/>
      <c r="K555" s="18"/>
      <c r="L555" s="19"/>
      <c r="M555" s="18"/>
    </row>
    <row r="556" customFormat="false" ht="15" hidden="false" customHeight="true" outlineLevel="0" collapsed="false">
      <c r="A556" s="17"/>
      <c r="B556" s="17"/>
      <c r="C556" s="17"/>
      <c r="D556" s="17"/>
      <c r="E556" s="18"/>
      <c r="F556" s="18"/>
      <c r="G556" s="18"/>
      <c r="H556" s="17"/>
      <c r="I556" s="17"/>
      <c r="J556" s="17"/>
      <c r="K556" s="18"/>
      <c r="L556" s="19"/>
      <c r="M556" s="18"/>
    </row>
    <row r="557" customFormat="false" ht="15" hidden="false" customHeight="true" outlineLevel="0" collapsed="false">
      <c r="A557" s="17"/>
      <c r="B557" s="17"/>
      <c r="C557" s="17"/>
      <c r="D557" s="17"/>
      <c r="E557" s="18"/>
      <c r="F557" s="18"/>
      <c r="G557" s="18"/>
      <c r="H557" s="17"/>
      <c r="I557" s="17"/>
      <c r="J557" s="17"/>
      <c r="K557" s="18"/>
      <c r="L557" s="19"/>
      <c r="M557" s="18"/>
    </row>
    <row r="558" customFormat="false" ht="15" hidden="false" customHeight="true" outlineLevel="0" collapsed="false">
      <c r="A558" s="17"/>
      <c r="B558" s="17"/>
      <c r="C558" s="17"/>
      <c r="D558" s="17"/>
      <c r="E558" s="18"/>
      <c r="F558" s="18"/>
      <c r="G558" s="18"/>
      <c r="H558" s="17"/>
      <c r="I558" s="17"/>
      <c r="J558" s="17"/>
      <c r="K558" s="18"/>
      <c r="L558" s="19"/>
      <c r="M558" s="18"/>
    </row>
    <row r="559" customFormat="false" ht="15" hidden="false" customHeight="true" outlineLevel="0" collapsed="false">
      <c r="A559" s="17"/>
      <c r="B559" s="17"/>
      <c r="C559" s="17"/>
      <c r="D559" s="17"/>
      <c r="E559" s="18"/>
      <c r="F559" s="18"/>
      <c r="G559" s="18"/>
      <c r="H559" s="17"/>
      <c r="I559" s="17"/>
      <c r="J559" s="17"/>
      <c r="K559" s="18"/>
      <c r="L559" s="19"/>
      <c r="M559" s="18"/>
    </row>
    <row r="560" customFormat="false" ht="15" hidden="false" customHeight="true" outlineLevel="0" collapsed="false">
      <c r="A560" s="17"/>
      <c r="B560" s="17"/>
      <c r="C560" s="17"/>
      <c r="D560" s="17"/>
      <c r="E560" s="18"/>
      <c r="F560" s="18"/>
      <c r="G560" s="18"/>
      <c r="H560" s="17"/>
      <c r="I560" s="17"/>
      <c r="J560" s="17"/>
      <c r="K560" s="18"/>
      <c r="L560" s="19"/>
      <c r="M560" s="18"/>
    </row>
    <row r="561" customFormat="false" ht="15" hidden="false" customHeight="true" outlineLevel="0" collapsed="false">
      <c r="A561" s="17"/>
      <c r="B561" s="17"/>
      <c r="C561" s="17"/>
      <c r="D561" s="17"/>
      <c r="E561" s="18"/>
      <c r="F561" s="18"/>
      <c r="G561" s="18"/>
      <c r="H561" s="17"/>
      <c r="I561" s="17"/>
      <c r="J561" s="17"/>
      <c r="K561" s="18"/>
      <c r="L561" s="19"/>
      <c r="M561" s="18"/>
    </row>
    <row r="562" customFormat="false" ht="15" hidden="false" customHeight="true" outlineLevel="0" collapsed="false">
      <c r="A562" s="17"/>
      <c r="B562" s="17"/>
      <c r="C562" s="17"/>
      <c r="D562" s="17"/>
      <c r="E562" s="18"/>
      <c r="F562" s="18"/>
      <c r="G562" s="18"/>
      <c r="H562" s="17"/>
      <c r="I562" s="17"/>
      <c r="J562" s="17"/>
      <c r="K562" s="18"/>
      <c r="L562" s="19"/>
      <c r="M562" s="18"/>
    </row>
    <row r="563" customFormat="false" ht="15" hidden="false" customHeight="true" outlineLevel="0" collapsed="false">
      <c r="A563" s="17"/>
      <c r="B563" s="17"/>
      <c r="C563" s="17"/>
      <c r="D563" s="17"/>
      <c r="E563" s="18"/>
      <c r="F563" s="18"/>
      <c r="G563" s="18"/>
      <c r="H563" s="17"/>
      <c r="I563" s="17"/>
      <c r="J563" s="17"/>
      <c r="K563" s="18"/>
      <c r="L563" s="19"/>
      <c r="M563" s="18"/>
    </row>
    <row r="564" customFormat="false" ht="15" hidden="false" customHeight="true" outlineLevel="0" collapsed="false">
      <c r="A564" s="17"/>
      <c r="B564" s="17"/>
      <c r="C564" s="17"/>
      <c r="D564" s="17"/>
      <c r="E564" s="18"/>
      <c r="F564" s="18"/>
      <c r="G564" s="18"/>
      <c r="H564" s="17"/>
      <c r="I564" s="17"/>
      <c r="J564" s="17"/>
      <c r="K564" s="18"/>
      <c r="L564" s="19"/>
      <c r="M564" s="18"/>
    </row>
    <row r="565" customFormat="false" ht="15" hidden="false" customHeight="true" outlineLevel="0" collapsed="false">
      <c r="A565" s="17"/>
      <c r="B565" s="17"/>
      <c r="C565" s="17"/>
      <c r="D565" s="17"/>
      <c r="E565" s="18"/>
      <c r="F565" s="18"/>
      <c r="G565" s="18"/>
      <c r="H565" s="17"/>
      <c r="I565" s="17"/>
      <c r="J565" s="17"/>
      <c r="K565" s="18"/>
      <c r="L565" s="19"/>
      <c r="M565" s="18"/>
    </row>
    <row r="566" customFormat="false" ht="15" hidden="false" customHeight="true" outlineLevel="0" collapsed="false">
      <c r="A566" s="17"/>
      <c r="B566" s="17"/>
      <c r="C566" s="17"/>
      <c r="D566" s="17"/>
      <c r="E566" s="18"/>
      <c r="F566" s="18"/>
      <c r="G566" s="18"/>
      <c r="H566" s="17"/>
      <c r="I566" s="17"/>
      <c r="J566" s="17"/>
      <c r="K566" s="18"/>
      <c r="L566" s="19"/>
      <c r="M566" s="18"/>
    </row>
    <row r="567" customFormat="false" ht="15" hidden="false" customHeight="true" outlineLevel="0" collapsed="false">
      <c r="A567" s="17"/>
      <c r="B567" s="17"/>
      <c r="C567" s="17"/>
      <c r="D567" s="17"/>
      <c r="E567" s="18"/>
      <c r="F567" s="18"/>
      <c r="G567" s="18"/>
      <c r="H567" s="17"/>
      <c r="I567" s="17"/>
      <c r="J567" s="17"/>
      <c r="K567" s="18"/>
      <c r="L567" s="19"/>
      <c r="M567" s="18"/>
    </row>
    <row r="568" customFormat="false" ht="15" hidden="false" customHeight="true" outlineLevel="0" collapsed="false">
      <c r="A568" s="17"/>
      <c r="B568" s="17"/>
      <c r="C568" s="17"/>
      <c r="D568" s="17"/>
      <c r="E568" s="18"/>
      <c r="F568" s="18"/>
      <c r="G568" s="18"/>
      <c r="H568" s="17"/>
      <c r="I568" s="17"/>
      <c r="J568" s="17"/>
      <c r="K568" s="18"/>
      <c r="L568" s="19"/>
      <c r="M568" s="18"/>
    </row>
    <row r="569" customFormat="false" ht="15" hidden="false" customHeight="true" outlineLevel="0" collapsed="false">
      <c r="A569" s="17"/>
      <c r="B569" s="17"/>
      <c r="C569" s="17"/>
      <c r="D569" s="17"/>
      <c r="E569" s="18"/>
      <c r="F569" s="18"/>
      <c r="G569" s="18"/>
      <c r="H569" s="17"/>
      <c r="I569" s="17"/>
      <c r="J569" s="17"/>
      <c r="K569" s="18"/>
      <c r="L569" s="19"/>
      <c r="M569" s="18"/>
    </row>
    <row r="570" customFormat="false" ht="15" hidden="false" customHeight="true" outlineLevel="0" collapsed="false">
      <c r="A570" s="17"/>
      <c r="B570" s="17"/>
      <c r="C570" s="17"/>
      <c r="D570" s="17"/>
      <c r="E570" s="18"/>
      <c r="F570" s="18"/>
      <c r="G570" s="18"/>
      <c r="H570" s="17"/>
      <c r="I570" s="17"/>
      <c r="J570" s="17"/>
      <c r="K570" s="18"/>
      <c r="L570" s="19"/>
      <c r="M570" s="18"/>
    </row>
    <row r="571" customFormat="false" ht="15" hidden="false" customHeight="true" outlineLevel="0" collapsed="false">
      <c r="A571" s="17"/>
      <c r="B571" s="17"/>
      <c r="C571" s="17"/>
      <c r="D571" s="17"/>
      <c r="E571" s="18"/>
      <c r="F571" s="18"/>
      <c r="G571" s="18"/>
      <c r="H571" s="17"/>
      <c r="I571" s="17"/>
      <c r="J571" s="17"/>
      <c r="K571" s="18"/>
      <c r="L571" s="19"/>
      <c r="M571" s="18"/>
    </row>
    <row r="572" customFormat="false" ht="15" hidden="false" customHeight="true" outlineLevel="0" collapsed="false">
      <c r="A572" s="17"/>
      <c r="B572" s="17"/>
      <c r="C572" s="17"/>
      <c r="D572" s="17"/>
      <c r="E572" s="18"/>
      <c r="F572" s="18"/>
      <c r="G572" s="18"/>
      <c r="H572" s="17"/>
      <c r="I572" s="17"/>
      <c r="J572" s="17"/>
      <c r="K572" s="18"/>
      <c r="L572" s="19"/>
      <c r="M572" s="18"/>
    </row>
    <row r="573" customFormat="false" ht="15" hidden="false" customHeight="true" outlineLevel="0" collapsed="false">
      <c r="A573" s="17"/>
      <c r="B573" s="17"/>
      <c r="C573" s="17"/>
      <c r="D573" s="17"/>
      <c r="E573" s="18"/>
      <c r="F573" s="18"/>
      <c r="G573" s="18"/>
      <c r="H573" s="17"/>
      <c r="I573" s="17"/>
      <c r="J573" s="17"/>
      <c r="K573" s="18"/>
      <c r="L573" s="19"/>
      <c r="M573" s="18"/>
    </row>
    <row r="574" customFormat="false" ht="15" hidden="false" customHeight="true" outlineLevel="0" collapsed="false">
      <c r="A574" s="17"/>
      <c r="B574" s="17"/>
      <c r="C574" s="17"/>
      <c r="D574" s="17"/>
      <c r="E574" s="18"/>
      <c r="F574" s="18"/>
      <c r="G574" s="18"/>
      <c r="H574" s="17"/>
      <c r="I574" s="17"/>
      <c r="J574" s="17"/>
      <c r="K574" s="18"/>
      <c r="L574" s="19"/>
      <c r="M574" s="18"/>
    </row>
    <row r="575" customFormat="false" ht="15" hidden="false" customHeight="true" outlineLevel="0" collapsed="false">
      <c r="A575" s="17"/>
      <c r="B575" s="17"/>
      <c r="C575" s="17"/>
      <c r="D575" s="17"/>
      <c r="E575" s="18"/>
      <c r="F575" s="18"/>
      <c r="G575" s="18"/>
      <c r="H575" s="17"/>
      <c r="I575" s="17"/>
      <c r="J575" s="17"/>
      <c r="K575" s="18"/>
      <c r="L575" s="19"/>
      <c r="M575" s="18"/>
    </row>
    <row r="576" customFormat="false" ht="15" hidden="false" customHeight="true" outlineLevel="0" collapsed="false">
      <c r="A576" s="17"/>
      <c r="B576" s="17"/>
      <c r="C576" s="17"/>
      <c r="D576" s="17"/>
      <c r="E576" s="18"/>
      <c r="F576" s="18"/>
      <c r="G576" s="18"/>
      <c r="H576" s="17"/>
      <c r="I576" s="17"/>
      <c r="J576" s="17"/>
      <c r="K576" s="18"/>
      <c r="L576" s="19"/>
      <c r="M576" s="18"/>
    </row>
    <row r="577" customFormat="false" ht="15" hidden="false" customHeight="true" outlineLevel="0" collapsed="false">
      <c r="A577" s="17"/>
      <c r="B577" s="17"/>
      <c r="C577" s="17"/>
      <c r="D577" s="17"/>
      <c r="E577" s="18"/>
      <c r="F577" s="18"/>
      <c r="G577" s="18"/>
      <c r="H577" s="17"/>
      <c r="I577" s="17"/>
      <c r="J577" s="17"/>
      <c r="K577" s="18"/>
      <c r="L577" s="19"/>
      <c r="M577" s="18"/>
    </row>
    <row r="578" customFormat="false" ht="15" hidden="false" customHeight="true" outlineLevel="0" collapsed="false">
      <c r="A578" s="17"/>
      <c r="B578" s="17"/>
      <c r="C578" s="17"/>
      <c r="D578" s="17"/>
      <c r="E578" s="18"/>
      <c r="F578" s="18"/>
      <c r="G578" s="18"/>
      <c r="H578" s="17"/>
      <c r="I578" s="17"/>
      <c r="J578" s="17"/>
      <c r="K578" s="18"/>
      <c r="L578" s="19"/>
      <c r="M578" s="18"/>
    </row>
    <row r="579" customFormat="false" ht="15" hidden="false" customHeight="true" outlineLevel="0" collapsed="false">
      <c r="A579" s="17"/>
      <c r="B579" s="17"/>
      <c r="C579" s="17"/>
      <c r="D579" s="17"/>
      <c r="E579" s="18"/>
      <c r="F579" s="18"/>
      <c r="G579" s="18"/>
      <c r="H579" s="17"/>
      <c r="I579" s="17"/>
      <c r="J579" s="17"/>
      <c r="K579" s="18"/>
      <c r="L579" s="19"/>
      <c r="M579" s="18"/>
    </row>
    <row r="580" customFormat="false" ht="15" hidden="false" customHeight="true" outlineLevel="0" collapsed="false">
      <c r="A580" s="17"/>
      <c r="B580" s="17"/>
      <c r="C580" s="17"/>
      <c r="D580" s="17"/>
      <c r="E580" s="18"/>
      <c r="F580" s="18"/>
      <c r="G580" s="18"/>
      <c r="H580" s="17"/>
      <c r="I580" s="17"/>
      <c r="J580" s="17"/>
      <c r="K580" s="18"/>
      <c r="L580" s="19"/>
      <c r="M580" s="18"/>
    </row>
    <row r="581" customFormat="false" ht="15" hidden="false" customHeight="true" outlineLevel="0" collapsed="false">
      <c r="A581" s="17"/>
      <c r="B581" s="17"/>
      <c r="C581" s="17"/>
      <c r="D581" s="17"/>
      <c r="E581" s="18"/>
      <c r="F581" s="18"/>
      <c r="G581" s="18"/>
      <c r="H581" s="17"/>
      <c r="I581" s="17"/>
      <c r="J581" s="17"/>
      <c r="K581" s="18"/>
      <c r="L581" s="19"/>
      <c r="M581" s="18"/>
    </row>
    <row r="582" customFormat="false" ht="15" hidden="false" customHeight="true" outlineLevel="0" collapsed="false">
      <c r="A582" s="17"/>
      <c r="B582" s="17"/>
      <c r="C582" s="17"/>
      <c r="D582" s="17"/>
      <c r="E582" s="18"/>
      <c r="F582" s="18"/>
      <c r="G582" s="18"/>
      <c r="H582" s="17"/>
      <c r="I582" s="17"/>
      <c r="J582" s="17"/>
      <c r="K582" s="18"/>
      <c r="L582" s="19"/>
      <c r="M582" s="18"/>
    </row>
    <row r="583" customFormat="false" ht="15" hidden="false" customHeight="true" outlineLevel="0" collapsed="false">
      <c r="A583" s="17"/>
      <c r="B583" s="17"/>
      <c r="C583" s="17"/>
      <c r="D583" s="17"/>
      <c r="E583" s="18"/>
      <c r="F583" s="18"/>
      <c r="G583" s="18"/>
      <c r="H583" s="17"/>
      <c r="I583" s="17"/>
      <c r="J583" s="17"/>
      <c r="K583" s="18"/>
      <c r="L583" s="19"/>
      <c r="M583" s="18"/>
    </row>
    <row r="584" customFormat="false" ht="15" hidden="false" customHeight="true" outlineLevel="0" collapsed="false">
      <c r="A584" s="17"/>
      <c r="B584" s="17"/>
      <c r="C584" s="17"/>
      <c r="D584" s="17"/>
      <c r="E584" s="18"/>
      <c r="F584" s="18"/>
      <c r="G584" s="18"/>
      <c r="H584" s="17"/>
      <c r="I584" s="17"/>
      <c r="J584" s="17"/>
      <c r="K584" s="18"/>
      <c r="L584" s="19"/>
      <c r="M584" s="18"/>
    </row>
    <row r="585" customFormat="false" ht="15" hidden="false" customHeight="true" outlineLevel="0" collapsed="false">
      <c r="A585" s="17"/>
      <c r="B585" s="17"/>
      <c r="C585" s="17"/>
      <c r="D585" s="17"/>
      <c r="E585" s="18"/>
      <c r="F585" s="18"/>
      <c r="G585" s="18"/>
      <c r="H585" s="17"/>
      <c r="I585" s="17"/>
      <c r="J585" s="17"/>
      <c r="K585" s="18"/>
      <c r="L585" s="19"/>
      <c r="M585" s="18"/>
    </row>
    <row r="586" customFormat="false" ht="15" hidden="false" customHeight="true" outlineLevel="0" collapsed="false">
      <c r="A586" s="17"/>
      <c r="B586" s="17"/>
      <c r="C586" s="17"/>
      <c r="D586" s="17"/>
      <c r="E586" s="18"/>
      <c r="F586" s="18"/>
      <c r="G586" s="18"/>
      <c r="H586" s="17"/>
      <c r="I586" s="17"/>
      <c r="J586" s="17"/>
      <c r="K586" s="18"/>
      <c r="L586" s="19"/>
      <c r="M586" s="18"/>
    </row>
    <row r="587" customFormat="false" ht="15" hidden="false" customHeight="true" outlineLevel="0" collapsed="false">
      <c r="A587" s="17"/>
      <c r="B587" s="17"/>
      <c r="C587" s="17"/>
      <c r="D587" s="17"/>
      <c r="E587" s="18"/>
      <c r="F587" s="18"/>
      <c r="G587" s="18"/>
      <c r="H587" s="17"/>
      <c r="I587" s="17"/>
      <c r="J587" s="17"/>
      <c r="K587" s="18"/>
      <c r="L587" s="19"/>
      <c r="M587" s="18"/>
    </row>
    <row r="588" customFormat="false" ht="15" hidden="false" customHeight="true" outlineLevel="0" collapsed="false">
      <c r="A588" s="17"/>
      <c r="B588" s="17"/>
      <c r="C588" s="17"/>
      <c r="D588" s="17"/>
      <c r="E588" s="18"/>
      <c r="F588" s="18"/>
      <c r="G588" s="18"/>
      <c r="H588" s="17"/>
      <c r="I588" s="17"/>
      <c r="J588" s="17"/>
      <c r="K588" s="18"/>
      <c r="L588" s="19"/>
      <c r="M588" s="18"/>
    </row>
    <row r="589" customFormat="false" ht="15" hidden="false" customHeight="true" outlineLevel="0" collapsed="false">
      <c r="A589" s="17"/>
      <c r="B589" s="17"/>
      <c r="C589" s="17"/>
      <c r="D589" s="17"/>
      <c r="E589" s="18"/>
      <c r="F589" s="18"/>
      <c r="G589" s="18"/>
      <c r="H589" s="17"/>
      <c r="I589" s="17"/>
      <c r="J589" s="17"/>
      <c r="K589" s="18"/>
      <c r="L589" s="19"/>
      <c r="M589" s="18"/>
    </row>
    <row r="590" customFormat="false" ht="15" hidden="false" customHeight="true" outlineLevel="0" collapsed="false">
      <c r="A590" s="17"/>
      <c r="B590" s="17"/>
      <c r="C590" s="17"/>
      <c r="D590" s="17"/>
      <c r="E590" s="18"/>
      <c r="F590" s="18"/>
      <c r="G590" s="18"/>
      <c r="H590" s="17"/>
      <c r="I590" s="17"/>
      <c r="J590" s="17"/>
      <c r="K590" s="18"/>
      <c r="L590" s="19"/>
      <c r="M590" s="18"/>
    </row>
    <row r="591" customFormat="false" ht="15" hidden="false" customHeight="true" outlineLevel="0" collapsed="false">
      <c r="A591" s="17"/>
      <c r="B591" s="17"/>
      <c r="C591" s="17"/>
      <c r="D591" s="17"/>
      <c r="E591" s="18"/>
      <c r="F591" s="18"/>
      <c r="G591" s="18"/>
      <c r="H591" s="17"/>
      <c r="I591" s="17"/>
      <c r="J591" s="17"/>
      <c r="K591" s="18"/>
      <c r="L591" s="19"/>
      <c r="M591" s="18"/>
    </row>
    <row r="592" customFormat="false" ht="15" hidden="false" customHeight="true" outlineLevel="0" collapsed="false">
      <c r="A592" s="17"/>
      <c r="B592" s="17"/>
      <c r="C592" s="17"/>
      <c r="D592" s="17"/>
      <c r="E592" s="18"/>
      <c r="F592" s="18"/>
      <c r="G592" s="18"/>
      <c r="H592" s="17"/>
      <c r="I592" s="17"/>
      <c r="J592" s="17"/>
      <c r="K592" s="18"/>
      <c r="L592" s="19"/>
      <c r="M592" s="18"/>
    </row>
    <row r="593" customFormat="false" ht="15" hidden="false" customHeight="true" outlineLevel="0" collapsed="false">
      <c r="A593" s="17"/>
      <c r="B593" s="17"/>
      <c r="C593" s="17"/>
      <c r="D593" s="17"/>
      <c r="E593" s="18"/>
      <c r="F593" s="18"/>
      <c r="G593" s="18"/>
      <c r="H593" s="17"/>
      <c r="I593" s="17"/>
      <c r="J593" s="17"/>
      <c r="K593" s="18"/>
      <c r="L593" s="19"/>
      <c r="M593" s="18"/>
    </row>
    <row r="594" customFormat="false" ht="15" hidden="false" customHeight="true" outlineLevel="0" collapsed="false">
      <c r="A594" s="17"/>
      <c r="B594" s="17"/>
      <c r="C594" s="17"/>
      <c r="D594" s="17"/>
      <c r="E594" s="18"/>
      <c r="F594" s="18"/>
      <c r="G594" s="18"/>
      <c r="H594" s="17"/>
      <c r="I594" s="17"/>
      <c r="J594" s="17"/>
      <c r="K594" s="18"/>
      <c r="L594" s="19"/>
      <c r="M594" s="18"/>
    </row>
    <row r="595" customFormat="false" ht="15" hidden="false" customHeight="true" outlineLevel="0" collapsed="false">
      <c r="A595" s="17"/>
      <c r="B595" s="17"/>
      <c r="C595" s="17"/>
      <c r="D595" s="17"/>
      <c r="E595" s="18"/>
      <c r="F595" s="18"/>
      <c r="G595" s="18"/>
      <c r="H595" s="17"/>
      <c r="I595" s="17"/>
      <c r="J595" s="17"/>
      <c r="K595" s="18"/>
      <c r="L595" s="19"/>
      <c r="M595" s="18"/>
    </row>
    <row r="596" customFormat="false" ht="15" hidden="false" customHeight="true" outlineLevel="0" collapsed="false">
      <c r="A596" s="17"/>
      <c r="B596" s="17"/>
      <c r="C596" s="17"/>
      <c r="D596" s="17"/>
      <c r="E596" s="18"/>
      <c r="F596" s="18"/>
      <c r="G596" s="18"/>
      <c r="H596" s="17"/>
      <c r="I596" s="17"/>
      <c r="J596" s="17"/>
      <c r="K596" s="18"/>
      <c r="L596" s="19"/>
      <c r="M596" s="18"/>
    </row>
    <row r="597" customFormat="false" ht="15" hidden="false" customHeight="true" outlineLevel="0" collapsed="false">
      <c r="A597" s="17"/>
      <c r="B597" s="17"/>
      <c r="C597" s="17"/>
      <c r="D597" s="17"/>
      <c r="E597" s="18"/>
      <c r="F597" s="18"/>
      <c r="G597" s="18"/>
      <c r="H597" s="17"/>
      <c r="I597" s="17"/>
      <c r="J597" s="17"/>
      <c r="K597" s="18"/>
      <c r="L597" s="19"/>
      <c r="M597" s="18"/>
    </row>
    <row r="598" customFormat="false" ht="15" hidden="false" customHeight="true" outlineLevel="0" collapsed="false">
      <c r="A598" s="17"/>
      <c r="B598" s="17"/>
      <c r="C598" s="17"/>
      <c r="D598" s="17"/>
      <c r="E598" s="18"/>
      <c r="F598" s="18"/>
      <c r="G598" s="18"/>
      <c r="H598" s="17"/>
      <c r="I598" s="17"/>
      <c r="J598" s="17"/>
      <c r="K598" s="18"/>
      <c r="L598" s="19"/>
      <c r="M598" s="18"/>
    </row>
    <row r="599" customFormat="false" ht="15" hidden="false" customHeight="true" outlineLevel="0" collapsed="false">
      <c r="A599" s="17"/>
      <c r="B599" s="17"/>
      <c r="C599" s="17"/>
      <c r="D599" s="17"/>
      <c r="E599" s="18"/>
      <c r="F599" s="18"/>
      <c r="G599" s="18"/>
      <c r="H599" s="17"/>
      <c r="I599" s="17"/>
      <c r="J599" s="17"/>
      <c r="K599" s="18"/>
      <c r="L599" s="19"/>
      <c r="M599" s="18"/>
    </row>
    <row r="600" customFormat="false" ht="15" hidden="false" customHeight="true" outlineLevel="0" collapsed="false">
      <c r="A600" s="17"/>
      <c r="B600" s="17"/>
      <c r="C600" s="17"/>
      <c r="D600" s="17"/>
      <c r="E600" s="18"/>
      <c r="F600" s="18"/>
      <c r="G600" s="18"/>
      <c r="H600" s="17"/>
      <c r="I600" s="17"/>
      <c r="J600" s="17"/>
      <c r="K600" s="18"/>
      <c r="L600" s="19"/>
      <c r="M600" s="18"/>
    </row>
    <row r="601" customFormat="false" ht="15" hidden="false" customHeight="true" outlineLevel="0" collapsed="false">
      <c r="A601" s="17"/>
      <c r="B601" s="17"/>
      <c r="C601" s="17"/>
      <c r="D601" s="17"/>
      <c r="E601" s="18"/>
      <c r="F601" s="18"/>
      <c r="G601" s="18"/>
      <c r="H601" s="17"/>
      <c r="I601" s="17"/>
      <c r="J601" s="17"/>
      <c r="K601" s="18"/>
      <c r="L601" s="19"/>
      <c r="M601" s="18"/>
    </row>
    <row r="602" customFormat="false" ht="15" hidden="false" customHeight="true" outlineLevel="0" collapsed="false">
      <c r="A602" s="17"/>
      <c r="B602" s="17"/>
      <c r="C602" s="17"/>
      <c r="D602" s="17"/>
      <c r="E602" s="18"/>
      <c r="F602" s="18"/>
      <c r="G602" s="18"/>
      <c r="H602" s="17"/>
      <c r="I602" s="17"/>
      <c r="J602" s="17"/>
      <c r="K602" s="18"/>
      <c r="L602" s="19"/>
      <c r="M602" s="18"/>
    </row>
    <row r="603" customFormat="false" ht="15" hidden="false" customHeight="true" outlineLevel="0" collapsed="false">
      <c r="A603" s="17"/>
      <c r="B603" s="17"/>
      <c r="C603" s="17"/>
      <c r="D603" s="17"/>
      <c r="E603" s="18"/>
      <c r="F603" s="18"/>
      <c r="G603" s="18"/>
      <c r="H603" s="17"/>
      <c r="I603" s="17"/>
      <c r="J603" s="17"/>
      <c r="K603" s="18"/>
      <c r="L603" s="19"/>
      <c r="M603" s="18"/>
    </row>
    <row r="604" customFormat="false" ht="15" hidden="false" customHeight="true" outlineLevel="0" collapsed="false">
      <c r="A604" s="17"/>
      <c r="B604" s="17"/>
      <c r="C604" s="17"/>
      <c r="D604" s="17"/>
      <c r="E604" s="18"/>
      <c r="F604" s="18"/>
      <c r="G604" s="18"/>
      <c r="H604" s="17"/>
      <c r="I604" s="17"/>
      <c r="J604" s="17"/>
      <c r="K604" s="18"/>
      <c r="L604" s="19"/>
      <c r="M604" s="18"/>
    </row>
    <row r="605" customFormat="false" ht="15" hidden="false" customHeight="true" outlineLevel="0" collapsed="false">
      <c r="A605" s="17"/>
      <c r="B605" s="17"/>
      <c r="C605" s="17"/>
      <c r="D605" s="17"/>
      <c r="E605" s="18"/>
      <c r="F605" s="18"/>
      <c r="G605" s="18"/>
      <c r="H605" s="17"/>
      <c r="I605" s="17"/>
      <c r="J605" s="17"/>
      <c r="K605" s="18"/>
      <c r="L605" s="19"/>
      <c r="M605" s="18"/>
    </row>
    <row r="606" customFormat="false" ht="15" hidden="false" customHeight="true" outlineLevel="0" collapsed="false">
      <c r="A606" s="17"/>
      <c r="B606" s="17"/>
      <c r="C606" s="17"/>
      <c r="D606" s="17"/>
      <c r="E606" s="18"/>
      <c r="F606" s="18"/>
      <c r="G606" s="18"/>
      <c r="H606" s="17"/>
      <c r="I606" s="17"/>
      <c r="J606" s="17"/>
      <c r="K606" s="18"/>
      <c r="L606" s="19"/>
      <c r="M606" s="18"/>
    </row>
    <row r="607" customFormat="false" ht="15" hidden="false" customHeight="true" outlineLevel="0" collapsed="false">
      <c r="A607" s="17"/>
      <c r="B607" s="17"/>
      <c r="C607" s="17"/>
      <c r="D607" s="17"/>
      <c r="E607" s="18"/>
      <c r="F607" s="18"/>
      <c r="G607" s="18"/>
      <c r="H607" s="17"/>
      <c r="I607" s="17"/>
      <c r="J607" s="17"/>
      <c r="K607" s="18"/>
      <c r="L607" s="19"/>
      <c r="M607" s="18"/>
    </row>
    <row r="608" customFormat="false" ht="15" hidden="false" customHeight="true" outlineLevel="0" collapsed="false">
      <c r="A608" s="17"/>
      <c r="B608" s="17"/>
      <c r="C608" s="17"/>
      <c r="D608" s="17"/>
      <c r="E608" s="18"/>
      <c r="F608" s="18"/>
      <c r="G608" s="18"/>
      <c r="H608" s="17"/>
      <c r="I608" s="17"/>
      <c r="J608" s="17"/>
      <c r="K608" s="18"/>
      <c r="L608" s="19"/>
      <c r="M608" s="18"/>
    </row>
    <row r="609" customFormat="false" ht="15" hidden="false" customHeight="true" outlineLevel="0" collapsed="false">
      <c r="A609" s="17"/>
      <c r="B609" s="17"/>
      <c r="C609" s="17"/>
      <c r="D609" s="17"/>
      <c r="E609" s="18"/>
      <c r="F609" s="18"/>
      <c r="G609" s="18"/>
      <c r="H609" s="17"/>
      <c r="I609" s="17"/>
      <c r="J609" s="17"/>
      <c r="K609" s="18"/>
      <c r="L609" s="19"/>
      <c r="M609" s="18"/>
    </row>
    <row r="610" customFormat="false" ht="15" hidden="false" customHeight="true" outlineLevel="0" collapsed="false">
      <c r="A610" s="17"/>
      <c r="B610" s="17"/>
      <c r="C610" s="17"/>
      <c r="D610" s="17"/>
      <c r="E610" s="18"/>
      <c r="F610" s="18"/>
      <c r="G610" s="18"/>
      <c r="H610" s="17"/>
      <c r="I610" s="17"/>
      <c r="J610" s="17"/>
      <c r="K610" s="18"/>
      <c r="L610" s="19"/>
      <c r="M610" s="18"/>
    </row>
    <row r="611" customFormat="false" ht="15" hidden="false" customHeight="true" outlineLevel="0" collapsed="false">
      <c r="A611" s="17"/>
      <c r="B611" s="17"/>
      <c r="C611" s="17"/>
      <c r="D611" s="17"/>
      <c r="E611" s="18"/>
      <c r="F611" s="18"/>
      <c r="G611" s="18"/>
      <c r="H611" s="17"/>
      <c r="I611" s="17"/>
      <c r="J611" s="17"/>
      <c r="K611" s="18"/>
      <c r="L611" s="19"/>
      <c r="M611" s="18"/>
    </row>
    <row r="612" customFormat="false" ht="15" hidden="false" customHeight="true" outlineLevel="0" collapsed="false">
      <c r="A612" s="17"/>
      <c r="B612" s="17"/>
      <c r="C612" s="17"/>
      <c r="D612" s="17"/>
      <c r="E612" s="18"/>
      <c r="F612" s="18"/>
      <c r="G612" s="18"/>
      <c r="H612" s="17"/>
      <c r="I612" s="17"/>
      <c r="J612" s="17"/>
      <c r="K612" s="18"/>
      <c r="L612" s="19"/>
      <c r="M612" s="18"/>
    </row>
    <row r="613" customFormat="false" ht="15" hidden="false" customHeight="true" outlineLevel="0" collapsed="false">
      <c r="A613" s="17"/>
      <c r="B613" s="17"/>
      <c r="C613" s="17"/>
      <c r="D613" s="17"/>
      <c r="E613" s="18"/>
      <c r="F613" s="18"/>
      <c r="G613" s="18"/>
      <c r="H613" s="17"/>
      <c r="I613" s="17"/>
      <c r="J613" s="17"/>
      <c r="K613" s="18"/>
      <c r="L613" s="19"/>
      <c r="M613" s="18"/>
    </row>
    <row r="614" customFormat="false" ht="15" hidden="false" customHeight="true" outlineLevel="0" collapsed="false">
      <c r="A614" s="17"/>
      <c r="B614" s="17"/>
      <c r="C614" s="17"/>
      <c r="D614" s="17"/>
      <c r="E614" s="18"/>
      <c r="F614" s="18"/>
      <c r="G614" s="18"/>
      <c r="H614" s="17"/>
      <c r="I614" s="17"/>
      <c r="J614" s="17"/>
      <c r="K614" s="18"/>
      <c r="L614" s="19"/>
      <c r="M614" s="18"/>
    </row>
    <row r="615" customFormat="false" ht="15" hidden="false" customHeight="true" outlineLevel="0" collapsed="false">
      <c r="A615" s="17"/>
      <c r="B615" s="17"/>
      <c r="C615" s="17"/>
      <c r="D615" s="17"/>
      <c r="E615" s="18"/>
      <c r="F615" s="18"/>
      <c r="G615" s="18"/>
      <c r="H615" s="17"/>
      <c r="I615" s="17"/>
      <c r="J615" s="17"/>
      <c r="K615" s="18"/>
      <c r="L615" s="19"/>
      <c r="M615" s="18"/>
    </row>
    <row r="616" customFormat="false" ht="15" hidden="false" customHeight="true" outlineLevel="0" collapsed="false">
      <c r="A616" s="17"/>
      <c r="B616" s="17"/>
      <c r="C616" s="17"/>
      <c r="D616" s="17"/>
      <c r="E616" s="18"/>
      <c r="F616" s="18"/>
      <c r="G616" s="18"/>
      <c r="H616" s="17"/>
      <c r="I616" s="17"/>
      <c r="J616" s="17"/>
      <c r="K616" s="18"/>
      <c r="L616" s="19"/>
      <c r="M616" s="18"/>
    </row>
    <row r="617" customFormat="false" ht="15" hidden="false" customHeight="true" outlineLevel="0" collapsed="false">
      <c r="A617" s="17"/>
      <c r="B617" s="17"/>
      <c r="C617" s="17"/>
      <c r="D617" s="17"/>
      <c r="E617" s="18"/>
      <c r="F617" s="18"/>
      <c r="G617" s="18"/>
      <c r="H617" s="17"/>
      <c r="I617" s="17"/>
      <c r="J617" s="17"/>
      <c r="K617" s="18"/>
      <c r="L617" s="19"/>
      <c r="M617" s="18"/>
    </row>
    <row r="618" customFormat="false" ht="15" hidden="false" customHeight="true" outlineLevel="0" collapsed="false">
      <c r="A618" s="17"/>
      <c r="B618" s="17"/>
      <c r="C618" s="17"/>
      <c r="D618" s="17"/>
      <c r="E618" s="18"/>
      <c r="F618" s="18"/>
      <c r="G618" s="18"/>
      <c r="H618" s="17"/>
      <c r="I618" s="17"/>
      <c r="J618" s="17"/>
      <c r="K618" s="18"/>
      <c r="L618" s="19"/>
      <c r="M618" s="18"/>
    </row>
    <row r="619" customFormat="false" ht="15" hidden="false" customHeight="true" outlineLevel="0" collapsed="false">
      <c r="A619" s="17"/>
      <c r="B619" s="17"/>
      <c r="C619" s="17"/>
      <c r="D619" s="17"/>
      <c r="E619" s="18"/>
      <c r="F619" s="18"/>
      <c r="G619" s="18"/>
      <c r="H619" s="17"/>
      <c r="I619" s="17"/>
      <c r="J619" s="17"/>
      <c r="K619" s="18"/>
      <c r="L619" s="19"/>
      <c r="M619" s="18"/>
    </row>
    <row r="620" customFormat="false" ht="15" hidden="false" customHeight="true" outlineLevel="0" collapsed="false">
      <c r="A620" s="17"/>
      <c r="B620" s="17"/>
      <c r="C620" s="17"/>
      <c r="D620" s="17"/>
      <c r="E620" s="18"/>
      <c r="F620" s="18"/>
      <c r="G620" s="18"/>
      <c r="H620" s="17"/>
      <c r="I620" s="17"/>
      <c r="J620" s="17"/>
      <c r="K620" s="18"/>
      <c r="L620" s="19"/>
      <c r="M620" s="18"/>
    </row>
    <row r="621" customFormat="false" ht="15" hidden="false" customHeight="true" outlineLevel="0" collapsed="false">
      <c r="A621" s="17"/>
      <c r="B621" s="17"/>
      <c r="C621" s="17"/>
      <c r="D621" s="17"/>
      <c r="E621" s="18"/>
      <c r="F621" s="18"/>
      <c r="G621" s="18"/>
      <c r="H621" s="17"/>
      <c r="I621" s="17"/>
      <c r="J621" s="17"/>
      <c r="K621" s="18"/>
      <c r="L621" s="19"/>
      <c r="M621" s="18"/>
    </row>
    <row r="622" customFormat="false" ht="15" hidden="false" customHeight="true" outlineLevel="0" collapsed="false">
      <c r="A622" s="17"/>
      <c r="B622" s="17"/>
      <c r="C622" s="17"/>
      <c r="D622" s="17"/>
      <c r="E622" s="18"/>
      <c r="F622" s="18"/>
      <c r="G622" s="18"/>
      <c r="H622" s="17"/>
      <c r="I622" s="17"/>
      <c r="J622" s="17"/>
      <c r="K622" s="18"/>
      <c r="L622" s="19"/>
      <c r="M622" s="18"/>
    </row>
    <row r="623" customFormat="false" ht="15" hidden="false" customHeight="true" outlineLevel="0" collapsed="false">
      <c r="A623" s="17"/>
      <c r="B623" s="17"/>
      <c r="C623" s="17"/>
      <c r="D623" s="17"/>
      <c r="E623" s="18"/>
      <c r="F623" s="18"/>
      <c r="G623" s="18"/>
      <c r="H623" s="17"/>
      <c r="I623" s="17"/>
      <c r="J623" s="17"/>
      <c r="K623" s="18"/>
      <c r="L623" s="19"/>
      <c r="M623" s="18"/>
    </row>
    <row r="624" customFormat="false" ht="15" hidden="false" customHeight="true" outlineLevel="0" collapsed="false">
      <c r="A624" s="17"/>
      <c r="B624" s="17"/>
      <c r="C624" s="17"/>
      <c r="D624" s="17"/>
      <c r="E624" s="18"/>
      <c r="F624" s="18"/>
      <c r="G624" s="18"/>
      <c r="H624" s="17"/>
      <c r="I624" s="17"/>
      <c r="J624" s="17"/>
      <c r="K624" s="18"/>
      <c r="L624" s="19"/>
      <c r="M624" s="18"/>
    </row>
    <row r="625" customFormat="false" ht="15" hidden="false" customHeight="true" outlineLevel="0" collapsed="false">
      <c r="A625" s="17"/>
      <c r="B625" s="17"/>
      <c r="C625" s="17"/>
      <c r="D625" s="17"/>
      <c r="E625" s="18"/>
      <c r="F625" s="18"/>
      <c r="G625" s="18"/>
      <c r="H625" s="17"/>
      <c r="I625" s="17"/>
      <c r="J625" s="17"/>
      <c r="K625" s="18"/>
      <c r="L625" s="19"/>
      <c r="M625" s="18"/>
    </row>
    <row r="626" customFormat="false" ht="15" hidden="false" customHeight="true" outlineLevel="0" collapsed="false">
      <c r="A626" s="17"/>
      <c r="B626" s="17"/>
      <c r="C626" s="17"/>
      <c r="D626" s="17"/>
      <c r="E626" s="18"/>
      <c r="F626" s="18"/>
      <c r="G626" s="18"/>
      <c r="H626" s="17"/>
      <c r="I626" s="17"/>
      <c r="J626" s="17"/>
      <c r="K626" s="18"/>
      <c r="L626" s="19"/>
      <c r="M626" s="18"/>
    </row>
    <row r="627" customFormat="false" ht="15" hidden="false" customHeight="true" outlineLevel="0" collapsed="false">
      <c r="A627" s="17"/>
      <c r="B627" s="17"/>
      <c r="C627" s="17"/>
      <c r="D627" s="17"/>
      <c r="E627" s="18"/>
      <c r="F627" s="18"/>
      <c r="G627" s="18"/>
      <c r="H627" s="17"/>
      <c r="I627" s="17"/>
      <c r="J627" s="17"/>
      <c r="K627" s="18"/>
      <c r="L627" s="19"/>
      <c r="M627" s="18"/>
    </row>
    <row r="628" customFormat="false" ht="15" hidden="false" customHeight="true" outlineLevel="0" collapsed="false">
      <c r="A628" s="17"/>
      <c r="B628" s="17"/>
      <c r="C628" s="17"/>
      <c r="D628" s="17"/>
      <c r="E628" s="18"/>
      <c r="F628" s="18"/>
      <c r="G628" s="18"/>
      <c r="H628" s="17"/>
      <c r="I628" s="17"/>
      <c r="J628" s="17"/>
      <c r="K628" s="18"/>
      <c r="L628" s="19"/>
      <c r="M628" s="18"/>
    </row>
    <row r="629" customFormat="false" ht="15" hidden="false" customHeight="true" outlineLevel="0" collapsed="false">
      <c r="A629" s="17"/>
      <c r="B629" s="17"/>
      <c r="C629" s="17"/>
      <c r="D629" s="17"/>
      <c r="E629" s="18"/>
      <c r="F629" s="18"/>
      <c r="G629" s="18"/>
      <c r="H629" s="17"/>
      <c r="I629" s="17"/>
      <c r="J629" s="17"/>
      <c r="K629" s="18"/>
      <c r="L629" s="19"/>
      <c r="M629" s="18"/>
    </row>
    <row r="630" customFormat="false" ht="15" hidden="false" customHeight="true" outlineLevel="0" collapsed="false">
      <c r="A630" s="17"/>
      <c r="B630" s="17"/>
      <c r="C630" s="17"/>
      <c r="D630" s="17"/>
      <c r="E630" s="18"/>
      <c r="F630" s="18"/>
      <c r="G630" s="18"/>
      <c r="H630" s="17"/>
      <c r="I630" s="17"/>
      <c r="J630" s="17"/>
      <c r="K630" s="18"/>
      <c r="L630" s="19"/>
      <c r="M630" s="18"/>
    </row>
    <row r="631" customFormat="false" ht="15" hidden="false" customHeight="true" outlineLevel="0" collapsed="false">
      <c r="A631" s="17"/>
      <c r="B631" s="17"/>
      <c r="C631" s="17"/>
      <c r="D631" s="17"/>
      <c r="E631" s="18"/>
      <c r="F631" s="18"/>
      <c r="G631" s="18"/>
      <c r="H631" s="17"/>
      <c r="I631" s="17"/>
      <c r="J631" s="17"/>
      <c r="K631" s="18"/>
      <c r="L631" s="19"/>
      <c r="M631" s="18"/>
    </row>
    <row r="632" customFormat="false" ht="15" hidden="false" customHeight="true" outlineLevel="0" collapsed="false">
      <c r="A632" s="17"/>
      <c r="B632" s="17"/>
      <c r="C632" s="17"/>
      <c r="D632" s="17"/>
      <c r="E632" s="18"/>
      <c r="F632" s="18"/>
      <c r="G632" s="18"/>
      <c r="H632" s="17"/>
      <c r="I632" s="17"/>
      <c r="J632" s="17"/>
      <c r="K632" s="18"/>
      <c r="L632" s="19"/>
      <c r="M632" s="18"/>
    </row>
    <row r="633" customFormat="false" ht="15" hidden="false" customHeight="true" outlineLevel="0" collapsed="false">
      <c r="A633" s="17"/>
      <c r="B633" s="17"/>
      <c r="C633" s="17"/>
      <c r="D633" s="17"/>
      <c r="E633" s="18"/>
      <c r="F633" s="18"/>
      <c r="G633" s="18"/>
      <c r="H633" s="17"/>
      <c r="I633" s="17"/>
      <c r="J633" s="17"/>
      <c r="K633" s="18"/>
      <c r="L633" s="19"/>
      <c r="M633" s="18"/>
    </row>
    <row r="634" customFormat="false" ht="15" hidden="false" customHeight="true" outlineLevel="0" collapsed="false">
      <c r="A634" s="17"/>
      <c r="B634" s="17"/>
      <c r="C634" s="17"/>
      <c r="D634" s="17"/>
      <c r="E634" s="18"/>
      <c r="F634" s="18"/>
      <c r="G634" s="18"/>
      <c r="H634" s="17"/>
      <c r="I634" s="17"/>
      <c r="J634" s="17"/>
      <c r="K634" s="18"/>
      <c r="L634" s="19"/>
      <c r="M634" s="18"/>
    </row>
    <row r="635" customFormat="false" ht="15" hidden="false" customHeight="true" outlineLevel="0" collapsed="false">
      <c r="A635" s="17"/>
      <c r="B635" s="17"/>
      <c r="C635" s="17"/>
      <c r="D635" s="17"/>
      <c r="E635" s="18"/>
      <c r="F635" s="18"/>
      <c r="G635" s="18"/>
      <c r="H635" s="17"/>
      <c r="I635" s="17"/>
      <c r="J635" s="17"/>
      <c r="K635" s="18"/>
      <c r="L635" s="19"/>
      <c r="M635" s="18"/>
    </row>
    <row r="636" customFormat="false" ht="15" hidden="false" customHeight="true" outlineLevel="0" collapsed="false">
      <c r="A636" s="17"/>
      <c r="B636" s="17"/>
      <c r="C636" s="17"/>
      <c r="D636" s="17"/>
      <c r="E636" s="18"/>
      <c r="F636" s="18"/>
      <c r="G636" s="18"/>
      <c r="H636" s="17"/>
      <c r="I636" s="17"/>
      <c r="J636" s="17"/>
      <c r="K636" s="18"/>
      <c r="L636" s="19"/>
      <c r="M636" s="18"/>
    </row>
    <row r="637" customFormat="false" ht="15" hidden="false" customHeight="true" outlineLevel="0" collapsed="false">
      <c r="A637" s="17"/>
      <c r="B637" s="17"/>
      <c r="C637" s="17"/>
      <c r="D637" s="17"/>
      <c r="E637" s="18"/>
      <c r="F637" s="18"/>
      <c r="G637" s="18"/>
      <c r="H637" s="17"/>
      <c r="I637" s="17"/>
      <c r="J637" s="17"/>
      <c r="K637" s="18"/>
      <c r="L637" s="19"/>
      <c r="M637" s="18"/>
    </row>
    <row r="638" customFormat="false" ht="15" hidden="false" customHeight="true" outlineLevel="0" collapsed="false">
      <c r="A638" s="17"/>
      <c r="B638" s="17"/>
      <c r="C638" s="17"/>
      <c r="D638" s="17"/>
      <c r="E638" s="18"/>
      <c r="F638" s="18"/>
      <c r="G638" s="18"/>
      <c r="H638" s="17"/>
      <c r="I638" s="17"/>
      <c r="J638" s="17"/>
      <c r="K638" s="18"/>
      <c r="L638" s="19"/>
      <c r="M638" s="18"/>
    </row>
    <row r="639" customFormat="false" ht="15" hidden="false" customHeight="true" outlineLevel="0" collapsed="false">
      <c r="A639" s="17"/>
      <c r="B639" s="17"/>
      <c r="C639" s="17"/>
      <c r="D639" s="17"/>
      <c r="E639" s="18"/>
      <c r="F639" s="18"/>
      <c r="G639" s="18"/>
      <c r="H639" s="17"/>
      <c r="I639" s="17"/>
      <c r="J639" s="17"/>
      <c r="K639" s="18"/>
      <c r="L639" s="19"/>
      <c r="M639" s="18"/>
    </row>
    <row r="640" customFormat="false" ht="15" hidden="false" customHeight="true" outlineLevel="0" collapsed="false">
      <c r="A640" s="17"/>
      <c r="B640" s="17"/>
      <c r="C640" s="17"/>
      <c r="D640" s="17"/>
      <c r="E640" s="18"/>
      <c r="F640" s="18"/>
      <c r="G640" s="18"/>
      <c r="H640" s="17"/>
      <c r="I640" s="17"/>
      <c r="J640" s="17"/>
      <c r="K640" s="18"/>
      <c r="L640" s="19"/>
      <c r="M640" s="18"/>
    </row>
    <row r="641" customFormat="false" ht="15" hidden="false" customHeight="true" outlineLevel="0" collapsed="false">
      <c r="A641" s="17"/>
      <c r="B641" s="17"/>
      <c r="C641" s="17"/>
      <c r="D641" s="17"/>
      <c r="E641" s="18"/>
      <c r="F641" s="18"/>
      <c r="G641" s="18"/>
      <c r="H641" s="17"/>
      <c r="I641" s="17"/>
      <c r="J641" s="17"/>
      <c r="K641" s="18"/>
      <c r="L641" s="19"/>
      <c r="M641" s="18"/>
    </row>
    <row r="642" customFormat="false" ht="15" hidden="false" customHeight="true" outlineLevel="0" collapsed="false">
      <c r="A642" s="17"/>
      <c r="B642" s="17"/>
      <c r="C642" s="17"/>
      <c r="D642" s="17"/>
      <c r="E642" s="18"/>
      <c r="F642" s="18"/>
      <c r="G642" s="18"/>
      <c r="H642" s="17"/>
      <c r="I642" s="17"/>
      <c r="J642" s="17"/>
      <c r="K642" s="18"/>
      <c r="L642" s="19"/>
      <c r="M642" s="18"/>
    </row>
    <row r="643" customFormat="false" ht="15" hidden="false" customHeight="true" outlineLevel="0" collapsed="false">
      <c r="A643" s="17"/>
      <c r="B643" s="17"/>
      <c r="C643" s="17"/>
      <c r="D643" s="17"/>
      <c r="E643" s="18"/>
      <c r="F643" s="18"/>
      <c r="G643" s="18"/>
      <c r="H643" s="17"/>
      <c r="I643" s="17"/>
      <c r="J643" s="17"/>
      <c r="K643" s="18"/>
      <c r="L643" s="19"/>
      <c r="M643" s="18"/>
    </row>
    <row r="644" customFormat="false" ht="15" hidden="false" customHeight="true" outlineLevel="0" collapsed="false">
      <c r="A644" s="17"/>
      <c r="B644" s="17"/>
      <c r="C644" s="17"/>
      <c r="D644" s="17"/>
      <c r="E644" s="18"/>
      <c r="F644" s="18"/>
      <c r="G644" s="18"/>
      <c r="H644" s="17"/>
      <c r="I644" s="17"/>
      <c r="J644" s="17"/>
      <c r="K644" s="18"/>
      <c r="L644" s="19"/>
      <c r="M644" s="18"/>
    </row>
    <row r="645" customFormat="false" ht="15" hidden="false" customHeight="true" outlineLevel="0" collapsed="false">
      <c r="A645" s="17"/>
      <c r="B645" s="17"/>
      <c r="C645" s="17"/>
      <c r="D645" s="17"/>
      <c r="E645" s="18"/>
      <c r="F645" s="18"/>
      <c r="G645" s="18"/>
      <c r="H645" s="17"/>
      <c r="I645" s="17"/>
      <c r="J645" s="17"/>
      <c r="K645" s="18"/>
      <c r="L645" s="19"/>
      <c r="M645" s="18"/>
    </row>
    <row r="646" customFormat="false" ht="15" hidden="false" customHeight="true" outlineLevel="0" collapsed="false">
      <c r="A646" s="17"/>
      <c r="B646" s="17"/>
      <c r="C646" s="17"/>
      <c r="D646" s="17"/>
      <c r="E646" s="18"/>
      <c r="F646" s="18"/>
      <c r="G646" s="18"/>
      <c r="H646" s="17"/>
      <c r="I646" s="17"/>
      <c r="J646" s="17"/>
      <c r="K646" s="18"/>
      <c r="L646" s="19"/>
      <c r="M646" s="18"/>
    </row>
    <row r="647" customFormat="false" ht="15" hidden="false" customHeight="true" outlineLevel="0" collapsed="false">
      <c r="A647" s="17"/>
      <c r="B647" s="17"/>
      <c r="C647" s="17"/>
      <c r="D647" s="17"/>
      <c r="E647" s="18"/>
      <c r="F647" s="18"/>
      <c r="G647" s="18"/>
      <c r="H647" s="17"/>
      <c r="I647" s="17"/>
      <c r="J647" s="17"/>
      <c r="K647" s="18"/>
      <c r="L647" s="19"/>
      <c r="M647" s="18"/>
    </row>
    <row r="648" customFormat="false" ht="15" hidden="false" customHeight="true" outlineLevel="0" collapsed="false">
      <c r="A648" s="17"/>
      <c r="B648" s="17"/>
      <c r="C648" s="17"/>
      <c r="D648" s="17"/>
      <c r="E648" s="18"/>
      <c r="F648" s="18"/>
      <c r="G648" s="18"/>
      <c r="H648" s="17"/>
      <c r="I648" s="17"/>
      <c r="J648" s="17"/>
      <c r="K648" s="18"/>
      <c r="L648" s="19"/>
      <c r="M648" s="18"/>
    </row>
    <row r="649" customFormat="false" ht="15" hidden="false" customHeight="true" outlineLevel="0" collapsed="false">
      <c r="A649" s="17"/>
      <c r="B649" s="17"/>
      <c r="C649" s="17"/>
      <c r="D649" s="17"/>
      <c r="E649" s="18"/>
      <c r="F649" s="18"/>
      <c r="G649" s="18"/>
      <c r="H649" s="17"/>
      <c r="I649" s="17"/>
      <c r="J649" s="17"/>
      <c r="K649" s="18"/>
      <c r="L649" s="19"/>
      <c r="M649" s="18"/>
    </row>
    <row r="650" customFormat="false" ht="15" hidden="false" customHeight="true" outlineLevel="0" collapsed="false">
      <c r="A650" s="17"/>
      <c r="B650" s="17"/>
      <c r="C650" s="17"/>
      <c r="D650" s="17"/>
      <c r="E650" s="18"/>
      <c r="F650" s="18"/>
      <c r="G650" s="18"/>
      <c r="H650" s="17"/>
      <c r="I650" s="17"/>
      <c r="J650" s="17"/>
      <c r="K650" s="18"/>
      <c r="L650" s="19"/>
      <c r="M650" s="18"/>
    </row>
    <row r="651" customFormat="false" ht="15" hidden="false" customHeight="true" outlineLevel="0" collapsed="false">
      <c r="A651" s="17"/>
      <c r="B651" s="17"/>
      <c r="C651" s="17"/>
      <c r="D651" s="17"/>
      <c r="E651" s="18"/>
      <c r="F651" s="18"/>
      <c r="G651" s="18"/>
      <c r="H651" s="17"/>
      <c r="I651" s="17"/>
      <c r="J651" s="17"/>
      <c r="K651" s="18"/>
      <c r="L651" s="19"/>
      <c r="M651" s="18"/>
    </row>
    <row r="652" customFormat="false" ht="15" hidden="false" customHeight="true" outlineLevel="0" collapsed="false">
      <c r="A652" s="17"/>
      <c r="B652" s="17"/>
      <c r="C652" s="17"/>
      <c r="D652" s="17"/>
      <c r="E652" s="18"/>
      <c r="F652" s="18"/>
      <c r="G652" s="18"/>
      <c r="H652" s="17"/>
      <c r="I652" s="17"/>
      <c r="J652" s="17"/>
      <c r="K652" s="18"/>
      <c r="L652" s="19"/>
      <c r="M652" s="18"/>
    </row>
    <row r="653" customFormat="false" ht="15" hidden="false" customHeight="true" outlineLevel="0" collapsed="false">
      <c r="A653" s="17"/>
      <c r="B653" s="17"/>
      <c r="C653" s="17"/>
      <c r="D653" s="17"/>
      <c r="E653" s="18"/>
      <c r="F653" s="18"/>
      <c r="G653" s="18"/>
      <c r="H653" s="17"/>
      <c r="I653" s="17"/>
      <c r="J653" s="17"/>
      <c r="K653" s="18"/>
      <c r="L653" s="19"/>
      <c r="M653" s="18"/>
    </row>
    <row r="654" customFormat="false" ht="15" hidden="false" customHeight="true" outlineLevel="0" collapsed="false">
      <c r="A654" s="17"/>
      <c r="B654" s="17"/>
      <c r="C654" s="17"/>
      <c r="D654" s="17"/>
      <c r="E654" s="18"/>
      <c r="F654" s="18"/>
      <c r="G654" s="18"/>
      <c r="H654" s="17"/>
      <c r="I654" s="17"/>
      <c r="J654" s="17"/>
      <c r="K654" s="18"/>
      <c r="L654" s="19"/>
      <c r="M654" s="18"/>
    </row>
    <row r="655" customFormat="false" ht="15" hidden="false" customHeight="true" outlineLevel="0" collapsed="false">
      <c r="A655" s="17"/>
      <c r="B655" s="17"/>
      <c r="C655" s="17"/>
      <c r="D655" s="17"/>
      <c r="E655" s="18"/>
      <c r="F655" s="18"/>
      <c r="G655" s="18"/>
      <c r="H655" s="17"/>
      <c r="I655" s="17"/>
      <c r="J655" s="17"/>
      <c r="K655" s="18"/>
      <c r="L655" s="19"/>
      <c r="M655" s="18"/>
    </row>
    <row r="656" customFormat="false" ht="15" hidden="false" customHeight="true" outlineLevel="0" collapsed="false">
      <c r="A656" s="17"/>
      <c r="B656" s="17"/>
      <c r="C656" s="17"/>
      <c r="D656" s="17"/>
      <c r="E656" s="18"/>
      <c r="F656" s="18"/>
      <c r="G656" s="18"/>
      <c r="H656" s="17"/>
      <c r="I656" s="17"/>
      <c r="J656" s="17"/>
      <c r="K656" s="18"/>
      <c r="L656" s="19"/>
      <c r="M656" s="18"/>
    </row>
    <row r="657" customFormat="false" ht="15" hidden="false" customHeight="true" outlineLevel="0" collapsed="false">
      <c r="A657" s="17"/>
      <c r="B657" s="17"/>
      <c r="C657" s="17"/>
      <c r="D657" s="17"/>
      <c r="E657" s="18"/>
      <c r="F657" s="18"/>
      <c r="G657" s="18"/>
      <c r="H657" s="17"/>
      <c r="I657" s="17"/>
      <c r="J657" s="17"/>
      <c r="K657" s="18"/>
      <c r="L657" s="19"/>
      <c r="M657" s="18"/>
    </row>
    <row r="658" customFormat="false" ht="15" hidden="false" customHeight="true" outlineLevel="0" collapsed="false">
      <c r="A658" s="17"/>
      <c r="B658" s="17"/>
      <c r="C658" s="17"/>
      <c r="D658" s="17"/>
      <c r="E658" s="18"/>
      <c r="F658" s="18"/>
      <c r="G658" s="18"/>
      <c r="H658" s="17"/>
      <c r="I658" s="17"/>
      <c r="J658" s="17"/>
      <c r="K658" s="18"/>
      <c r="L658" s="19"/>
      <c r="M658" s="18"/>
    </row>
    <row r="659" customFormat="false" ht="15" hidden="false" customHeight="true" outlineLevel="0" collapsed="false">
      <c r="A659" s="17"/>
      <c r="B659" s="17"/>
      <c r="C659" s="17"/>
      <c r="D659" s="17"/>
      <c r="E659" s="18"/>
      <c r="F659" s="18"/>
      <c r="G659" s="18"/>
      <c r="H659" s="17"/>
      <c r="I659" s="17"/>
      <c r="J659" s="17"/>
      <c r="K659" s="18"/>
      <c r="L659" s="19"/>
      <c r="M659" s="18"/>
    </row>
    <row r="660" customFormat="false" ht="15" hidden="false" customHeight="true" outlineLevel="0" collapsed="false">
      <c r="A660" s="17"/>
      <c r="B660" s="17"/>
      <c r="C660" s="17"/>
      <c r="D660" s="17"/>
      <c r="E660" s="18"/>
      <c r="F660" s="18"/>
      <c r="G660" s="18"/>
      <c r="H660" s="17"/>
      <c r="I660" s="17"/>
      <c r="J660" s="17"/>
      <c r="K660" s="18"/>
      <c r="L660" s="19"/>
      <c r="M660" s="18"/>
    </row>
    <row r="661" customFormat="false" ht="15" hidden="false" customHeight="true" outlineLevel="0" collapsed="false">
      <c r="A661" s="17"/>
      <c r="B661" s="17"/>
      <c r="C661" s="17"/>
      <c r="D661" s="17"/>
      <c r="E661" s="18"/>
      <c r="F661" s="18"/>
      <c r="G661" s="18"/>
      <c r="H661" s="17"/>
      <c r="I661" s="17"/>
      <c r="J661" s="17"/>
      <c r="K661" s="18"/>
      <c r="L661" s="19"/>
      <c r="M661" s="18"/>
    </row>
    <row r="662" customFormat="false" ht="15" hidden="false" customHeight="true" outlineLevel="0" collapsed="false">
      <c r="A662" s="17"/>
      <c r="B662" s="17"/>
      <c r="C662" s="17"/>
      <c r="D662" s="17"/>
      <c r="E662" s="18"/>
      <c r="F662" s="18"/>
      <c r="G662" s="18"/>
      <c r="H662" s="17"/>
      <c r="I662" s="17"/>
      <c r="J662" s="17"/>
      <c r="K662" s="18"/>
      <c r="L662" s="19"/>
      <c r="M662" s="18"/>
    </row>
    <row r="663" customFormat="false" ht="15" hidden="false" customHeight="true" outlineLevel="0" collapsed="false">
      <c r="A663" s="17"/>
      <c r="B663" s="17"/>
      <c r="C663" s="17"/>
      <c r="D663" s="17"/>
      <c r="E663" s="18"/>
      <c r="F663" s="18"/>
      <c r="G663" s="18"/>
      <c r="H663" s="17"/>
      <c r="I663" s="17"/>
      <c r="J663" s="17"/>
      <c r="K663" s="18"/>
      <c r="L663" s="19"/>
      <c r="M663" s="18"/>
    </row>
    <row r="664" customFormat="false" ht="15" hidden="false" customHeight="true" outlineLevel="0" collapsed="false">
      <c r="A664" s="17"/>
      <c r="B664" s="17"/>
      <c r="C664" s="17"/>
      <c r="D664" s="17"/>
      <c r="E664" s="18"/>
      <c r="F664" s="18"/>
      <c r="G664" s="18"/>
      <c r="H664" s="17"/>
      <c r="I664" s="17"/>
      <c r="J664" s="17"/>
      <c r="K664" s="18"/>
      <c r="L664" s="19"/>
      <c r="M664" s="18"/>
    </row>
    <row r="665" customFormat="false" ht="15" hidden="false" customHeight="true" outlineLevel="0" collapsed="false">
      <c r="A665" s="17"/>
      <c r="B665" s="17"/>
      <c r="C665" s="17"/>
      <c r="D665" s="17"/>
      <c r="E665" s="18"/>
      <c r="F665" s="18"/>
      <c r="G665" s="18"/>
      <c r="H665" s="17"/>
      <c r="I665" s="17"/>
      <c r="J665" s="17"/>
      <c r="K665" s="18"/>
      <c r="L665" s="19"/>
      <c r="M665" s="18"/>
    </row>
    <row r="666" customFormat="false" ht="15" hidden="false" customHeight="true" outlineLevel="0" collapsed="false">
      <c r="A666" s="17"/>
      <c r="B666" s="17"/>
      <c r="C666" s="17"/>
      <c r="D666" s="17"/>
      <c r="E666" s="18"/>
      <c r="F666" s="18"/>
      <c r="G666" s="18"/>
      <c r="H666" s="17"/>
      <c r="I666" s="17"/>
      <c r="J666" s="17"/>
      <c r="K666" s="18"/>
      <c r="L666" s="19"/>
      <c r="M666" s="18"/>
    </row>
    <row r="667" customFormat="false" ht="15" hidden="false" customHeight="true" outlineLevel="0" collapsed="false">
      <c r="A667" s="17"/>
      <c r="B667" s="17"/>
      <c r="C667" s="17"/>
      <c r="D667" s="17"/>
      <c r="E667" s="18"/>
      <c r="F667" s="18"/>
      <c r="G667" s="18"/>
      <c r="H667" s="17"/>
      <c r="I667" s="17"/>
      <c r="J667" s="17"/>
      <c r="K667" s="18"/>
      <c r="L667" s="19"/>
      <c r="M667" s="18"/>
    </row>
    <row r="668" customFormat="false" ht="15" hidden="false" customHeight="true" outlineLevel="0" collapsed="false">
      <c r="A668" s="17"/>
      <c r="B668" s="17"/>
      <c r="C668" s="17"/>
      <c r="D668" s="17"/>
      <c r="E668" s="18"/>
      <c r="F668" s="18"/>
      <c r="G668" s="18"/>
      <c r="H668" s="17"/>
      <c r="I668" s="17"/>
      <c r="J668" s="17"/>
      <c r="K668" s="18"/>
      <c r="L668" s="19"/>
      <c r="M668" s="18"/>
    </row>
    <row r="669" customFormat="false" ht="15" hidden="false" customHeight="true" outlineLevel="0" collapsed="false">
      <c r="A669" s="17"/>
      <c r="B669" s="17"/>
      <c r="C669" s="17"/>
      <c r="D669" s="17"/>
      <c r="E669" s="18"/>
      <c r="F669" s="18"/>
      <c r="G669" s="18"/>
      <c r="H669" s="17"/>
      <c r="I669" s="17"/>
      <c r="J669" s="17"/>
      <c r="K669" s="18"/>
      <c r="L669" s="19"/>
      <c r="M669" s="18"/>
    </row>
    <row r="670" customFormat="false" ht="15" hidden="false" customHeight="true" outlineLevel="0" collapsed="false">
      <c r="A670" s="17"/>
      <c r="B670" s="17"/>
      <c r="C670" s="17"/>
      <c r="D670" s="17"/>
      <c r="E670" s="18"/>
      <c r="F670" s="18"/>
      <c r="G670" s="18"/>
      <c r="H670" s="17"/>
      <c r="I670" s="17"/>
      <c r="J670" s="17"/>
      <c r="K670" s="18"/>
      <c r="L670" s="19"/>
      <c r="M670" s="18"/>
    </row>
    <row r="671" customFormat="false" ht="15" hidden="false" customHeight="true" outlineLevel="0" collapsed="false">
      <c r="A671" s="17"/>
      <c r="B671" s="17"/>
      <c r="C671" s="17"/>
      <c r="D671" s="17"/>
      <c r="E671" s="18"/>
      <c r="F671" s="18"/>
      <c r="G671" s="18"/>
      <c r="H671" s="17"/>
      <c r="I671" s="17"/>
      <c r="J671" s="17"/>
      <c r="K671" s="18"/>
      <c r="L671" s="19"/>
      <c r="M671" s="18"/>
    </row>
    <row r="672" customFormat="false" ht="15" hidden="false" customHeight="true" outlineLevel="0" collapsed="false">
      <c r="A672" s="17"/>
      <c r="B672" s="17"/>
      <c r="C672" s="17"/>
      <c r="D672" s="17"/>
      <c r="E672" s="18"/>
      <c r="F672" s="18"/>
      <c r="G672" s="18"/>
      <c r="H672" s="17"/>
      <c r="I672" s="17"/>
      <c r="J672" s="17"/>
      <c r="K672" s="18"/>
      <c r="L672" s="19"/>
      <c r="M672" s="18"/>
    </row>
    <row r="673" customFormat="false" ht="15" hidden="false" customHeight="true" outlineLevel="0" collapsed="false">
      <c r="A673" s="17"/>
      <c r="B673" s="17"/>
      <c r="C673" s="17"/>
      <c r="D673" s="17"/>
      <c r="E673" s="18"/>
      <c r="F673" s="18"/>
      <c r="G673" s="18"/>
      <c r="H673" s="17"/>
      <c r="I673" s="17"/>
      <c r="J673" s="17"/>
      <c r="K673" s="18"/>
      <c r="L673" s="19"/>
      <c r="M673" s="18"/>
    </row>
    <row r="674" customFormat="false" ht="15" hidden="false" customHeight="true" outlineLevel="0" collapsed="false">
      <c r="A674" s="17"/>
      <c r="B674" s="17"/>
      <c r="C674" s="17"/>
      <c r="D674" s="17"/>
      <c r="E674" s="18"/>
      <c r="F674" s="18"/>
      <c r="G674" s="18"/>
      <c r="H674" s="17"/>
      <c r="I674" s="17"/>
      <c r="J674" s="17"/>
      <c r="K674" s="18"/>
      <c r="L674" s="19"/>
      <c r="M674" s="18"/>
    </row>
    <row r="675" customFormat="false" ht="15" hidden="false" customHeight="true" outlineLevel="0" collapsed="false">
      <c r="A675" s="17"/>
      <c r="B675" s="17"/>
      <c r="C675" s="17"/>
      <c r="D675" s="17"/>
      <c r="E675" s="18"/>
      <c r="F675" s="18"/>
      <c r="G675" s="18"/>
      <c r="H675" s="17"/>
      <c r="I675" s="17"/>
      <c r="J675" s="17"/>
      <c r="K675" s="18"/>
      <c r="L675" s="19"/>
      <c r="M675" s="18"/>
    </row>
    <row r="676" customFormat="false" ht="15" hidden="false" customHeight="true" outlineLevel="0" collapsed="false">
      <c r="A676" s="17"/>
      <c r="B676" s="17"/>
      <c r="C676" s="17"/>
      <c r="D676" s="17"/>
      <c r="E676" s="18"/>
      <c r="F676" s="18"/>
      <c r="G676" s="18"/>
      <c r="H676" s="17"/>
      <c r="I676" s="17"/>
      <c r="J676" s="17"/>
      <c r="K676" s="18"/>
      <c r="L676" s="19"/>
      <c r="M676" s="18"/>
    </row>
    <row r="677" customFormat="false" ht="15" hidden="false" customHeight="true" outlineLevel="0" collapsed="false">
      <c r="A677" s="17"/>
      <c r="B677" s="17"/>
      <c r="C677" s="17"/>
      <c r="D677" s="17"/>
      <c r="E677" s="18"/>
      <c r="F677" s="18"/>
      <c r="G677" s="18"/>
      <c r="H677" s="17"/>
      <c r="I677" s="17"/>
      <c r="J677" s="17"/>
      <c r="K677" s="18"/>
      <c r="L677" s="19"/>
      <c r="M677" s="18"/>
    </row>
    <row r="678" customFormat="false" ht="15" hidden="false" customHeight="true" outlineLevel="0" collapsed="false">
      <c r="A678" s="17"/>
      <c r="B678" s="17"/>
      <c r="C678" s="17"/>
      <c r="D678" s="17"/>
      <c r="E678" s="18"/>
      <c r="F678" s="18"/>
      <c r="G678" s="18"/>
      <c r="H678" s="17"/>
      <c r="I678" s="17"/>
      <c r="J678" s="17"/>
      <c r="K678" s="18"/>
      <c r="L678" s="19"/>
      <c r="M678" s="18"/>
    </row>
    <row r="679" customFormat="false" ht="15" hidden="false" customHeight="true" outlineLevel="0" collapsed="false">
      <c r="A679" s="17"/>
      <c r="B679" s="17"/>
      <c r="C679" s="17"/>
      <c r="D679" s="17"/>
      <c r="E679" s="18"/>
      <c r="F679" s="18"/>
      <c r="G679" s="18"/>
      <c r="H679" s="17"/>
      <c r="I679" s="17"/>
      <c r="J679" s="17"/>
      <c r="K679" s="18"/>
      <c r="L679" s="19"/>
      <c r="M679" s="18"/>
    </row>
    <row r="680" customFormat="false" ht="15" hidden="false" customHeight="true" outlineLevel="0" collapsed="false">
      <c r="A680" s="17"/>
      <c r="B680" s="17"/>
      <c r="C680" s="17"/>
      <c r="D680" s="17"/>
      <c r="E680" s="18"/>
      <c r="F680" s="18"/>
      <c r="G680" s="18"/>
      <c r="H680" s="17"/>
      <c r="I680" s="17"/>
      <c r="J680" s="17"/>
      <c r="K680" s="18"/>
      <c r="L680" s="19"/>
      <c r="M680" s="18"/>
    </row>
    <row r="681" customFormat="false" ht="15" hidden="false" customHeight="true" outlineLevel="0" collapsed="false">
      <c r="A681" s="17"/>
      <c r="B681" s="17"/>
      <c r="C681" s="17"/>
      <c r="D681" s="17"/>
      <c r="E681" s="18"/>
      <c r="F681" s="18"/>
      <c r="G681" s="18"/>
      <c r="H681" s="17"/>
      <c r="I681" s="17"/>
      <c r="J681" s="17"/>
      <c r="K681" s="18"/>
      <c r="L681" s="19"/>
      <c r="M681" s="18"/>
    </row>
    <row r="682" customFormat="false" ht="15" hidden="false" customHeight="true" outlineLevel="0" collapsed="false">
      <c r="A682" s="17"/>
      <c r="B682" s="17"/>
      <c r="C682" s="17"/>
      <c r="D682" s="17"/>
      <c r="E682" s="18"/>
      <c r="F682" s="18"/>
      <c r="G682" s="18"/>
      <c r="H682" s="17"/>
      <c r="I682" s="17"/>
      <c r="J682" s="17"/>
      <c r="K682" s="18"/>
      <c r="L682" s="19"/>
      <c r="M682" s="18"/>
    </row>
    <row r="683" customFormat="false" ht="15" hidden="false" customHeight="true" outlineLevel="0" collapsed="false">
      <c r="A683" s="17"/>
      <c r="B683" s="17"/>
      <c r="C683" s="17"/>
      <c r="D683" s="17"/>
      <c r="E683" s="18"/>
      <c r="F683" s="18"/>
      <c r="G683" s="18"/>
      <c r="H683" s="17"/>
      <c r="I683" s="17"/>
      <c r="J683" s="17"/>
      <c r="K683" s="18"/>
      <c r="L683" s="19"/>
      <c r="M683" s="18"/>
    </row>
    <row r="684" customFormat="false" ht="15" hidden="false" customHeight="true" outlineLevel="0" collapsed="false">
      <c r="A684" s="17"/>
      <c r="B684" s="17"/>
      <c r="C684" s="17"/>
      <c r="D684" s="17"/>
      <c r="E684" s="18"/>
      <c r="F684" s="18"/>
      <c r="G684" s="18"/>
      <c r="H684" s="17"/>
      <c r="I684" s="17"/>
      <c r="J684" s="17"/>
      <c r="K684" s="18"/>
      <c r="L684" s="19"/>
      <c r="M684" s="18"/>
    </row>
    <row r="685" customFormat="false" ht="15" hidden="false" customHeight="true" outlineLevel="0" collapsed="false">
      <c r="A685" s="17"/>
      <c r="B685" s="17"/>
      <c r="C685" s="17"/>
      <c r="D685" s="17"/>
      <c r="E685" s="18"/>
      <c r="F685" s="18"/>
      <c r="G685" s="18"/>
      <c r="H685" s="17"/>
      <c r="I685" s="17"/>
      <c r="J685" s="17"/>
      <c r="K685" s="18"/>
      <c r="L685" s="19"/>
      <c r="M685" s="18"/>
    </row>
    <row r="686" customFormat="false" ht="15" hidden="false" customHeight="true" outlineLevel="0" collapsed="false">
      <c r="A686" s="17"/>
      <c r="B686" s="17"/>
      <c r="C686" s="17"/>
      <c r="D686" s="17"/>
      <c r="E686" s="18"/>
      <c r="F686" s="18"/>
      <c r="G686" s="18"/>
      <c r="H686" s="17"/>
      <c r="I686" s="17"/>
      <c r="J686" s="17"/>
      <c r="K686" s="18"/>
      <c r="L686" s="19"/>
      <c r="M686" s="18"/>
    </row>
    <row r="687" customFormat="false" ht="15" hidden="false" customHeight="true" outlineLevel="0" collapsed="false">
      <c r="A687" s="17"/>
      <c r="B687" s="17"/>
      <c r="C687" s="17"/>
      <c r="D687" s="17"/>
      <c r="E687" s="18"/>
      <c r="F687" s="18"/>
      <c r="G687" s="18"/>
      <c r="H687" s="17"/>
      <c r="I687" s="17"/>
      <c r="J687" s="17"/>
      <c r="K687" s="18"/>
      <c r="L687" s="19"/>
      <c r="M687" s="18"/>
    </row>
    <row r="688" customFormat="false" ht="15" hidden="false" customHeight="true" outlineLevel="0" collapsed="false">
      <c r="A688" s="17"/>
      <c r="B688" s="17"/>
      <c r="C688" s="17"/>
      <c r="D688" s="17"/>
      <c r="E688" s="18"/>
      <c r="F688" s="18"/>
      <c r="G688" s="18"/>
      <c r="H688" s="17"/>
      <c r="I688" s="17"/>
      <c r="J688" s="17"/>
      <c r="K688" s="18"/>
      <c r="L688" s="19"/>
      <c r="M688" s="18"/>
    </row>
    <row r="689" customFormat="false" ht="15" hidden="false" customHeight="true" outlineLevel="0" collapsed="false">
      <c r="A689" s="17"/>
      <c r="B689" s="17"/>
      <c r="C689" s="17"/>
      <c r="D689" s="17"/>
      <c r="E689" s="18"/>
      <c r="F689" s="18"/>
      <c r="G689" s="18"/>
      <c r="H689" s="17"/>
      <c r="I689" s="17"/>
      <c r="J689" s="17"/>
      <c r="K689" s="18"/>
      <c r="L689" s="19"/>
      <c r="M689" s="18"/>
    </row>
    <row r="690" customFormat="false" ht="15" hidden="false" customHeight="true" outlineLevel="0" collapsed="false">
      <c r="A690" s="17"/>
      <c r="B690" s="17"/>
      <c r="C690" s="17"/>
      <c r="D690" s="17"/>
      <c r="E690" s="18"/>
      <c r="F690" s="18"/>
      <c r="G690" s="18"/>
      <c r="H690" s="17"/>
      <c r="I690" s="17"/>
      <c r="J690" s="17"/>
      <c r="K690" s="18"/>
      <c r="L690" s="19"/>
      <c r="M690" s="18"/>
    </row>
    <row r="691" customFormat="false" ht="15" hidden="false" customHeight="true" outlineLevel="0" collapsed="false">
      <c r="A691" s="17"/>
      <c r="B691" s="17"/>
      <c r="C691" s="17"/>
      <c r="D691" s="17"/>
      <c r="E691" s="18"/>
      <c r="F691" s="18"/>
      <c r="G691" s="18"/>
      <c r="H691" s="17"/>
      <c r="I691" s="17"/>
      <c r="J691" s="17"/>
      <c r="K691" s="18"/>
      <c r="L691" s="19"/>
      <c r="M691" s="18"/>
    </row>
    <row r="692" customFormat="false" ht="15" hidden="false" customHeight="true" outlineLevel="0" collapsed="false">
      <c r="A692" s="17"/>
      <c r="B692" s="17"/>
      <c r="C692" s="17"/>
      <c r="D692" s="17"/>
      <c r="E692" s="18"/>
      <c r="F692" s="18"/>
      <c r="G692" s="18"/>
      <c r="H692" s="17"/>
      <c r="I692" s="17"/>
      <c r="J692" s="17"/>
      <c r="K692" s="18"/>
      <c r="L692" s="19"/>
      <c r="M692" s="18"/>
    </row>
    <row r="693" customFormat="false" ht="15" hidden="false" customHeight="true" outlineLevel="0" collapsed="false">
      <c r="A693" s="17"/>
      <c r="B693" s="17"/>
      <c r="C693" s="17"/>
      <c r="D693" s="17"/>
      <c r="E693" s="18"/>
      <c r="F693" s="18"/>
      <c r="G693" s="18"/>
      <c r="H693" s="17"/>
      <c r="I693" s="17"/>
      <c r="J693" s="17"/>
      <c r="K693" s="18"/>
      <c r="L693" s="19"/>
      <c r="M693" s="18"/>
    </row>
    <row r="694" customFormat="false" ht="15" hidden="false" customHeight="true" outlineLevel="0" collapsed="false">
      <c r="A694" s="17"/>
      <c r="B694" s="17"/>
      <c r="C694" s="17"/>
      <c r="D694" s="17"/>
      <c r="E694" s="18"/>
      <c r="F694" s="18"/>
      <c r="G694" s="18"/>
      <c r="H694" s="17"/>
      <c r="I694" s="17"/>
      <c r="J694" s="17"/>
      <c r="K694" s="18"/>
      <c r="L694" s="19"/>
      <c r="M694" s="18"/>
    </row>
    <row r="695" customFormat="false" ht="15" hidden="false" customHeight="true" outlineLevel="0" collapsed="false">
      <c r="A695" s="17"/>
      <c r="B695" s="17"/>
      <c r="C695" s="17"/>
      <c r="D695" s="17"/>
      <c r="E695" s="18"/>
      <c r="F695" s="18"/>
      <c r="G695" s="18"/>
      <c r="H695" s="17"/>
      <c r="I695" s="17"/>
      <c r="J695" s="17"/>
      <c r="K695" s="18"/>
      <c r="L695" s="19"/>
      <c r="M695" s="18"/>
    </row>
    <row r="696" customFormat="false" ht="15" hidden="false" customHeight="true" outlineLevel="0" collapsed="false">
      <c r="A696" s="17"/>
      <c r="B696" s="17"/>
      <c r="C696" s="17"/>
      <c r="D696" s="17"/>
      <c r="E696" s="18"/>
      <c r="F696" s="18"/>
      <c r="G696" s="18"/>
      <c r="H696" s="17"/>
      <c r="I696" s="17"/>
      <c r="J696" s="17"/>
      <c r="K696" s="18"/>
      <c r="L696" s="19"/>
      <c r="M696" s="18"/>
    </row>
    <row r="697" customFormat="false" ht="15" hidden="false" customHeight="true" outlineLevel="0" collapsed="false">
      <c r="A697" s="17"/>
      <c r="B697" s="17"/>
      <c r="C697" s="17"/>
      <c r="D697" s="17"/>
      <c r="E697" s="18"/>
      <c r="F697" s="18"/>
      <c r="G697" s="18"/>
      <c r="H697" s="17"/>
      <c r="I697" s="17"/>
      <c r="J697" s="17"/>
      <c r="K697" s="18"/>
      <c r="L697" s="19"/>
      <c r="M697" s="18"/>
    </row>
    <row r="698" customFormat="false" ht="15" hidden="false" customHeight="true" outlineLevel="0" collapsed="false">
      <c r="A698" s="17"/>
      <c r="B698" s="17"/>
      <c r="C698" s="17"/>
      <c r="D698" s="17"/>
      <c r="E698" s="18"/>
      <c r="F698" s="18"/>
      <c r="G698" s="18"/>
      <c r="H698" s="17"/>
      <c r="I698" s="17"/>
      <c r="J698" s="17"/>
      <c r="K698" s="18"/>
      <c r="L698" s="19"/>
      <c r="M698" s="18"/>
    </row>
    <row r="699" customFormat="false" ht="15" hidden="false" customHeight="true" outlineLevel="0" collapsed="false">
      <c r="A699" s="17"/>
      <c r="B699" s="17"/>
      <c r="C699" s="17"/>
      <c r="D699" s="17"/>
      <c r="E699" s="18"/>
      <c r="F699" s="18"/>
      <c r="G699" s="18"/>
      <c r="H699" s="17"/>
      <c r="I699" s="17"/>
      <c r="J699" s="17"/>
      <c r="K699" s="18"/>
      <c r="L699" s="19"/>
      <c r="M699" s="18"/>
    </row>
    <row r="700" customFormat="false" ht="15" hidden="false" customHeight="true" outlineLevel="0" collapsed="false">
      <c r="A700" s="17"/>
      <c r="B700" s="17"/>
      <c r="C700" s="17"/>
      <c r="D700" s="17"/>
      <c r="E700" s="18"/>
      <c r="F700" s="18"/>
      <c r="G700" s="18"/>
      <c r="H700" s="17"/>
      <c r="I700" s="17"/>
      <c r="J700" s="17"/>
      <c r="K700" s="18"/>
      <c r="L700" s="19"/>
      <c r="M700" s="18"/>
    </row>
    <row r="701" customFormat="false" ht="15" hidden="false" customHeight="true" outlineLevel="0" collapsed="false">
      <c r="A701" s="17"/>
      <c r="B701" s="17"/>
      <c r="C701" s="17"/>
      <c r="D701" s="17"/>
      <c r="E701" s="18"/>
      <c r="F701" s="18"/>
      <c r="G701" s="18"/>
      <c r="H701" s="17"/>
      <c r="I701" s="17"/>
      <c r="J701" s="17"/>
      <c r="K701" s="18"/>
      <c r="L701" s="19"/>
      <c r="M701" s="18"/>
    </row>
    <row r="702" customFormat="false" ht="15" hidden="false" customHeight="true" outlineLevel="0" collapsed="false">
      <c r="A702" s="17"/>
      <c r="B702" s="17"/>
      <c r="C702" s="17"/>
      <c r="D702" s="17"/>
      <c r="E702" s="18"/>
      <c r="F702" s="18"/>
      <c r="G702" s="18"/>
      <c r="H702" s="17"/>
      <c r="I702" s="17"/>
      <c r="J702" s="17"/>
      <c r="K702" s="18"/>
      <c r="L702" s="19"/>
      <c r="M702" s="18"/>
    </row>
    <row r="703" customFormat="false" ht="15" hidden="false" customHeight="true" outlineLevel="0" collapsed="false">
      <c r="A703" s="17"/>
      <c r="B703" s="17"/>
      <c r="C703" s="17"/>
      <c r="D703" s="17"/>
      <c r="E703" s="18"/>
      <c r="F703" s="18"/>
      <c r="G703" s="18"/>
      <c r="H703" s="17"/>
      <c r="I703" s="17"/>
      <c r="J703" s="17"/>
      <c r="K703" s="18"/>
      <c r="L703" s="19"/>
      <c r="M703" s="18"/>
    </row>
    <row r="704" customFormat="false" ht="15" hidden="false" customHeight="true" outlineLevel="0" collapsed="false">
      <c r="A704" s="17"/>
      <c r="B704" s="17"/>
      <c r="C704" s="17"/>
      <c r="D704" s="17"/>
      <c r="E704" s="18"/>
      <c r="F704" s="18"/>
      <c r="G704" s="18"/>
      <c r="H704" s="17"/>
      <c r="I704" s="17"/>
      <c r="J704" s="17"/>
      <c r="K704" s="18"/>
      <c r="L704" s="19"/>
      <c r="M704" s="18"/>
    </row>
    <row r="705" customFormat="false" ht="15" hidden="false" customHeight="true" outlineLevel="0" collapsed="false">
      <c r="A705" s="17"/>
      <c r="B705" s="17"/>
      <c r="C705" s="17"/>
      <c r="D705" s="17"/>
      <c r="E705" s="18"/>
      <c r="F705" s="18"/>
      <c r="G705" s="18"/>
      <c r="H705" s="17"/>
      <c r="I705" s="17"/>
      <c r="J705" s="17"/>
      <c r="K705" s="18"/>
      <c r="L705" s="19"/>
      <c r="M705" s="18"/>
    </row>
    <row r="706" customFormat="false" ht="15" hidden="false" customHeight="true" outlineLevel="0" collapsed="false">
      <c r="A706" s="17"/>
      <c r="B706" s="17"/>
      <c r="C706" s="17"/>
      <c r="D706" s="17"/>
      <c r="E706" s="18"/>
      <c r="F706" s="18"/>
      <c r="G706" s="18"/>
      <c r="H706" s="17"/>
      <c r="I706" s="17"/>
      <c r="J706" s="17"/>
      <c r="K706" s="18"/>
      <c r="L706" s="19"/>
      <c r="M706" s="18"/>
    </row>
    <row r="707" customFormat="false" ht="15" hidden="false" customHeight="true" outlineLevel="0" collapsed="false">
      <c r="A707" s="17"/>
      <c r="B707" s="17"/>
      <c r="C707" s="17"/>
      <c r="D707" s="17"/>
      <c r="E707" s="18"/>
      <c r="F707" s="18"/>
      <c r="G707" s="18"/>
      <c r="H707" s="17"/>
      <c r="I707" s="17"/>
      <c r="J707" s="17"/>
      <c r="K707" s="18"/>
      <c r="L707" s="19"/>
      <c r="M707" s="18"/>
    </row>
    <row r="708" customFormat="false" ht="15" hidden="false" customHeight="true" outlineLevel="0" collapsed="false">
      <c r="A708" s="17"/>
      <c r="B708" s="17"/>
      <c r="C708" s="17"/>
      <c r="D708" s="17"/>
      <c r="E708" s="18"/>
      <c r="F708" s="18"/>
      <c r="G708" s="18"/>
      <c r="H708" s="17"/>
      <c r="I708" s="17"/>
      <c r="J708" s="17"/>
      <c r="K708" s="18"/>
      <c r="L708" s="19"/>
      <c r="M708" s="18"/>
    </row>
    <row r="709" customFormat="false" ht="15" hidden="false" customHeight="true" outlineLevel="0" collapsed="false">
      <c r="A709" s="17"/>
      <c r="B709" s="17"/>
      <c r="C709" s="17"/>
      <c r="D709" s="17"/>
      <c r="E709" s="18"/>
      <c r="F709" s="18"/>
      <c r="G709" s="18"/>
      <c r="H709" s="17"/>
      <c r="I709" s="17"/>
      <c r="J709" s="17"/>
      <c r="K709" s="18"/>
      <c r="L709" s="19"/>
      <c r="M709" s="18"/>
    </row>
    <row r="710" customFormat="false" ht="15" hidden="false" customHeight="true" outlineLevel="0" collapsed="false">
      <c r="A710" s="17"/>
      <c r="B710" s="17"/>
      <c r="C710" s="17"/>
      <c r="D710" s="17"/>
      <c r="E710" s="18"/>
      <c r="F710" s="18"/>
      <c r="G710" s="18"/>
      <c r="H710" s="17"/>
      <c r="I710" s="17"/>
      <c r="J710" s="17"/>
      <c r="K710" s="18"/>
      <c r="L710" s="19"/>
      <c r="M710" s="18"/>
    </row>
    <row r="711" customFormat="false" ht="15" hidden="false" customHeight="true" outlineLevel="0" collapsed="false">
      <c r="A711" s="17"/>
      <c r="B711" s="17"/>
      <c r="C711" s="17"/>
      <c r="D711" s="17"/>
      <c r="E711" s="18"/>
      <c r="F711" s="18"/>
      <c r="G711" s="18"/>
      <c r="H711" s="17"/>
      <c r="I711" s="17"/>
      <c r="J711" s="17"/>
      <c r="K711" s="18"/>
      <c r="L711" s="19"/>
      <c r="M711" s="18"/>
    </row>
    <row r="712" customFormat="false" ht="15" hidden="false" customHeight="true" outlineLevel="0" collapsed="false">
      <c r="A712" s="17"/>
      <c r="B712" s="17"/>
      <c r="C712" s="17"/>
      <c r="D712" s="17"/>
      <c r="E712" s="18"/>
      <c r="F712" s="18"/>
      <c r="G712" s="18"/>
      <c r="H712" s="17"/>
      <c r="I712" s="17"/>
      <c r="J712" s="17"/>
      <c r="K712" s="18"/>
      <c r="L712" s="19"/>
      <c r="M712" s="18"/>
    </row>
    <row r="713" customFormat="false" ht="15" hidden="false" customHeight="true" outlineLevel="0" collapsed="false">
      <c r="A713" s="17"/>
      <c r="B713" s="17"/>
      <c r="C713" s="17"/>
      <c r="D713" s="17"/>
      <c r="E713" s="18"/>
      <c r="F713" s="18"/>
      <c r="G713" s="18"/>
      <c r="H713" s="17"/>
      <c r="I713" s="17"/>
      <c r="J713" s="17"/>
      <c r="K713" s="18"/>
      <c r="L713" s="19"/>
      <c r="M713" s="18"/>
    </row>
    <row r="714" customFormat="false" ht="15" hidden="false" customHeight="true" outlineLevel="0" collapsed="false">
      <c r="A714" s="17"/>
      <c r="B714" s="17"/>
      <c r="C714" s="17"/>
      <c r="D714" s="17"/>
      <c r="E714" s="18"/>
      <c r="F714" s="18"/>
      <c r="G714" s="18"/>
      <c r="H714" s="17"/>
      <c r="I714" s="17"/>
      <c r="J714" s="17"/>
      <c r="K714" s="18"/>
      <c r="L714" s="19"/>
      <c r="M714" s="18"/>
    </row>
    <row r="715" customFormat="false" ht="15" hidden="false" customHeight="true" outlineLevel="0" collapsed="false">
      <c r="A715" s="17"/>
      <c r="B715" s="17"/>
      <c r="C715" s="17"/>
      <c r="D715" s="17"/>
      <c r="E715" s="18"/>
      <c r="F715" s="18"/>
      <c r="G715" s="18"/>
      <c r="H715" s="17"/>
      <c r="I715" s="17"/>
      <c r="J715" s="17"/>
      <c r="K715" s="18"/>
      <c r="L715" s="19"/>
      <c r="M715" s="18"/>
    </row>
    <row r="716" customFormat="false" ht="15" hidden="false" customHeight="true" outlineLevel="0" collapsed="false">
      <c r="A716" s="17"/>
      <c r="B716" s="17"/>
      <c r="C716" s="17"/>
      <c r="D716" s="17"/>
      <c r="E716" s="18"/>
      <c r="F716" s="18"/>
      <c r="G716" s="18"/>
      <c r="H716" s="17"/>
      <c r="I716" s="17"/>
      <c r="J716" s="17"/>
      <c r="K716" s="18"/>
      <c r="L716" s="19"/>
      <c r="M716" s="18"/>
    </row>
    <row r="717" customFormat="false" ht="15" hidden="false" customHeight="true" outlineLevel="0" collapsed="false">
      <c r="A717" s="17"/>
      <c r="B717" s="17"/>
      <c r="C717" s="17"/>
      <c r="D717" s="17"/>
      <c r="E717" s="18"/>
      <c r="F717" s="18"/>
      <c r="G717" s="18"/>
      <c r="H717" s="17"/>
      <c r="I717" s="17"/>
      <c r="J717" s="17"/>
      <c r="K717" s="18"/>
      <c r="L717" s="19"/>
      <c r="M717" s="18"/>
    </row>
    <row r="718" customFormat="false" ht="15" hidden="false" customHeight="true" outlineLevel="0" collapsed="false">
      <c r="A718" s="17"/>
      <c r="B718" s="17"/>
      <c r="C718" s="17"/>
      <c r="D718" s="17"/>
      <c r="E718" s="18"/>
      <c r="F718" s="18"/>
      <c r="G718" s="18"/>
      <c r="H718" s="17"/>
      <c r="I718" s="17"/>
      <c r="J718" s="17"/>
      <c r="K718" s="18"/>
      <c r="L718" s="19"/>
      <c r="M718" s="18"/>
    </row>
    <row r="719" customFormat="false" ht="15" hidden="false" customHeight="true" outlineLevel="0" collapsed="false">
      <c r="A719" s="17"/>
      <c r="B719" s="17"/>
      <c r="C719" s="17"/>
      <c r="D719" s="17"/>
      <c r="E719" s="18"/>
      <c r="F719" s="18"/>
      <c r="G719" s="18"/>
      <c r="H719" s="17"/>
      <c r="I719" s="17"/>
      <c r="J719" s="17"/>
      <c r="K719" s="18"/>
      <c r="L719" s="19"/>
      <c r="M719" s="18"/>
    </row>
    <row r="720" customFormat="false" ht="15" hidden="false" customHeight="true" outlineLevel="0" collapsed="false">
      <c r="A720" s="17"/>
      <c r="B720" s="17"/>
      <c r="C720" s="17"/>
      <c r="D720" s="17"/>
      <c r="E720" s="18"/>
      <c r="F720" s="18"/>
      <c r="G720" s="18"/>
      <c r="H720" s="17"/>
      <c r="I720" s="17"/>
      <c r="J720" s="17"/>
      <c r="K720" s="18"/>
      <c r="L720" s="19"/>
      <c r="M720" s="18"/>
    </row>
    <row r="721" customFormat="false" ht="15" hidden="false" customHeight="true" outlineLevel="0" collapsed="false">
      <c r="A721" s="17"/>
      <c r="B721" s="17"/>
      <c r="C721" s="17"/>
      <c r="D721" s="17"/>
      <c r="E721" s="18"/>
      <c r="F721" s="18"/>
      <c r="G721" s="18"/>
      <c r="H721" s="17"/>
      <c r="I721" s="17"/>
      <c r="J721" s="17"/>
      <c r="K721" s="18"/>
      <c r="L721" s="19"/>
      <c r="M721" s="18"/>
    </row>
    <row r="722" customFormat="false" ht="15" hidden="false" customHeight="true" outlineLevel="0" collapsed="false">
      <c r="A722" s="17"/>
      <c r="B722" s="17"/>
      <c r="C722" s="17"/>
      <c r="D722" s="17"/>
      <c r="E722" s="18"/>
      <c r="F722" s="18"/>
      <c r="G722" s="18"/>
      <c r="H722" s="17"/>
      <c r="I722" s="17"/>
      <c r="J722" s="17"/>
      <c r="K722" s="18"/>
      <c r="L722" s="19"/>
      <c r="M722" s="18"/>
    </row>
    <row r="723" customFormat="false" ht="15" hidden="false" customHeight="true" outlineLevel="0" collapsed="false">
      <c r="A723" s="17"/>
      <c r="B723" s="17"/>
      <c r="C723" s="17"/>
      <c r="D723" s="17"/>
      <c r="E723" s="18"/>
      <c r="F723" s="18"/>
      <c r="G723" s="18"/>
      <c r="H723" s="17"/>
      <c r="I723" s="17"/>
      <c r="J723" s="17"/>
      <c r="K723" s="18"/>
      <c r="L723" s="19"/>
      <c r="M723" s="18"/>
    </row>
    <row r="724" customFormat="false" ht="15" hidden="false" customHeight="true" outlineLevel="0" collapsed="false">
      <c r="A724" s="17"/>
      <c r="B724" s="17"/>
      <c r="C724" s="17"/>
      <c r="D724" s="17"/>
      <c r="E724" s="18"/>
      <c r="F724" s="18"/>
      <c r="G724" s="18"/>
      <c r="H724" s="17"/>
      <c r="I724" s="17"/>
      <c r="J724" s="17"/>
      <c r="K724" s="18"/>
      <c r="L724" s="19"/>
      <c r="M724" s="18"/>
    </row>
    <row r="725" customFormat="false" ht="15" hidden="false" customHeight="true" outlineLevel="0" collapsed="false">
      <c r="A725" s="17"/>
      <c r="B725" s="17"/>
      <c r="C725" s="17"/>
      <c r="D725" s="17"/>
      <c r="E725" s="18"/>
      <c r="F725" s="18"/>
      <c r="G725" s="18"/>
      <c r="H725" s="17"/>
      <c r="I725" s="17"/>
      <c r="J725" s="17"/>
      <c r="K725" s="18"/>
      <c r="L725" s="19"/>
      <c r="M725" s="18"/>
    </row>
    <row r="726" customFormat="false" ht="15" hidden="false" customHeight="true" outlineLevel="0" collapsed="false">
      <c r="A726" s="17"/>
      <c r="B726" s="17"/>
      <c r="C726" s="17"/>
      <c r="D726" s="17"/>
      <c r="E726" s="18"/>
      <c r="F726" s="18"/>
      <c r="G726" s="18"/>
      <c r="H726" s="17"/>
      <c r="I726" s="17"/>
      <c r="J726" s="17"/>
      <c r="K726" s="18"/>
      <c r="L726" s="19"/>
      <c r="M726" s="18"/>
    </row>
    <row r="727" customFormat="false" ht="15" hidden="false" customHeight="true" outlineLevel="0" collapsed="false">
      <c r="A727" s="17"/>
      <c r="B727" s="17"/>
      <c r="C727" s="17"/>
      <c r="D727" s="17"/>
      <c r="E727" s="18"/>
      <c r="F727" s="18"/>
      <c r="G727" s="18"/>
      <c r="H727" s="17"/>
      <c r="I727" s="17"/>
      <c r="J727" s="17"/>
      <c r="K727" s="18"/>
      <c r="L727" s="19"/>
      <c r="M727" s="18"/>
    </row>
    <row r="728" customFormat="false" ht="15" hidden="false" customHeight="true" outlineLevel="0" collapsed="false">
      <c r="A728" s="17"/>
      <c r="B728" s="17"/>
      <c r="C728" s="17"/>
      <c r="D728" s="17"/>
      <c r="E728" s="18"/>
      <c r="F728" s="18"/>
      <c r="G728" s="18"/>
      <c r="H728" s="17"/>
      <c r="I728" s="17"/>
      <c r="J728" s="17"/>
      <c r="K728" s="18"/>
      <c r="L728" s="19"/>
      <c r="M728" s="18"/>
    </row>
    <row r="729" customFormat="false" ht="15" hidden="false" customHeight="true" outlineLevel="0" collapsed="false">
      <c r="A729" s="17"/>
      <c r="B729" s="17"/>
      <c r="C729" s="17"/>
      <c r="D729" s="17"/>
      <c r="E729" s="18"/>
      <c r="F729" s="18"/>
      <c r="G729" s="18"/>
      <c r="H729" s="17"/>
      <c r="I729" s="17"/>
      <c r="J729" s="17"/>
      <c r="K729" s="18"/>
      <c r="L729" s="19"/>
      <c r="M729" s="18"/>
    </row>
    <row r="730" customFormat="false" ht="15" hidden="false" customHeight="true" outlineLevel="0" collapsed="false">
      <c r="A730" s="17"/>
      <c r="B730" s="17"/>
      <c r="C730" s="17"/>
      <c r="D730" s="17"/>
      <c r="E730" s="18"/>
      <c r="F730" s="18"/>
      <c r="G730" s="18"/>
      <c r="H730" s="17"/>
      <c r="I730" s="17"/>
      <c r="J730" s="17"/>
      <c r="K730" s="18"/>
      <c r="L730" s="19"/>
      <c r="M730" s="18"/>
    </row>
    <row r="731" customFormat="false" ht="15" hidden="false" customHeight="true" outlineLevel="0" collapsed="false">
      <c r="A731" s="17"/>
      <c r="B731" s="17"/>
      <c r="C731" s="17"/>
      <c r="D731" s="17"/>
      <c r="E731" s="18"/>
      <c r="F731" s="18"/>
      <c r="G731" s="18"/>
      <c r="H731" s="17"/>
      <c r="I731" s="17"/>
      <c r="J731" s="17"/>
      <c r="K731" s="18"/>
      <c r="L731" s="19"/>
      <c r="M731" s="18"/>
    </row>
    <row r="732" customFormat="false" ht="15" hidden="false" customHeight="true" outlineLevel="0" collapsed="false">
      <c r="A732" s="17"/>
      <c r="B732" s="17"/>
      <c r="C732" s="17"/>
      <c r="D732" s="17"/>
      <c r="E732" s="18"/>
      <c r="F732" s="18"/>
      <c r="G732" s="18"/>
      <c r="H732" s="17"/>
      <c r="I732" s="17"/>
      <c r="J732" s="17"/>
      <c r="K732" s="18"/>
      <c r="L732" s="19"/>
      <c r="M732" s="18"/>
    </row>
    <row r="733" customFormat="false" ht="15" hidden="false" customHeight="true" outlineLevel="0" collapsed="false">
      <c r="A733" s="17"/>
      <c r="B733" s="17"/>
      <c r="C733" s="17"/>
      <c r="D733" s="17"/>
      <c r="E733" s="18"/>
      <c r="F733" s="18"/>
      <c r="G733" s="18"/>
      <c r="H733" s="17"/>
      <c r="I733" s="17"/>
      <c r="J733" s="17"/>
      <c r="K733" s="18"/>
      <c r="L733" s="19"/>
      <c r="M733" s="18"/>
    </row>
    <row r="734" customFormat="false" ht="15" hidden="false" customHeight="true" outlineLevel="0" collapsed="false">
      <c r="A734" s="17"/>
      <c r="B734" s="17"/>
      <c r="C734" s="17"/>
      <c r="D734" s="17"/>
      <c r="E734" s="18"/>
      <c r="F734" s="18"/>
      <c r="G734" s="18"/>
      <c r="H734" s="17"/>
      <c r="I734" s="17"/>
      <c r="J734" s="17"/>
      <c r="K734" s="18"/>
      <c r="L734" s="19"/>
      <c r="M734" s="18"/>
    </row>
    <row r="735" customFormat="false" ht="15" hidden="false" customHeight="true" outlineLevel="0" collapsed="false">
      <c r="A735" s="17"/>
      <c r="B735" s="17"/>
      <c r="C735" s="17"/>
      <c r="D735" s="17"/>
      <c r="E735" s="18"/>
      <c r="F735" s="18"/>
      <c r="G735" s="18"/>
      <c r="H735" s="17"/>
      <c r="I735" s="17"/>
      <c r="J735" s="17"/>
      <c r="K735" s="18"/>
      <c r="L735" s="19"/>
      <c r="M735" s="18"/>
    </row>
    <row r="736" customFormat="false" ht="15" hidden="false" customHeight="true" outlineLevel="0" collapsed="false">
      <c r="A736" s="17"/>
      <c r="B736" s="17"/>
      <c r="C736" s="17"/>
      <c r="D736" s="17"/>
      <c r="E736" s="18"/>
      <c r="F736" s="18"/>
      <c r="G736" s="18"/>
      <c r="H736" s="17"/>
      <c r="I736" s="17"/>
      <c r="J736" s="17"/>
      <c r="K736" s="18"/>
      <c r="L736" s="19"/>
      <c r="M736" s="18"/>
    </row>
    <row r="737" customFormat="false" ht="15" hidden="false" customHeight="true" outlineLevel="0" collapsed="false">
      <c r="A737" s="17"/>
      <c r="B737" s="17"/>
      <c r="C737" s="17"/>
      <c r="D737" s="17"/>
      <c r="E737" s="18"/>
      <c r="F737" s="18"/>
      <c r="G737" s="18"/>
      <c r="H737" s="17"/>
      <c r="I737" s="17"/>
      <c r="J737" s="17"/>
      <c r="K737" s="18"/>
      <c r="L737" s="19"/>
      <c r="M737" s="18"/>
    </row>
    <row r="738" customFormat="false" ht="15" hidden="false" customHeight="true" outlineLevel="0" collapsed="false">
      <c r="A738" s="17"/>
      <c r="B738" s="17"/>
      <c r="C738" s="17"/>
      <c r="D738" s="17"/>
      <c r="E738" s="18"/>
      <c r="F738" s="18"/>
      <c r="G738" s="18"/>
      <c r="H738" s="17"/>
      <c r="I738" s="17"/>
      <c r="J738" s="17"/>
      <c r="K738" s="18"/>
      <c r="L738" s="19"/>
      <c r="M738" s="18"/>
    </row>
    <row r="739" customFormat="false" ht="15" hidden="false" customHeight="true" outlineLevel="0" collapsed="false">
      <c r="A739" s="17"/>
      <c r="B739" s="17"/>
      <c r="C739" s="17"/>
      <c r="D739" s="17"/>
      <c r="E739" s="18"/>
      <c r="F739" s="18"/>
      <c r="G739" s="18"/>
      <c r="H739" s="17"/>
      <c r="I739" s="17"/>
      <c r="J739" s="17"/>
      <c r="K739" s="18"/>
      <c r="L739" s="19"/>
      <c r="M739" s="18"/>
    </row>
    <row r="740" customFormat="false" ht="15" hidden="false" customHeight="true" outlineLevel="0" collapsed="false">
      <c r="A740" s="17"/>
      <c r="B740" s="17"/>
      <c r="C740" s="17"/>
      <c r="D740" s="17"/>
      <c r="E740" s="18"/>
      <c r="F740" s="18"/>
      <c r="G740" s="18"/>
      <c r="H740" s="17"/>
      <c r="I740" s="17"/>
      <c r="J740" s="17"/>
      <c r="K740" s="18"/>
      <c r="L740" s="19"/>
      <c r="M740" s="18"/>
    </row>
    <row r="741" customFormat="false" ht="15" hidden="false" customHeight="true" outlineLevel="0" collapsed="false">
      <c r="A741" s="17"/>
      <c r="B741" s="17"/>
      <c r="C741" s="17"/>
      <c r="D741" s="17"/>
      <c r="E741" s="18"/>
      <c r="F741" s="18"/>
      <c r="G741" s="18"/>
      <c r="H741" s="17"/>
      <c r="I741" s="17"/>
      <c r="J741" s="17"/>
      <c r="K741" s="18"/>
      <c r="L741" s="19"/>
      <c r="M741" s="18"/>
    </row>
    <row r="742" customFormat="false" ht="15" hidden="false" customHeight="true" outlineLevel="0" collapsed="false">
      <c r="A742" s="17"/>
      <c r="B742" s="17"/>
      <c r="C742" s="17"/>
      <c r="D742" s="17"/>
      <c r="E742" s="18"/>
      <c r="F742" s="18"/>
      <c r="G742" s="18"/>
      <c r="H742" s="17"/>
      <c r="I742" s="17"/>
      <c r="J742" s="17"/>
      <c r="K742" s="18"/>
      <c r="L742" s="19"/>
      <c r="M742" s="18"/>
    </row>
    <row r="743" customFormat="false" ht="15" hidden="false" customHeight="true" outlineLevel="0" collapsed="false">
      <c r="A743" s="17"/>
      <c r="B743" s="17"/>
      <c r="C743" s="17"/>
      <c r="D743" s="17"/>
      <c r="E743" s="18"/>
      <c r="F743" s="18"/>
      <c r="G743" s="18"/>
      <c r="H743" s="17"/>
      <c r="I743" s="17"/>
      <c r="J743" s="17"/>
      <c r="K743" s="18"/>
      <c r="L743" s="19"/>
      <c r="M743" s="18"/>
    </row>
    <row r="744" customFormat="false" ht="15" hidden="false" customHeight="true" outlineLevel="0" collapsed="false">
      <c r="A744" s="17"/>
      <c r="B744" s="17"/>
      <c r="C744" s="17"/>
      <c r="D744" s="17"/>
      <c r="E744" s="18"/>
      <c r="F744" s="18"/>
      <c r="G744" s="18"/>
      <c r="H744" s="17"/>
      <c r="I744" s="17"/>
      <c r="J744" s="17"/>
      <c r="K744" s="18"/>
      <c r="L744" s="19"/>
      <c r="M744" s="18"/>
    </row>
    <row r="745" customFormat="false" ht="15" hidden="false" customHeight="true" outlineLevel="0" collapsed="false">
      <c r="A745" s="17"/>
      <c r="B745" s="17"/>
      <c r="C745" s="17"/>
      <c r="D745" s="17"/>
      <c r="E745" s="18"/>
      <c r="F745" s="18"/>
      <c r="G745" s="18"/>
      <c r="H745" s="17"/>
      <c r="I745" s="17"/>
      <c r="J745" s="17"/>
      <c r="K745" s="18"/>
      <c r="L745" s="19"/>
      <c r="M745" s="18"/>
    </row>
    <row r="746" customFormat="false" ht="15" hidden="false" customHeight="true" outlineLevel="0" collapsed="false">
      <c r="A746" s="17"/>
      <c r="B746" s="17"/>
      <c r="C746" s="17"/>
      <c r="D746" s="17"/>
      <c r="E746" s="18"/>
      <c r="F746" s="18"/>
      <c r="G746" s="18"/>
      <c r="H746" s="17"/>
      <c r="I746" s="17"/>
      <c r="J746" s="17"/>
      <c r="K746" s="18"/>
      <c r="L746" s="19"/>
      <c r="M746" s="18"/>
    </row>
    <row r="747" customFormat="false" ht="15" hidden="false" customHeight="true" outlineLevel="0" collapsed="false">
      <c r="A747" s="17"/>
      <c r="B747" s="17"/>
      <c r="C747" s="17"/>
      <c r="D747" s="17"/>
      <c r="E747" s="18"/>
      <c r="F747" s="18"/>
      <c r="G747" s="18"/>
      <c r="H747" s="17"/>
      <c r="I747" s="17"/>
      <c r="J747" s="17"/>
      <c r="K747" s="18"/>
      <c r="L747" s="19"/>
      <c r="M747" s="18"/>
    </row>
    <row r="748" customFormat="false" ht="15" hidden="false" customHeight="true" outlineLevel="0" collapsed="false">
      <c r="A748" s="17"/>
      <c r="B748" s="17"/>
      <c r="C748" s="17"/>
      <c r="D748" s="17"/>
      <c r="E748" s="18"/>
      <c r="F748" s="18"/>
      <c r="G748" s="18"/>
      <c r="H748" s="17"/>
      <c r="I748" s="17"/>
      <c r="J748" s="17"/>
      <c r="K748" s="18"/>
      <c r="L748" s="19"/>
      <c r="M748" s="18"/>
    </row>
    <row r="749" customFormat="false" ht="15" hidden="false" customHeight="true" outlineLevel="0" collapsed="false">
      <c r="A749" s="17"/>
      <c r="B749" s="17"/>
      <c r="C749" s="17"/>
      <c r="D749" s="17"/>
      <c r="E749" s="18"/>
      <c r="F749" s="18"/>
      <c r="G749" s="18"/>
      <c r="H749" s="17"/>
      <c r="I749" s="17"/>
      <c r="J749" s="17"/>
      <c r="K749" s="18"/>
      <c r="L749" s="19"/>
      <c r="M749" s="18"/>
    </row>
    <row r="750" customFormat="false" ht="15" hidden="false" customHeight="true" outlineLevel="0" collapsed="false">
      <c r="A750" s="17"/>
      <c r="B750" s="17"/>
      <c r="C750" s="17"/>
      <c r="D750" s="17"/>
      <c r="E750" s="18"/>
      <c r="F750" s="18"/>
      <c r="G750" s="18"/>
      <c r="H750" s="17"/>
      <c r="I750" s="17"/>
      <c r="J750" s="17"/>
      <c r="K750" s="18"/>
      <c r="L750" s="19"/>
      <c r="M750" s="18"/>
    </row>
    <row r="751" customFormat="false" ht="15" hidden="false" customHeight="true" outlineLevel="0" collapsed="false">
      <c r="A751" s="17"/>
      <c r="B751" s="17"/>
      <c r="C751" s="17"/>
      <c r="D751" s="17"/>
      <c r="E751" s="18"/>
      <c r="F751" s="18"/>
      <c r="G751" s="18"/>
      <c r="H751" s="17"/>
      <c r="I751" s="17"/>
      <c r="J751" s="17"/>
      <c r="K751" s="18"/>
      <c r="L751" s="19"/>
      <c r="M751" s="18"/>
    </row>
    <row r="752" customFormat="false" ht="15" hidden="false" customHeight="true" outlineLevel="0" collapsed="false">
      <c r="A752" s="17"/>
      <c r="B752" s="17"/>
      <c r="C752" s="17"/>
      <c r="D752" s="17"/>
      <c r="E752" s="18"/>
      <c r="F752" s="18"/>
      <c r="G752" s="18"/>
      <c r="H752" s="17"/>
      <c r="I752" s="17"/>
      <c r="J752" s="17"/>
      <c r="K752" s="18"/>
      <c r="L752" s="19"/>
      <c r="M752" s="18"/>
    </row>
    <row r="753" customFormat="false" ht="15" hidden="false" customHeight="true" outlineLevel="0" collapsed="false">
      <c r="A753" s="17"/>
      <c r="B753" s="17"/>
      <c r="C753" s="17"/>
      <c r="D753" s="17"/>
      <c r="E753" s="18"/>
      <c r="F753" s="18"/>
      <c r="G753" s="18"/>
      <c r="H753" s="17"/>
      <c r="I753" s="17"/>
      <c r="J753" s="17"/>
      <c r="K753" s="18"/>
      <c r="L753" s="19"/>
      <c r="M753" s="18"/>
    </row>
    <row r="754" customFormat="false" ht="15" hidden="false" customHeight="true" outlineLevel="0" collapsed="false">
      <c r="A754" s="17"/>
      <c r="B754" s="17"/>
      <c r="C754" s="17"/>
      <c r="D754" s="17"/>
      <c r="E754" s="18"/>
      <c r="F754" s="18"/>
      <c r="G754" s="18"/>
      <c r="H754" s="17"/>
      <c r="I754" s="17"/>
      <c r="J754" s="17"/>
      <c r="K754" s="18"/>
      <c r="L754" s="19"/>
      <c r="M754" s="18"/>
    </row>
    <row r="755" customFormat="false" ht="15" hidden="false" customHeight="true" outlineLevel="0" collapsed="false">
      <c r="A755" s="17"/>
      <c r="B755" s="17"/>
      <c r="C755" s="17"/>
      <c r="D755" s="17"/>
      <c r="E755" s="18"/>
      <c r="F755" s="18"/>
      <c r="G755" s="18"/>
      <c r="H755" s="17"/>
      <c r="I755" s="17"/>
      <c r="J755" s="17"/>
      <c r="K755" s="18"/>
      <c r="L755" s="19"/>
      <c r="M755" s="18"/>
    </row>
    <row r="756" customFormat="false" ht="15" hidden="false" customHeight="true" outlineLevel="0" collapsed="false">
      <c r="A756" s="17"/>
      <c r="B756" s="17"/>
      <c r="C756" s="17"/>
      <c r="D756" s="17"/>
      <c r="E756" s="18"/>
      <c r="F756" s="18"/>
      <c r="G756" s="18"/>
      <c r="H756" s="17"/>
      <c r="I756" s="17"/>
      <c r="J756" s="17"/>
      <c r="K756" s="18"/>
      <c r="L756" s="19"/>
      <c r="M756" s="18"/>
    </row>
    <row r="757" customFormat="false" ht="15" hidden="false" customHeight="true" outlineLevel="0" collapsed="false">
      <c r="A757" s="17"/>
      <c r="B757" s="17"/>
      <c r="C757" s="17"/>
      <c r="D757" s="17"/>
      <c r="E757" s="18"/>
      <c r="F757" s="18"/>
      <c r="G757" s="18"/>
      <c r="H757" s="17"/>
      <c r="I757" s="17"/>
      <c r="J757" s="17"/>
      <c r="K757" s="18"/>
      <c r="L757" s="19"/>
      <c r="M757" s="18"/>
    </row>
    <row r="758" customFormat="false" ht="15" hidden="false" customHeight="true" outlineLevel="0" collapsed="false">
      <c r="A758" s="17"/>
      <c r="B758" s="17"/>
      <c r="C758" s="17"/>
      <c r="D758" s="17"/>
      <c r="E758" s="18"/>
      <c r="F758" s="18"/>
      <c r="G758" s="18"/>
      <c r="H758" s="17"/>
      <c r="I758" s="17"/>
      <c r="J758" s="17"/>
      <c r="K758" s="18"/>
      <c r="L758" s="19"/>
      <c r="M758" s="18"/>
    </row>
    <row r="759" customFormat="false" ht="15" hidden="false" customHeight="true" outlineLevel="0" collapsed="false">
      <c r="A759" s="17"/>
      <c r="B759" s="17"/>
      <c r="C759" s="17"/>
      <c r="D759" s="17"/>
      <c r="E759" s="18"/>
      <c r="F759" s="18"/>
      <c r="G759" s="18"/>
      <c r="H759" s="17"/>
      <c r="I759" s="17"/>
      <c r="J759" s="17"/>
      <c r="K759" s="18"/>
      <c r="L759" s="19"/>
      <c r="M759" s="18"/>
    </row>
    <row r="760" customFormat="false" ht="15" hidden="false" customHeight="true" outlineLevel="0" collapsed="false">
      <c r="A760" s="17"/>
      <c r="B760" s="17"/>
      <c r="C760" s="17"/>
      <c r="D760" s="17"/>
      <c r="E760" s="18"/>
      <c r="F760" s="18"/>
      <c r="G760" s="18"/>
      <c r="H760" s="17"/>
      <c r="I760" s="17"/>
      <c r="J760" s="17"/>
      <c r="K760" s="18"/>
      <c r="L760" s="19"/>
      <c r="M760" s="18"/>
    </row>
    <row r="761" customFormat="false" ht="15" hidden="false" customHeight="true" outlineLevel="0" collapsed="false">
      <c r="A761" s="17"/>
      <c r="B761" s="17"/>
      <c r="C761" s="17"/>
      <c r="D761" s="17"/>
      <c r="E761" s="18"/>
      <c r="F761" s="18"/>
      <c r="G761" s="18"/>
      <c r="H761" s="17"/>
      <c r="I761" s="17"/>
      <c r="J761" s="17"/>
      <c r="K761" s="18"/>
      <c r="L761" s="19"/>
      <c r="M761" s="18"/>
    </row>
    <row r="762" customFormat="false" ht="15" hidden="false" customHeight="true" outlineLevel="0" collapsed="false">
      <c r="A762" s="17"/>
      <c r="B762" s="17"/>
      <c r="C762" s="17"/>
      <c r="D762" s="17"/>
      <c r="E762" s="18"/>
      <c r="F762" s="18"/>
      <c r="G762" s="18"/>
      <c r="H762" s="17"/>
      <c r="I762" s="17"/>
      <c r="J762" s="17"/>
      <c r="K762" s="18"/>
      <c r="L762" s="19"/>
      <c r="M762" s="18"/>
    </row>
    <row r="763" customFormat="false" ht="15" hidden="false" customHeight="true" outlineLevel="0" collapsed="false">
      <c r="A763" s="17"/>
      <c r="B763" s="17"/>
      <c r="C763" s="17"/>
      <c r="D763" s="17"/>
      <c r="E763" s="18"/>
      <c r="F763" s="18"/>
      <c r="G763" s="18"/>
      <c r="H763" s="17"/>
      <c r="I763" s="17"/>
      <c r="J763" s="17"/>
      <c r="K763" s="18"/>
      <c r="L763" s="19"/>
      <c r="M763" s="18"/>
    </row>
    <row r="764" customFormat="false" ht="15" hidden="false" customHeight="true" outlineLevel="0" collapsed="false">
      <c r="A764" s="17"/>
      <c r="B764" s="17"/>
      <c r="C764" s="17"/>
      <c r="D764" s="17"/>
      <c r="E764" s="18"/>
      <c r="F764" s="18"/>
      <c r="G764" s="18"/>
      <c r="H764" s="17"/>
      <c r="I764" s="17"/>
      <c r="J764" s="17"/>
      <c r="K764" s="18"/>
      <c r="L764" s="19"/>
      <c r="M764" s="18"/>
    </row>
    <row r="765" customFormat="false" ht="15" hidden="false" customHeight="true" outlineLevel="0" collapsed="false">
      <c r="A765" s="17"/>
      <c r="B765" s="17"/>
      <c r="C765" s="17"/>
      <c r="D765" s="17"/>
      <c r="E765" s="18"/>
      <c r="F765" s="18"/>
      <c r="G765" s="18"/>
      <c r="H765" s="17"/>
      <c r="I765" s="17"/>
      <c r="J765" s="17"/>
      <c r="K765" s="18"/>
      <c r="L765" s="19"/>
      <c r="M765" s="18"/>
    </row>
    <row r="766" customFormat="false" ht="15" hidden="false" customHeight="true" outlineLevel="0" collapsed="false">
      <c r="A766" s="17"/>
      <c r="B766" s="17"/>
      <c r="C766" s="17"/>
      <c r="D766" s="17"/>
      <c r="E766" s="18"/>
      <c r="F766" s="18"/>
      <c r="G766" s="18"/>
      <c r="H766" s="17"/>
      <c r="I766" s="17"/>
      <c r="J766" s="17"/>
      <c r="K766" s="18"/>
      <c r="L766" s="19"/>
      <c r="M766" s="18"/>
    </row>
    <row r="767" customFormat="false" ht="15" hidden="false" customHeight="true" outlineLevel="0" collapsed="false">
      <c r="A767" s="17"/>
      <c r="B767" s="17"/>
      <c r="C767" s="17"/>
      <c r="D767" s="17"/>
      <c r="E767" s="18"/>
      <c r="F767" s="18"/>
      <c r="G767" s="18"/>
      <c r="H767" s="17"/>
      <c r="I767" s="17"/>
      <c r="J767" s="17"/>
      <c r="K767" s="18"/>
      <c r="L767" s="19"/>
      <c r="M767" s="18"/>
    </row>
    <row r="768" customFormat="false" ht="15" hidden="false" customHeight="true" outlineLevel="0" collapsed="false">
      <c r="A768" s="17"/>
      <c r="B768" s="17"/>
      <c r="C768" s="17"/>
      <c r="D768" s="17"/>
      <c r="E768" s="18"/>
      <c r="F768" s="18"/>
      <c r="G768" s="18"/>
      <c r="H768" s="17"/>
      <c r="I768" s="17"/>
      <c r="J768" s="17"/>
      <c r="K768" s="18"/>
      <c r="L768" s="19"/>
      <c r="M768" s="18"/>
    </row>
    <row r="769" customFormat="false" ht="15" hidden="false" customHeight="true" outlineLevel="0" collapsed="false">
      <c r="A769" s="17"/>
      <c r="B769" s="17"/>
      <c r="C769" s="17"/>
      <c r="D769" s="17"/>
      <c r="E769" s="18"/>
      <c r="F769" s="18"/>
      <c r="G769" s="18"/>
      <c r="H769" s="17"/>
      <c r="I769" s="17"/>
      <c r="J769" s="17"/>
      <c r="K769" s="18"/>
      <c r="L769" s="19"/>
      <c r="M769" s="18"/>
    </row>
    <row r="770" customFormat="false" ht="15" hidden="false" customHeight="true" outlineLevel="0" collapsed="false">
      <c r="A770" s="17"/>
      <c r="B770" s="17"/>
      <c r="C770" s="17"/>
      <c r="D770" s="17"/>
      <c r="E770" s="18"/>
      <c r="F770" s="18"/>
      <c r="G770" s="18"/>
      <c r="H770" s="17"/>
      <c r="I770" s="17"/>
      <c r="J770" s="17"/>
      <c r="K770" s="18"/>
      <c r="L770" s="19"/>
      <c r="M770" s="18"/>
    </row>
    <row r="771" customFormat="false" ht="15" hidden="false" customHeight="true" outlineLevel="0" collapsed="false">
      <c r="A771" s="17"/>
      <c r="B771" s="17"/>
      <c r="C771" s="17"/>
      <c r="D771" s="17"/>
      <c r="E771" s="18"/>
      <c r="F771" s="18"/>
      <c r="G771" s="18"/>
      <c r="H771" s="17"/>
      <c r="I771" s="17"/>
      <c r="J771" s="17"/>
      <c r="K771" s="18"/>
      <c r="L771" s="19"/>
      <c r="M771" s="18"/>
    </row>
    <row r="772" customFormat="false" ht="15" hidden="false" customHeight="true" outlineLevel="0" collapsed="false">
      <c r="A772" s="17"/>
      <c r="B772" s="17"/>
      <c r="C772" s="17"/>
      <c r="D772" s="17"/>
      <c r="E772" s="18"/>
      <c r="F772" s="18"/>
      <c r="G772" s="18"/>
      <c r="H772" s="17"/>
      <c r="I772" s="17"/>
      <c r="J772" s="17"/>
      <c r="K772" s="18"/>
      <c r="L772" s="19"/>
      <c r="M772" s="18"/>
    </row>
    <row r="773" customFormat="false" ht="15" hidden="false" customHeight="true" outlineLevel="0" collapsed="false">
      <c r="A773" s="17"/>
      <c r="B773" s="17"/>
      <c r="C773" s="17"/>
      <c r="D773" s="17"/>
      <c r="E773" s="18"/>
      <c r="F773" s="18"/>
      <c r="G773" s="18"/>
      <c r="H773" s="17"/>
      <c r="I773" s="17"/>
      <c r="J773" s="17"/>
      <c r="K773" s="18"/>
      <c r="L773" s="19"/>
      <c r="M773" s="18"/>
    </row>
    <row r="774" customFormat="false" ht="15" hidden="false" customHeight="true" outlineLevel="0" collapsed="false">
      <c r="A774" s="17"/>
      <c r="B774" s="17"/>
      <c r="C774" s="17"/>
      <c r="D774" s="17"/>
      <c r="E774" s="18"/>
      <c r="F774" s="18"/>
      <c r="G774" s="18"/>
      <c r="H774" s="17"/>
      <c r="I774" s="17"/>
      <c r="J774" s="17"/>
      <c r="K774" s="18"/>
      <c r="L774" s="19"/>
      <c r="M774" s="18"/>
    </row>
    <row r="775" customFormat="false" ht="15" hidden="false" customHeight="true" outlineLevel="0" collapsed="false">
      <c r="A775" s="17"/>
      <c r="B775" s="17"/>
      <c r="C775" s="17"/>
      <c r="D775" s="17"/>
      <c r="E775" s="18"/>
      <c r="F775" s="18"/>
      <c r="G775" s="18"/>
      <c r="H775" s="17"/>
      <c r="I775" s="17"/>
      <c r="J775" s="17"/>
      <c r="K775" s="18"/>
      <c r="L775" s="19"/>
      <c r="M775" s="18"/>
    </row>
    <row r="776" customFormat="false" ht="15" hidden="false" customHeight="true" outlineLevel="0" collapsed="false">
      <c r="A776" s="17"/>
      <c r="B776" s="17"/>
      <c r="C776" s="17"/>
      <c r="D776" s="17"/>
      <c r="E776" s="18"/>
      <c r="F776" s="18"/>
      <c r="G776" s="18"/>
      <c r="H776" s="17"/>
      <c r="I776" s="17"/>
      <c r="J776" s="17"/>
      <c r="K776" s="18"/>
      <c r="L776" s="19"/>
      <c r="M776" s="18"/>
    </row>
    <row r="777" customFormat="false" ht="15" hidden="false" customHeight="true" outlineLevel="0" collapsed="false">
      <c r="A777" s="17"/>
      <c r="B777" s="17"/>
      <c r="C777" s="17"/>
      <c r="D777" s="17"/>
      <c r="E777" s="18"/>
      <c r="F777" s="18"/>
      <c r="G777" s="18"/>
      <c r="H777" s="17"/>
      <c r="I777" s="17"/>
      <c r="J777" s="17"/>
      <c r="K777" s="18"/>
      <c r="L777" s="19"/>
      <c r="M777" s="18"/>
    </row>
    <row r="778" customFormat="false" ht="15" hidden="false" customHeight="true" outlineLevel="0" collapsed="false">
      <c r="A778" s="17"/>
      <c r="B778" s="17"/>
      <c r="C778" s="17"/>
      <c r="D778" s="17"/>
      <c r="E778" s="18"/>
      <c r="F778" s="18"/>
      <c r="G778" s="18"/>
      <c r="H778" s="17"/>
      <c r="I778" s="17"/>
      <c r="J778" s="17"/>
      <c r="K778" s="18"/>
      <c r="L778" s="19"/>
      <c r="M778" s="18"/>
    </row>
    <row r="779" customFormat="false" ht="15" hidden="false" customHeight="true" outlineLevel="0" collapsed="false">
      <c r="A779" s="17"/>
      <c r="B779" s="17"/>
      <c r="C779" s="17"/>
      <c r="D779" s="17"/>
      <c r="E779" s="18"/>
      <c r="F779" s="18"/>
      <c r="G779" s="18"/>
      <c r="H779" s="17"/>
      <c r="I779" s="17"/>
      <c r="J779" s="17"/>
      <c r="K779" s="18"/>
      <c r="L779" s="19"/>
      <c r="M779" s="18"/>
    </row>
    <row r="780" customFormat="false" ht="15" hidden="false" customHeight="true" outlineLevel="0" collapsed="false">
      <c r="A780" s="17"/>
      <c r="B780" s="17"/>
      <c r="C780" s="17"/>
      <c r="D780" s="17"/>
      <c r="E780" s="18"/>
      <c r="F780" s="18"/>
      <c r="G780" s="18"/>
      <c r="H780" s="17"/>
      <c r="I780" s="17"/>
      <c r="J780" s="17"/>
      <c r="K780" s="18"/>
      <c r="L780" s="19"/>
      <c r="M780" s="18"/>
    </row>
    <row r="781" customFormat="false" ht="15" hidden="false" customHeight="true" outlineLevel="0" collapsed="false">
      <c r="A781" s="17"/>
      <c r="B781" s="17"/>
      <c r="C781" s="17"/>
      <c r="D781" s="17"/>
      <c r="E781" s="18"/>
      <c r="F781" s="18"/>
      <c r="G781" s="18"/>
      <c r="H781" s="17"/>
      <c r="I781" s="17"/>
      <c r="J781" s="17"/>
      <c r="K781" s="18"/>
      <c r="L781" s="19"/>
      <c r="M781" s="18"/>
    </row>
    <row r="782" customFormat="false" ht="15" hidden="false" customHeight="true" outlineLevel="0" collapsed="false">
      <c r="A782" s="17"/>
      <c r="B782" s="17"/>
      <c r="C782" s="17"/>
      <c r="D782" s="17"/>
      <c r="E782" s="18"/>
      <c r="F782" s="18"/>
      <c r="G782" s="18"/>
      <c r="H782" s="17"/>
      <c r="I782" s="17"/>
      <c r="J782" s="17"/>
      <c r="K782" s="18"/>
      <c r="L782" s="19"/>
      <c r="M782" s="18"/>
    </row>
    <row r="783" customFormat="false" ht="15" hidden="false" customHeight="true" outlineLevel="0" collapsed="false">
      <c r="A783" s="17"/>
      <c r="B783" s="17"/>
      <c r="C783" s="17"/>
      <c r="D783" s="17"/>
      <c r="E783" s="18"/>
      <c r="F783" s="18"/>
      <c r="G783" s="18"/>
      <c r="H783" s="17"/>
      <c r="I783" s="17"/>
      <c r="J783" s="17"/>
      <c r="K783" s="18"/>
      <c r="L783" s="19"/>
      <c r="M783" s="18"/>
    </row>
    <row r="784" customFormat="false" ht="15" hidden="false" customHeight="true" outlineLevel="0" collapsed="false">
      <c r="A784" s="17"/>
      <c r="B784" s="17"/>
      <c r="C784" s="17"/>
      <c r="D784" s="17"/>
      <c r="E784" s="18"/>
      <c r="F784" s="18"/>
      <c r="G784" s="18"/>
      <c r="H784" s="17"/>
      <c r="I784" s="17"/>
      <c r="J784" s="17"/>
      <c r="K784" s="18"/>
      <c r="L784" s="19"/>
      <c r="M784" s="18"/>
    </row>
    <row r="785" customFormat="false" ht="15" hidden="false" customHeight="true" outlineLevel="0" collapsed="false">
      <c r="A785" s="17"/>
      <c r="B785" s="17"/>
      <c r="C785" s="17"/>
      <c r="D785" s="17"/>
      <c r="E785" s="18"/>
      <c r="F785" s="18"/>
      <c r="G785" s="18"/>
      <c r="H785" s="17"/>
      <c r="I785" s="17"/>
      <c r="J785" s="17"/>
      <c r="K785" s="18"/>
      <c r="L785" s="19"/>
      <c r="M785" s="18"/>
    </row>
    <row r="786" customFormat="false" ht="15" hidden="false" customHeight="true" outlineLevel="0" collapsed="false">
      <c r="A786" s="17"/>
      <c r="B786" s="17"/>
      <c r="C786" s="17"/>
      <c r="D786" s="17"/>
      <c r="E786" s="18"/>
      <c r="F786" s="18"/>
      <c r="G786" s="18"/>
      <c r="H786" s="17"/>
      <c r="I786" s="17"/>
      <c r="J786" s="17"/>
      <c r="K786" s="18"/>
      <c r="L786" s="19"/>
      <c r="M786" s="18"/>
    </row>
    <row r="787" customFormat="false" ht="15" hidden="false" customHeight="true" outlineLevel="0" collapsed="false">
      <c r="A787" s="17"/>
      <c r="B787" s="17"/>
      <c r="C787" s="17"/>
      <c r="D787" s="17"/>
      <c r="E787" s="18"/>
      <c r="F787" s="18"/>
      <c r="G787" s="18"/>
      <c r="H787" s="17"/>
      <c r="I787" s="17"/>
      <c r="J787" s="17"/>
      <c r="K787" s="18"/>
      <c r="L787" s="19"/>
      <c r="M787" s="18"/>
    </row>
    <row r="788" customFormat="false" ht="15" hidden="false" customHeight="true" outlineLevel="0" collapsed="false">
      <c r="A788" s="17"/>
      <c r="B788" s="17"/>
      <c r="C788" s="17"/>
      <c r="D788" s="17"/>
      <c r="E788" s="18"/>
      <c r="F788" s="18"/>
      <c r="G788" s="18"/>
      <c r="H788" s="17"/>
      <c r="I788" s="17"/>
      <c r="J788" s="17"/>
      <c r="K788" s="18"/>
      <c r="L788" s="19"/>
      <c r="M788" s="18"/>
    </row>
    <row r="789" customFormat="false" ht="15" hidden="false" customHeight="true" outlineLevel="0" collapsed="false">
      <c r="A789" s="17"/>
      <c r="B789" s="17"/>
      <c r="C789" s="17"/>
      <c r="D789" s="17"/>
      <c r="E789" s="18"/>
      <c r="F789" s="18"/>
      <c r="G789" s="18"/>
      <c r="H789" s="17"/>
      <c r="I789" s="17"/>
      <c r="J789" s="17"/>
      <c r="K789" s="18"/>
      <c r="L789" s="19"/>
      <c r="M789" s="18"/>
    </row>
    <row r="790" customFormat="false" ht="15" hidden="false" customHeight="true" outlineLevel="0" collapsed="false">
      <c r="A790" s="17"/>
      <c r="B790" s="17"/>
      <c r="C790" s="17"/>
      <c r="D790" s="17"/>
      <c r="E790" s="18"/>
      <c r="F790" s="18"/>
      <c r="G790" s="18"/>
      <c r="H790" s="17"/>
      <c r="I790" s="17"/>
      <c r="J790" s="17"/>
      <c r="K790" s="18"/>
      <c r="L790" s="19"/>
      <c r="M790" s="18"/>
    </row>
    <row r="791" customFormat="false" ht="15" hidden="false" customHeight="true" outlineLevel="0" collapsed="false">
      <c r="A791" s="17"/>
      <c r="B791" s="17"/>
      <c r="C791" s="17"/>
      <c r="D791" s="17"/>
      <c r="E791" s="18"/>
      <c r="F791" s="18"/>
      <c r="G791" s="18"/>
      <c r="H791" s="17"/>
      <c r="I791" s="17"/>
      <c r="J791" s="17"/>
      <c r="K791" s="18"/>
      <c r="L791" s="19"/>
      <c r="M791" s="18"/>
    </row>
    <row r="792" customFormat="false" ht="15" hidden="false" customHeight="true" outlineLevel="0" collapsed="false">
      <c r="A792" s="17"/>
      <c r="B792" s="17"/>
      <c r="C792" s="17"/>
      <c r="D792" s="17"/>
      <c r="E792" s="18"/>
      <c r="F792" s="18"/>
      <c r="G792" s="18"/>
      <c r="H792" s="17"/>
      <c r="I792" s="17"/>
      <c r="J792" s="17"/>
      <c r="K792" s="18"/>
      <c r="L792" s="19"/>
      <c r="M792" s="18"/>
    </row>
    <row r="793" customFormat="false" ht="15" hidden="false" customHeight="true" outlineLevel="0" collapsed="false">
      <c r="A793" s="17"/>
      <c r="B793" s="17"/>
      <c r="C793" s="17"/>
      <c r="D793" s="17"/>
      <c r="E793" s="18"/>
      <c r="F793" s="18"/>
      <c r="G793" s="18"/>
      <c r="H793" s="17"/>
      <c r="I793" s="17"/>
      <c r="J793" s="17"/>
      <c r="K793" s="18"/>
      <c r="L793" s="19"/>
      <c r="M793" s="18"/>
    </row>
    <row r="794" customFormat="false" ht="15" hidden="false" customHeight="true" outlineLevel="0" collapsed="false">
      <c r="A794" s="17"/>
      <c r="B794" s="17"/>
      <c r="C794" s="17"/>
      <c r="D794" s="17"/>
      <c r="E794" s="18"/>
      <c r="F794" s="18"/>
      <c r="G794" s="18"/>
      <c r="H794" s="17"/>
      <c r="I794" s="17"/>
      <c r="J794" s="17"/>
      <c r="K794" s="18"/>
      <c r="L794" s="19"/>
      <c r="M794" s="18"/>
    </row>
    <row r="795" customFormat="false" ht="15" hidden="false" customHeight="true" outlineLevel="0" collapsed="false">
      <c r="A795" s="17"/>
      <c r="B795" s="17"/>
      <c r="C795" s="17"/>
      <c r="D795" s="17"/>
      <c r="E795" s="18"/>
      <c r="F795" s="18"/>
      <c r="G795" s="18"/>
      <c r="H795" s="17"/>
      <c r="I795" s="17"/>
      <c r="J795" s="17"/>
      <c r="K795" s="18"/>
      <c r="L795" s="19"/>
      <c r="M795" s="18"/>
    </row>
    <row r="796" customFormat="false" ht="15" hidden="false" customHeight="true" outlineLevel="0" collapsed="false">
      <c r="A796" s="17"/>
      <c r="B796" s="17"/>
      <c r="C796" s="17"/>
      <c r="D796" s="17"/>
      <c r="E796" s="18"/>
      <c r="F796" s="18"/>
      <c r="G796" s="18"/>
      <c r="H796" s="17"/>
      <c r="I796" s="17"/>
      <c r="J796" s="17"/>
      <c r="K796" s="18"/>
      <c r="L796" s="19"/>
      <c r="M796" s="18"/>
    </row>
    <row r="797" customFormat="false" ht="15" hidden="false" customHeight="true" outlineLevel="0" collapsed="false">
      <c r="A797" s="17"/>
      <c r="B797" s="17"/>
      <c r="C797" s="17"/>
      <c r="D797" s="17"/>
      <c r="E797" s="18"/>
      <c r="F797" s="18"/>
      <c r="G797" s="18"/>
      <c r="H797" s="17"/>
      <c r="I797" s="17"/>
      <c r="J797" s="17"/>
      <c r="K797" s="18"/>
      <c r="L797" s="19"/>
      <c r="M797" s="18"/>
    </row>
    <row r="798" customFormat="false" ht="15" hidden="false" customHeight="true" outlineLevel="0" collapsed="false">
      <c r="A798" s="17"/>
      <c r="B798" s="17"/>
      <c r="C798" s="17"/>
      <c r="D798" s="17"/>
      <c r="E798" s="18"/>
      <c r="F798" s="18"/>
      <c r="G798" s="18"/>
      <c r="H798" s="17"/>
      <c r="I798" s="17"/>
      <c r="J798" s="17"/>
      <c r="K798" s="18"/>
      <c r="L798" s="19"/>
      <c r="M798" s="18"/>
    </row>
    <row r="799" customFormat="false" ht="15" hidden="false" customHeight="true" outlineLevel="0" collapsed="false">
      <c r="A799" s="17"/>
      <c r="B799" s="17"/>
      <c r="C799" s="17"/>
      <c r="D799" s="17"/>
      <c r="E799" s="18"/>
      <c r="F799" s="18"/>
      <c r="G799" s="18"/>
      <c r="H799" s="17"/>
      <c r="I799" s="17"/>
      <c r="J799" s="17"/>
      <c r="K799" s="18"/>
      <c r="L799" s="19"/>
      <c r="M799" s="18"/>
    </row>
    <row r="800" customFormat="false" ht="15" hidden="false" customHeight="true" outlineLevel="0" collapsed="false">
      <c r="A800" s="17"/>
      <c r="B800" s="17"/>
      <c r="C800" s="17"/>
      <c r="D800" s="17"/>
      <c r="E800" s="18"/>
      <c r="F800" s="18"/>
      <c r="G800" s="18"/>
      <c r="H800" s="17"/>
      <c r="I800" s="17"/>
      <c r="J800" s="17"/>
      <c r="K800" s="18"/>
      <c r="L800" s="19"/>
      <c r="M800" s="18"/>
    </row>
    <row r="801" customFormat="false" ht="15" hidden="false" customHeight="true" outlineLevel="0" collapsed="false">
      <c r="A801" s="17"/>
      <c r="B801" s="17"/>
      <c r="C801" s="17"/>
      <c r="D801" s="17"/>
      <c r="E801" s="18"/>
      <c r="F801" s="18"/>
      <c r="G801" s="18"/>
      <c r="H801" s="17"/>
      <c r="I801" s="17"/>
      <c r="J801" s="17"/>
      <c r="K801" s="18"/>
      <c r="L801" s="19"/>
      <c r="M801" s="18"/>
    </row>
    <row r="802" customFormat="false" ht="15" hidden="false" customHeight="true" outlineLevel="0" collapsed="false">
      <c r="A802" s="17"/>
      <c r="B802" s="17"/>
      <c r="C802" s="17"/>
      <c r="D802" s="17"/>
      <c r="E802" s="18"/>
      <c r="F802" s="18"/>
      <c r="G802" s="18"/>
      <c r="H802" s="17"/>
      <c r="I802" s="17"/>
      <c r="J802" s="17"/>
      <c r="K802" s="18"/>
      <c r="L802" s="19"/>
      <c r="M802" s="18"/>
    </row>
    <row r="803" customFormat="false" ht="15" hidden="false" customHeight="true" outlineLevel="0" collapsed="false">
      <c r="A803" s="17"/>
      <c r="B803" s="17"/>
      <c r="C803" s="17"/>
      <c r="D803" s="17"/>
      <c r="E803" s="18"/>
      <c r="F803" s="18"/>
      <c r="G803" s="18"/>
      <c r="H803" s="17"/>
      <c r="I803" s="17"/>
      <c r="J803" s="17"/>
      <c r="K803" s="18"/>
      <c r="L803" s="19"/>
      <c r="M803" s="18"/>
    </row>
    <row r="804" customFormat="false" ht="15" hidden="false" customHeight="true" outlineLevel="0" collapsed="false">
      <c r="A804" s="17"/>
      <c r="B804" s="17"/>
      <c r="C804" s="17"/>
      <c r="D804" s="17"/>
      <c r="E804" s="18"/>
      <c r="F804" s="18"/>
      <c r="G804" s="18"/>
      <c r="H804" s="17"/>
      <c r="I804" s="17"/>
      <c r="J804" s="17"/>
      <c r="K804" s="18"/>
      <c r="L804" s="19"/>
      <c r="M804" s="18"/>
    </row>
    <row r="805" customFormat="false" ht="15" hidden="false" customHeight="true" outlineLevel="0" collapsed="false">
      <c r="A805" s="17"/>
      <c r="B805" s="17"/>
      <c r="C805" s="17"/>
      <c r="D805" s="17"/>
      <c r="E805" s="18"/>
      <c r="F805" s="18"/>
      <c r="G805" s="18"/>
      <c r="H805" s="17"/>
      <c r="I805" s="17"/>
      <c r="J805" s="17"/>
      <c r="K805" s="18"/>
      <c r="L805" s="19"/>
      <c r="M805" s="18"/>
    </row>
    <row r="806" customFormat="false" ht="15" hidden="false" customHeight="true" outlineLevel="0" collapsed="false">
      <c r="A806" s="17"/>
      <c r="B806" s="17"/>
      <c r="C806" s="17"/>
      <c r="D806" s="17"/>
      <c r="E806" s="18"/>
      <c r="F806" s="18"/>
      <c r="G806" s="18"/>
      <c r="H806" s="17"/>
      <c r="I806" s="17"/>
      <c r="J806" s="17"/>
      <c r="K806" s="18"/>
      <c r="L806" s="19"/>
      <c r="M806" s="18"/>
    </row>
    <row r="807" customFormat="false" ht="15" hidden="false" customHeight="true" outlineLevel="0" collapsed="false">
      <c r="A807" s="17"/>
      <c r="B807" s="17"/>
      <c r="C807" s="17"/>
      <c r="D807" s="17"/>
      <c r="E807" s="18"/>
      <c r="F807" s="18"/>
      <c r="G807" s="18"/>
      <c r="H807" s="17"/>
      <c r="I807" s="17"/>
      <c r="J807" s="17"/>
      <c r="K807" s="18"/>
      <c r="L807" s="19"/>
      <c r="M807" s="18"/>
    </row>
    <row r="808" customFormat="false" ht="15" hidden="false" customHeight="true" outlineLevel="0" collapsed="false">
      <c r="A808" s="17"/>
      <c r="B808" s="17"/>
      <c r="C808" s="17"/>
      <c r="D808" s="17"/>
      <c r="E808" s="18"/>
      <c r="F808" s="18"/>
      <c r="G808" s="18"/>
      <c r="H808" s="17"/>
      <c r="I808" s="17"/>
      <c r="J808" s="17"/>
      <c r="K808" s="18"/>
      <c r="L808" s="19"/>
      <c r="M808" s="18"/>
    </row>
    <row r="809" customFormat="false" ht="15" hidden="false" customHeight="true" outlineLevel="0" collapsed="false">
      <c r="A809" s="17"/>
      <c r="B809" s="17"/>
      <c r="C809" s="17"/>
      <c r="D809" s="17"/>
      <c r="E809" s="18"/>
      <c r="F809" s="18"/>
      <c r="G809" s="18"/>
      <c r="H809" s="17"/>
      <c r="I809" s="17"/>
      <c r="J809" s="17"/>
      <c r="K809" s="18"/>
      <c r="L809" s="19"/>
      <c r="M809" s="18"/>
    </row>
    <row r="810" customFormat="false" ht="15" hidden="false" customHeight="true" outlineLevel="0" collapsed="false">
      <c r="A810" s="17"/>
      <c r="B810" s="17"/>
      <c r="C810" s="17"/>
      <c r="D810" s="17"/>
      <c r="E810" s="18"/>
      <c r="F810" s="18"/>
      <c r="G810" s="18"/>
      <c r="H810" s="17"/>
      <c r="I810" s="17"/>
      <c r="J810" s="17"/>
      <c r="K810" s="18"/>
      <c r="L810" s="19"/>
      <c r="M810" s="18"/>
    </row>
    <row r="811" customFormat="false" ht="15" hidden="false" customHeight="true" outlineLevel="0" collapsed="false">
      <c r="A811" s="17"/>
      <c r="B811" s="17"/>
      <c r="C811" s="17"/>
      <c r="D811" s="17"/>
      <c r="E811" s="18"/>
      <c r="F811" s="18"/>
      <c r="G811" s="18"/>
      <c r="H811" s="17"/>
      <c r="I811" s="17"/>
      <c r="J811" s="17"/>
      <c r="K811" s="18"/>
      <c r="L811" s="19"/>
      <c r="M811" s="18"/>
    </row>
    <row r="812" customFormat="false" ht="15" hidden="false" customHeight="true" outlineLevel="0" collapsed="false">
      <c r="A812" s="17"/>
      <c r="B812" s="17"/>
      <c r="C812" s="17"/>
      <c r="D812" s="17"/>
      <c r="E812" s="18"/>
      <c r="F812" s="18"/>
      <c r="G812" s="18"/>
      <c r="H812" s="17"/>
      <c r="I812" s="17"/>
      <c r="J812" s="17"/>
      <c r="K812" s="18"/>
      <c r="L812" s="19"/>
      <c r="M812" s="18"/>
    </row>
    <row r="813" customFormat="false" ht="15" hidden="false" customHeight="true" outlineLevel="0" collapsed="false">
      <c r="A813" s="17"/>
      <c r="B813" s="17"/>
      <c r="C813" s="17"/>
      <c r="D813" s="17"/>
      <c r="E813" s="18"/>
      <c r="F813" s="18"/>
      <c r="G813" s="18"/>
      <c r="H813" s="17"/>
      <c r="I813" s="17"/>
      <c r="J813" s="17"/>
      <c r="K813" s="18"/>
      <c r="L813" s="19"/>
      <c r="M813" s="18"/>
    </row>
    <row r="814" customFormat="false" ht="15" hidden="false" customHeight="true" outlineLevel="0" collapsed="false">
      <c r="A814" s="17"/>
      <c r="B814" s="17"/>
      <c r="C814" s="17"/>
      <c r="D814" s="17"/>
      <c r="E814" s="18"/>
      <c r="F814" s="18"/>
      <c r="G814" s="18"/>
      <c r="H814" s="17"/>
      <c r="I814" s="17"/>
      <c r="J814" s="17"/>
      <c r="K814" s="18"/>
      <c r="L814" s="19"/>
      <c r="M814" s="18"/>
    </row>
    <row r="815" customFormat="false" ht="15" hidden="false" customHeight="true" outlineLevel="0" collapsed="false">
      <c r="A815" s="17"/>
      <c r="B815" s="17"/>
      <c r="C815" s="17"/>
      <c r="D815" s="17"/>
      <c r="E815" s="18"/>
      <c r="F815" s="18"/>
      <c r="G815" s="18"/>
      <c r="H815" s="17"/>
      <c r="I815" s="17"/>
      <c r="J815" s="17"/>
      <c r="K815" s="18"/>
      <c r="L815" s="19"/>
      <c r="M815" s="18"/>
    </row>
    <row r="816" customFormat="false" ht="15" hidden="false" customHeight="true" outlineLevel="0" collapsed="false">
      <c r="A816" s="17"/>
      <c r="B816" s="17"/>
      <c r="C816" s="17"/>
      <c r="D816" s="17"/>
      <c r="E816" s="18"/>
      <c r="F816" s="18"/>
      <c r="G816" s="18"/>
      <c r="H816" s="17"/>
      <c r="I816" s="17"/>
      <c r="J816" s="17"/>
      <c r="K816" s="18"/>
      <c r="L816" s="19"/>
      <c r="M816" s="18"/>
    </row>
    <row r="817" customFormat="false" ht="15" hidden="false" customHeight="true" outlineLevel="0" collapsed="false">
      <c r="A817" s="17"/>
      <c r="B817" s="17"/>
      <c r="C817" s="17"/>
      <c r="D817" s="17"/>
      <c r="E817" s="18"/>
      <c r="F817" s="18"/>
      <c r="G817" s="18"/>
      <c r="H817" s="17"/>
      <c r="I817" s="17"/>
      <c r="J817" s="17"/>
      <c r="K817" s="18"/>
      <c r="L817" s="19"/>
      <c r="M817" s="18"/>
    </row>
    <row r="818" customFormat="false" ht="15" hidden="false" customHeight="true" outlineLevel="0" collapsed="false">
      <c r="A818" s="17"/>
      <c r="B818" s="17"/>
      <c r="C818" s="17"/>
      <c r="D818" s="17"/>
      <c r="E818" s="18"/>
      <c r="F818" s="18"/>
      <c r="G818" s="18"/>
      <c r="H818" s="17"/>
      <c r="I818" s="17"/>
      <c r="J818" s="17"/>
      <c r="K818" s="18"/>
      <c r="L818" s="19"/>
      <c r="M818" s="18"/>
    </row>
    <row r="819" customFormat="false" ht="15" hidden="false" customHeight="true" outlineLevel="0" collapsed="false">
      <c r="A819" s="17"/>
      <c r="B819" s="17"/>
      <c r="C819" s="17"/>
      <c r="D819" s="17"/>
      <c r="E819" s="18"/>
      <c r="F819" s="18"/>
      <c r="G819" s="18"/>
      <c r="H819" s="17"/>
      <c r="I819" s="17"/>
      <c r="J819" s="17"/>
      <c r="K819" s="18"/>
      <c r="L819" s="19"/>
      <c r="M819" s="18"/>
    </row>
    <row r="820" customFormat="false" ht="15" hidden="false" customHeight="true" outlineLevel="0" collapsed="false">
      <c r="A820" s="17"/>
      <c r="B820" s="17"/>
      <c r="C820" s="17"/>
      <c r="D820" s="17"/>
      <c r="E820" s="18"/>
      <c r="F820" s="18"/>
      <c r="G820" s="18"/>
      <c r="H820" s="17"/>
      <c r="I820" s="17"/>
      <c r="J820" s="17"/>
      <c r="K820" s="18"/>
      <c r="L820" s="19"/>
      <c r="M820" s="18"/>
    </row>
    <row r="821" customFormat="false" ht="15" hidden="false" customHeight="true" outlineLevel="0" collapsed="false">
      <c r="A821" s="17"/>
      <c r="B821" s="17"/>
      <c r="C821" s="17"/>
      <c r="D821" s="17"/>
      <c r="E821" s="18"/>
      <c r="F821" s="18"/>
      <c r="G821" s="18"/>
      <c r="H821" s="17"/>
      <c r="I821" s="17"/>
      <c r="J821" s="17"/>
      <c r="K821" s="18"/>
      <c r="L821" s="19"/>
      <c r="M821" s="18"/>
    </row>
    <row r="822" customFormat="false" ht="15" hidden="false" customHeight="true" outlineLevel="0" collapsed="false">
      <c r="A822" s="17"/>
      <c r="B822" s="17"/>
      <c r="C822" s="17"/>
      <c r="D822" s="17"/>
      <c r="E822" s="18"/>
      <c r="F822" s="18"/>
      <c r="G822" s="18"/>
      <c r="H822" s="17"/>
      <c r="I822" s="17"/>
      <c r="J822" s="17"/>
      <c r="K822" s="18"/>
      <c r="L822" s="19"/>
      <c r="M822" s="18"/>
    </row>
    <row r="823" customFormat="false" ht="15" hidden="false" customHeight="true" outlineLevel="0" collapsed="false">
      <c r="A823" s="17"/>
      <c r="B823" s="17"/>
      <c r="C823" s="17"/>
      <c r="D823" s="17"/>
      <c r="E823" s="18"/>
      <c r="F823" s="18"/>
      <c r="G823" s="18"/>
      <c r="H823" s="17"/>
      <c r="I823" s="17"/>
      <c r="J823" s="17"/>
      <c r="K823" s="18"/>
      <c r="L823" s="19"/>
      <c r="M823" s="18"/>
    </row>
    <row r="824" customFormat="false" ht="15" hidden="false" customHeight="true" outlineLevel="0" collapsed="false">
      <c r="A824" s="17"/>
      <c r="B824" s="17"/>
      <c r="C824" s="17"/>
      <c r="D824" s="17"/>
      <c r="E824" s="18"/>
      <c r="F824" s="18"/>
      <c r="G824" s="18"/>
      <c r="H824" s="17"/>
      <c r="I824" s="17"/>
      <c r="J824" s="17"/>
      <c r="K824" s="18"/>
      <c r="L824" s="19"/>
      <c r="M824" s="18"/>
    </row>
    <row r="825" customFormat="false" ht="15" hidden="false" customHeight="true" outlineLevel="0" collapsed="false">
      <c r="A825" s="17"/>
      <c r="B825" s="17"/>
      <c r="C825" s="17"/>
      <c r="D825" s="17"/>
      <c r="E825" s="18"/>
      <c r="F825" s="18"/>
      <c r="G825" s="18"/>
      <c r="H825" s="17"/>
      <c r="I825" s="17"/>
      <c r="J825" s="17"/>
      <c r="K825" s="18"/>
      <c r="L825" s="19"/>
      <c r="M825" s="18"/>
    </row>
    <row r="826" customFormat="false" ht="15" hidden="false" customHeight="true" outlineLevel="0" collapsed="false">
      <c r="A826" s="17"/>
      <c r="B826" s="17"/>
      <c r="C826" s="17"/>
      <c r="D826" s="17"/>
      <c r="E826" s="18"/>
      <c r="F826" s="18"/>
      <c r="G826" s="18"/>
      <c r="H826" s="17"/>
      <c r="I826" s="17"/>
      <c r="J826" s="17"/>
      <c r="K826" s="18"/>
      <c r="L826" s="19"/>
      <c r="M826" s="18"/>
    </row>
    <row r="827" customFormat="false" ht="15" hidden="false" customHeight="true" outlineLevel="0" collapsed="false">
      <c r="A827" s="17"/>
      <c r="B827" s="17"/>
      <c r="C827" s="17"/>
      <c r="D827" s="17"/>
      <c r="E827" s="18"/>
      <c r="F827" s="18"/>
      <c r="G827" s="18"/>
      <c r="H827" s="17"/>
      <c r="I827" s="17"/>
      <c r="J827" s="17"/>
      <c r="K827" s="18"/>
      <c r="L827" s="19"/>
      <c r="M827" s="18"/>
    </row>
    <row r="828" customFormat="false" ht="15" hidden="false" customHeight="true" outlineLevel="0" collapsed="false">
      <c r="A828" s="17"/>
      <c r="B828" s="17"/>
      <c r="C828" s="17"/>
      <c r="D828" s="17"/>
      <c r="E828" s="18"/>
      <c r="F828" s="18"/>
      <c r="G828" s="18"/>
      <c r="H828" s="17"/>
      <c r="I828" s="17"/>
      <c r="J828" s="17"/>
      <c r="K828" s="18"/>
      <c r="L828" s="19"/>
      <c r="M828" s="18"/>
    </row>
    <row r="829" customFormat="false" ht="15" hidden="false" customHeight="true" outlineLevel="0" collapsed="false">
      <c r="A829" s="17"/>
      <c r="B829" s="17"/>
      <c r="C829" s="17"/>
      <c r="D829" s="17"/>
      <c r="E829" s="18"/>
      <c r="F829" s="18"/>
      <c r="G829" s="18"/>
      <c r="H829" s="17"/>
      <c r="I829" s="17"/>
      <c r="J829" s="17"/>
      <c r="K829" s="18"/>
      <c r="L829" s="19"/>
      <c r="M829" s="18"/>
    </row>
    <row r="830" customFormat="false" ht="15" hidden="false" customHeight="true" outlineLevel="0" collapsed="false">
      <c r="A830" s="17"/>
      <c r="B830" s="17"/>
      <c r="C830" s="17"/>
      <c r="D830" s="17"/>
      <c r="E830" s="18"/>
      <c r="F830" s="18"/>
      <c r="G830" s="18"/>
      <c r="H830" s="17"/>
      <c r="I830" s="17"/>
      <c r="J830" s="17"/>
      <c r="K830" s="18"/>
      <c r="L830" s="19"/>
      <c r="M830" s="18"/>
    </row>
    <row r="831" customFormat="false" ht="15" hidden="false" customHeight="true" outlineLevel="0" collapsed="false">
      <c r="A831" s="17"/>
      <c r="B831" s="17"/>
      <c r="C831" s="17"/>
      <c r="D831" s="17"/>
      <c r="E831" s="18"/>
      <c r="F831" s="18"/>
      <c r="G831" s="18"/>
      <c r="H831" s="17"/>
      <c r="I831" s="17"/>
      <c r="J831" s="17"/>
      <c r="K831" s="18"/>
      <c r="L831" s="19"/>
      <c r="M831" s="18"/>
    </row>
    <row r="832" customFormat="false" ht="15" hidden="false" customHeight="true" outlineLevel="0" collapsed="false">
      <c r="A832" s="17"/>
      <c r="B832" s="17"/>
      <c r="C832" s="17"/>
      <c r="D832" s="17"/>
      <c r="E832" s="18"/>
      <c r="F832" s="18"/>
      <c r="G832" s="18"/>
      <c r="H832" s="17"/>
      <c r="I832" s="17"/>
      <c r="J832" s="17"/>
      <c r="K832" s="18"/>
      <c r="L832" s="19"/>
      <c r="M832" s="18"/>
    </row>
    <row r="833" customFormat="false" ht="15" hidden="false" customHeight="true" outlineLevel="0" collapsed="false">
      <c r="A833" s="17"/>
      <c r="B833" s="17"/>
      <c r="C833" s="17"/>
      <c r="D833" s="17"/>
      <c r="E833" s="18"/>
      <c r="F833" s="18"/>
      <c r="G833" s="18"/>
      <c r="H833" s="17"/>
      <c r="I833" s="17"/>
      <c r="J833" s="17"/>
      <c r="K833" s="18"/>
      <c r="L833" s="19"/>
      <c r="M833" s="18"/>
    </row>
    <row r="834" customFormat="false" ht="15" hidden="false" customHeight="true" outlineLevel="0" collapsed="false">
      <c r="A834" s="17"/>
      <c r="B834" s="17"/>
      <c r="C834" s="17"/>
      <c r="D834" s="17"/>
      <c r="E834" s="18"/>
      <c r="F834" s="18"/>
      <c r="G834" s="18"/>
      <c r="H834" s="17"/>
      <c r="I834" s="17"/>
      <c r="J834" s="17"/>
      <c r="K834" s="18"/>
      <c r="L834" s="19"/>
      <c r="M834" s="18"/>
    </row>
    <row r="835" customFormat="false" ht="15" hidden="false" customHeight="true" outlineLevel="0" collapsed="false">
      <c r="A835" s="17"/>
      <c r="B835" s="17"/>
      <c r="C835" s="17"/>
      <c r="D835" s="17"/>
      <c r="E835" s="18"/>
      <c r="F835" s="18"/>
      <c r="G835" s="18"/>
      <c r="H835" s="17"/>
      <c r="I835" s="17"/>
      <c r="J835" s="17"/>
      <c r="K835" s="18"/>
      <c r="L835" s="19"/>
      <c r="M835" s="18"/>
    </row>
    <row r="836" customFormat="false" ht="15" hidden="false" customHeight="true" outlineLevel="0" collapsed="false">
      <c r="A836" s="17"/>
      <c r="B836" s="17"/>
      <c r="C836" s="17"/>
      <c r="D836" s="17"/>
      <c r="E836" s="18"/>
      <c r="F836" s="18"/>
      <c r="G836" s="18"/>
      <c r="H836" s="17"/>
      <c r="I836" s="17"/>
      <c r="J836" s="17"/>
      <c r="K836" s="18"/>
      <c r="L836" s="19"/>
      <c r="M836" s="18"/>
    </row>
    <row r="837" customFormat="false" ht="15" hidden="false" customHeight="true" outlineLevel="0" collapsed="false">
      <c r="A837" s="17"/>
      <c r="B837" s="17"/>
      <c r="C837" s="17"/>
      <c r="D837" s="17"/>
      <c r="E837" s="18"/>
      <c r="F837" s="18"/>
      <c r="G837" s="18"/>
      <c r="H837" s="17"/>
      <c r="I837" s="17"/>
      <c r="J837" s="17"/>
      <c r="K837" s="18"/>
      <c r="L837" s="19"/>
      <c r="M837" s="18"/>
    </row>
    <row r="838" customFormat="false" ht="15" hidden="false" customHeight="true" outlineLevel="0" collapsed="false">
      <c r="A838" s="17"/>
      <c r="B838" s="17"/>
      <c r="C838" s="17"/>
      <c r="D838" s="17"/>
      <c r="E838" s="18"/>
      <c r="F838" s="18"/>
      <c r="G838" s="18"/>
      <c r="H838" s="17"/>
      <c r="I838" s="17"/>
      <c r="J838" s="17"/>
      <c r="K838" s="18"/>
      <c r="L838" s="19"/>
      <c r="M838" s="18"/>
    </row>
    <row r="839" customFormat="false" ht="15" hidden="false" customHeight="true" outlineLevel="0" collapsed="false">
      <c r="A839" s="17"/>
      <c r="B839" s="17"/>
      <c r="C839" s="17"/>
      <c r="D839" s="17"/>
      <c r="E839" s="18"/>
      <c r="F839" s="18"/>
      <c r="G839" s="18"/>
      <c r="H839" s="17"/>
      <c r="I839" s="17"/>
      <c r="J839" s="17"/>
      <c r="K839" s="18"/>
      <c r="L839" s="19"/>
      <c r="M839" s="18"/>
    </row>
    <row r="840" customFormat="false" ht="15" hidden="false" customHeight="true" outlineLevel="0" collapsed="false">
      <c r="A840" s="17"/>
      <c r="B840" s="17"/>
      <c r="C840" s="17"/>
      <c r="D840" s="17"/>
      <c r="E840" s="18"/>
      <c r="F840" s="18"/>
      <c r="G840" s="18"/>
      <c r="H840" s="17"/>
      <c r="I840" s="17"/>
      <c r="J840" s="17"/>
      <c r="K840" s="18"/>
      <c r="L840" s="19"/>
      <c r="M840" s="18"/>
    </row>
    <row r="841" customFormat="false" ht="15" hidden="false" customHeight="true" outlineLevel="0" collapsed="false">
      <c r="A841" s="17"/>
      <c r="B841" s="17"/>
      <c r="C841" s="17"/>
      <c r="D841" s="17"/>
      <c r="E841" s="18"/>
      <c r="F841" s="18"/>
      <c r="G841" s="18"/>
      <c r="H841" s="17"/>
      <c r="I841" s="17"/>
      <c r="J841" s="17"/>
      <c r="K841" s="18"/>
      <c r="L841" s="19"/>
      <c r="M841" s="18"/>
    </row>
    <row r="842" customFormat="false" ht="15" hidden="false" customHeight="true" outlineLevel="0" collapsed="false">
      <c r="A842" s="17"/>
      <c r="B842" s="17"/>
      <c r="C842" s="17"/>
      <c r="D842" s="17"/>
      <c r="E842" s="18"/>
      <c r="F842" s="18"/>
      <c r="G842" s="18"/>
      <c r="H842" s="17"/>
      <c r="I842" s="17"/>
      <c r="J842" s="17"/>
      <c r="K842" s="18"/>
      <c r="L842" s="19"/>
      <c r="M842" s="18"/>
    </row>
    <row r="843" customFormat="false" ht="15" hidden="false" customHeight="true" outlineLevel="0" collapsed="false">
      <c r="A843" s="17"/>
      <c r="B843" s="17"/>
      <c r="C843" s="17"/>
      <c r="D843" s="17"/>
      <c r="E843" s="18"/>
      <c r="F843" s="18"/>
      <c r="G843" s="18"/>
      <c r="H843" s="17"/>
      <c r="I843" s="17"/>
      <c r="J843" s="17"/>
      <c r="K843" s="18"/>
      <c r="L843" s="19"/>
      <c r="M843" s="18"/>
    </row>
    <row r="844" customFormat="false" ht="15" hidden="false" customHeight="true" outlineLevel="0" collapsed="false">
      <c r="A844" s="17"/>
      <c r="B844" s="17"/>
      <c r="C844" s="17"/>
      <c r="D844" s="17"/>
      <c r="E844" s="18"/>
      <c r="F844" s="18"/>
      <c r="G844" s="18"/>
      <c r="H844" s="17"/>
      <c r="I844" s="17"/>
      <c r="J844" s="17"/>
      <c r="K844" s="18"/>
      <c r="L844" s="19"/>
      <c r="M844" s="18"/>
    </row>
    <row r="845" customFormat="false" ht="15" hidden="false" customHeight="true" outlineLevel="0" collapsed="false">
      <c r="A845" s="17"/>
      <c r="B845" s="17"/>
      <c r="C845" s="17"/>
      <c r="D845" s="17"/>
      <c r="E845" s="18"/>
      <c r="F845" s="18"/>
      <c r="G845" s="18"/>
      <c r="H845" s="17"/>
      <c r="I845" s="17"/>
      <c r="J845" s="17"/>
      <c r="K845" s="18"/>
      <c r="L845" s="19"/>
      <c r="M845" s="18"/>
    </row>
    <row r="846" customFormat="false" ht="15" hidden="false" customHeight="true" outlineLevel="0" collapsed="false">
      <c r="A846" s="17"/>
      <c r="B846" s="17"/>
      <c r="C846" s="17"/>
      <c r="D846" s="17"/>
      <c r="E846" s="18"/>
      <c r="F846" s="18"/>
      <c r="G846" s="18"/>
      <c r="H846" s="17"/>
      <c r="I846" s="17"/>
      <c r="J846" s="17"/>
      <c r="K846" s="18"/>
      <c r="L846" s="19"/>
      <c r="M846" s="18"/>
    </row>
    <row r="847" customFormat="false" ht="15" hidden="false" customHeight="true" outlineLevel="0" collapsed="false">
      <c r="A847" s="17"/>
      <c r="B847" s="17"/>
      <c r="C847" s="17"/>
      <c r="D847" s="17"/>
      <c r="E847" s="18"/>
      <c r="F847" s="18"/>
      <c r="G847" s="18"/>
      <c r="H847" s="17"/>
      <c r="I847" s="17"/>
      <c r="J847" s="17"/>
      <c r="K847" s="18"/>
      <c r="L847" s="19"/>
      <c r="M847" s="18"/>
    </row>
    <row r="848" customFormat="false" ht="15" hidden="false" customHeight="true" outlineLevel="0" collapsed="false">
      <c r="A848" s="17"/>
      <c r="B848" s="17"/>
      <c r="C848" s="17"/>
      <c r="D848" s="17"/>
      <c r="E848" s="18"/>
      <c r="F848" s="18"/>
      <c r="G848" s="18"/>
      <c r="H848" s="17"/>
      <c r="I848" s="17"/>
      <c r="J848" s="17"/>
      <c r="K848" s="18"/>
      <c r="L848" s="19"/>
      <c r="M848" s="18"/>
    </row>
    <row r="849" customFormat="false" ht="15" hidden="false" customHeight="true" outlineLevel="0" collapsed="false">
      <c r="A849" s="17"/>
      <c r="B849" s="17"/>
      <c r="C849" s="17"/>
      <c r="D849" s="17"/>
      <c r="E849" s="18"/>
      <c r="F849" s="18"/>
      <c r="G849" s="18"/>
      <c r="H849" s="17"/>
      <c r="I849" s="17"/>
      <c r="J849" s="17"/>
      <c r="K849" s="18"/>
      <c r="L849" s="19"/>
      <c r="M849" s="18"/>
    </row>
    <row r="850" customFormat="false" ht="15" hidden="false" customHeight="true" outlineLevel="0" collapsed="false">
      <c r="A850" s="17"/>
      <c r="B850" s="17"/>
      <c r="C850" s="17"/>
      <c r="D850" s="17"/>
      <c r="E850" s="18"/>
      <c r="F850" s="18"/>
      <c r="G850" s="18"/>
      <c r="H850" s="17"/>
      <c r="I850" s="17"/>
      <c r="J850" s="17"/>
      <c r="K850" s="18"/>
      <c r="L850" s="19"/>
      <c r="M850" s="18"/>
    </row>
    <row r="851" customFormat="false" ht="15" hidden="false" customHeight="true" outlineLevel="0" collapsed="false">
      <c r="A851" s="17"/>
      <c r="B851" s="17"/>
      <c r="C851" s="17"/>
      <c r="D851" s="17"/>
      <c r="E851" s="18"/>
      <c r="F851" s="18"/>
      <c r="G851" s="18"/>
      <c r="H851" s="17"/>
      <c r="I851" s="17"/>
      <c r="J851" s="17"/>
      <c r="K851" s="18"/>
      <c r="L851" s="19"/>
      <c r="M851" s="18"/>
    </row>
    <row r="852" customFormat="false" ht="15" hidden="false" customHeight="true" outlineLevel="0" collapsed="false">
      <c r="A852" s="17"/>
      <c r="B852" s="17"/>
      <c r="C852" s="17"/>
      <c r="D852" s="17"/>
      <c r="E852" s="18"/>
      <c r="F852" s="18"/>
      <c r="G852" s="18"/>
      <c r="H852" s="17"/>
      <c r="I852" s="17"/>
      <c r="J852" s="17"/>
      <c r="K852" s="18"/>
      <c r="L852" s="19"/>
      <c r="M852" s="18"/>
    </row>
    <row r="853" customFormat="false" ht="15" hidden="false" customHeight="true" outlineLevel="0" collapsed="false">
      <c r="A853" s="17"/>
      <c r="B853" s="17"/>
      <c r="C853" s="17"/>
      <c r="D853" s="17"/>
      <c r="E853" s="18"/>
      <c r="F853" s="18"/>
      <c r="G853" s="18"/>
      <c r="H853" s="17"/>
      <c r="I853" s="17"/>
      <c r="J853" s="17"/>
      <c r="K853" s="18"/>
      <c r="L853" s="19"/>
      <c r="M853" s="18"/>
    </row>
    <row r="854" customFormat="false" ht="15" hidden="false" customHeight="true" outlineLevel="0" collapsed="false">
      <c r="A854" s="17"/>
      <c r="B854" s="17"/>
      <c r="C854" s="17"/>
      <c r="D854" s="17"/>
      <c r="E854" s="18"/>
      <c r="F854" s="18"/>
      <c r="G854" s="18"/>
      <c r="H854" s="17"/>
      <c r="I854" s="17"/>
      <c r="J854" s="17"/>
      <c r="K854" s="18"/>
      <c r="L854" s="19"/>
      <c r="M854" s="18"/>
    </row>
    <row r="855" customFormat="false" ht="15" hidden="false" customHeight="true" outlineLevel="0" collapsed="false">
      <c r="A855" s="17"/>
      <c r="B855" s="17"/>
      <c r="C855" s="17"/>
      <c r="D855" s="17"/>
      <c r="E855" s="18"/>
      <c r="F855" s="18"/>
      <c r="G855" s="18"/>
      <c r="H855" s="17"/>
      <c r="I855" s="17"/>
      <c r="J855" s="17"/>
      <c r="K855" s="18"/>
      <c r="L855" s="19"/>
      <c r="M855" s="18"/>
    </row>
    <row r="856" customFormat="false" ht="15" hidden="false" customHeight="true" outlineLevel="0" collapsed="false">
      <c r="A856" s="17"/>
      <c r="B856" s="17"/>
      <c r="C856" s="17"/>
      <c r="D856" s="17"/>
      <c r="E856" s="18"/>
      <c r="F856" s="18"/>
      <c r="G856" s="18"/>
      <c r="H856" s="17"/>
      <c r="I856" s="17"/>
      <c r="J856" s="17"/>
      <c r="K856" s="18"/>
      <c r="L856" s="19"/>
      <c r="M856" s="18"/>
    </row>
    <row r="857" customFormat="false" ht="15" hidden="false" customHeight="true" outlineLevel="0" collapsed="false">
      <c r="A857" s="17"/>
      <c r="B857" s="17"/>
      <c r="C857" s="17"/>
      <c r="D857" s="17"/>
      <c r="E857" s="18"/>
      <c r="F857" s="18"/>
      <c r="G857" s="18"/>
      <c r="H857" s="17"/>
      <c r="I857" s="17"/>
      <c r="J857" s="17"/>
      <c r="K857" s="18"/>
      <c r="L857" s="19"/>
      <c r="M857" s="18"/>
    </row>
    <row r="858" customFormat="false" ht="15" hidden="false" customHeight="true" outlineLevel="0" collapsed="false">
      <c r="A858" s="17"/>
      <c r="B858" s="17"/>
      <c r="C858" s="17"/>
      <c r="D858" s="17"/>
      <c r="E858" s="18"/>
      <c r="F858" s="18"/>
      <c r="G858" s="18"/>
      <c r="H858" s="17"/>
      <c r="I858" s="17"/>
      <c r="J858" s="17"/>
      <c r="K858" s="18"/>
      <c r="L858" s="19"/>
      <c r="M858" s="18"/>
    </row>
    <row r="859" customFormat="false" ht="15" hidden="false" customHeight="true" outlineLevel="0" collapsed="false">
      <c r="A859" s="17"/>
      <c r="B859" s="17"/>
      <c r="C859" s="17"/>
      <c r="D859" s="17"/>
      <c r="E859" s="18"/>
      <c r="F859" s="18"/>
      <c r="G859" s="18"/>
      <c r="H859" s="17"/>
      <c r="I859" s="17"/>
      <c r="J859" s="17"/>
      <c r="K859" s="18"/>
      <c r="L859" s="19"/>
      <c r="M859" s="18"/>
    </row>
    <row r="860" customFormat="false" ht="15" hidden="false" customHeight="true" outlineLevel="0" collapsed="false">
      <c r="A860" s="17"/>
      <c r="B860" s="17"/>
      <c r="C860" s="17"/>
      <c r="D860" s="17"/>
      <c r="E860" s="18"/>
      <c r="F860" s="18"/>
      <c r="G860" s="18"/>
      <c r="H860" s="17"/>
      <c r="I860" s="17"/>
      <c r="J860" s="17"/>
      <c r="K860" s="18"/>
      <c r="L860" s="19"/>
      <c r="M860" s="18"/>
    </row>
    <row r="861" customFormat="false" ht="15" hidden="false" customHeight="true" outlineLevel="0" collapsed="false">
      <c r="A861" s="17"/>
      <c r="B861" s="17"/>
      <c r="C861" s="17"/>
      <c r="D861" s="17"/>
      <c r="E861" s="18"/>
      <c r="F861" s="18"/>
      <c r="G861" s="18"/>
      <c r="H861" s="17"/>
      <c r="I861" s="17"/>
      <c r="J861" s="17"/>
      <c r="K861" s="18"/>
      <c r="L861" s="19"/>
      <c r="M861" s="18"/>
    </row>
    <row r="862" customFormat="false" ht="15" hidden="false" customHeight="true" outlineLevel="0" collapsed="false">
      <c r="A862" s="17"/>
      <c r="B862" s="17"/>
      <c r="C862" s="17"/>
      <c r="D862" s="17"/>
      <c r="E862" s="18"/>
      <c r="F862" s="18"/>
      <c r="G862" s="18"/>
      <c r="H862" s="17"/>
      <c r="I862" s="17"/>
      <c r="J862" s="17"/>
      <c r="K862" s="18"/>
      <c r="L862" s="19"/>
      <c r="M862" s="18"/>
    </row>
    <row r="863" customFormat="false" ht="15" hidden="false" customHeight="true" outlineLevel="0" collapsed="false">
      <c r="A863" s="17"/>
      <c r="B863" s="17"/>
      <c r="C863" s="17"/>
      <c r="D863" s="17"/>
      <c r="E863" s="18"/>
      <c r="F863" s="18"/>
      <c r="G863" s="18"/>
      <c r="H863" s="17"/>
      <c r="I863" s="17"/>
      <c r="J863" s="17"/>
      <c r="K863" s="18"/>
      <c r="L863" s="19"/>
      <c r="M863" s="18"/>
    </row>
    <row r="864" customFormat="false" ht="15" hidden="false" customHeight="true" outlineLevel="0" collapsed="false">
      <c r="A864" s="17"/>
      <c r="B864" s="17"/>
      <c r="C864" s="17"/>
      <c r="D864" s="17"/>
      <c r="E864" s="18"/>
      <c r="F864" s="18"/>
      <c r="G864" s="18"/>
      <c r="H864" s="17"/>
      <c r="I864" s="17"/>
      <c r="J864" s="17"/>
      <c r="K864" s="18"/>
      <c r="L864" s="19"/>
      <c r="M864" s="18"/>
    </row>
    <row r="865" customFormat="false" ht="15" hidden="false" customHeight="true" outlineLevel="0" collapsed="false">
      <c r="A865" s="17"/>
      <c r="B865" s="17"/>
      <c r="C865" s="17"/>
      <c r="D865" s="17"/>
      <c r="E865" s="18"/>
      <c r="F865" s="18"/>
      <c r="G865" s="18"/>
      <c r="H865" s="17"/>
      <c r="I865" s="17"/>
      <c r="J865" s="17"/>
      <c r="K865" s="18"/>
      <c r="L865" s="19"/>
      <c r="M865" s="18"/>
    </row>
    <row r="866" customFormat="false" ht="15" hidden="false" customHeight="true" outlineLevel="0" collapsed="false">
      <c r="A866" s="17"/>
      <c r="B866" s="17"/>
      <c r="C866" s="17"/>
      <c r="D866" s="17"/>
      <c r="E866" s="18"/>
      <c r="F866" s="18"/>
      <c r="G866" s="18"/>
      <c r="H866" s="17"/>
      <c r="I866" s="17"/>
      <c r="J866" s="17"/>
      <c r="K866" s="18"/>
      <c r="L866" s="19"/>
      <c r="M866" s="18"/>
    </row>
    <row r="867" customFormat="false" ht="15" hidden="false" customHeight="true" outlineLevel="0" collapsed="false">
      <c r="A867" s="17"/>
      <c r="B867" s="17"/>
      <c r="C867" s="17"/>
      <c r="D867" s="17"/>
      <c r="E867" s="18"/>
      <c r="F867" s="18"/>
      <c r="G867" s="18"/>
      <c r="H867" s="17"/>
      <c r="I867" s="17"/>
      <c r="J867" s="17"/>
      <c r="K867" s="18"/>
      <c r="L867" s="19"/>
      <c r="M867" s="18"/>
    </row>
    <row r="868" customFormat="false" ht="15" hidden="false" customHeight="true" outlineLevel="0" collapsed="false">
      <c r="A868" s="17"/>
      <c r="B868" s="17"/>
      <c r="C868" s="17"/>
      <c r="D868" s="17"/>
      <c r="E868" s="18"/>
      <c r="F868" s="18"/>
      <c r="G868" s="18"/>
      <c r="H868" s="17"/>
      <c r="I868" s="17"/>
      <c r="J868" s="17"/>
      <c r="K868" s="18"/>
      <c r="L868" s="19"/>
      <c r="M868" s="18"/>
    </row>
    <row r="869" customFormat="false" ht="15" hidden="false" customHeight="true" outlineLevel="0" collapsed="false">
      <c r="A869" s="17"/>
      <c r="B869" s="17"/>
      <c r="C869" s="17"/>
      <c r="D869" s="17"/>
      <c r="E869" s="18"/>
      <c r="F869" s="18"/>
      <c r="G869" s="18"/>
      <c r="H869" s="17"/>
      <c r="I869" s="17"/>
      <c r="J869" s="17"/>
      <c r="K869" s="18"/>
      <c r="L869" s="19"/>
      <c r="M869" s="18"/>
    </row>
    <row r="870" customFormat="false" ht="15" hidden="false" customHeight="true" outlineLevel="0" collapsed="false">
      <c r="A870" s="17"/>
      <c r="B870" s="17"/>
      <c r="C870" s="17"/>
      <c r="D870" s="17"/>
      <c r="E870" s="18"/>
      <c r="F870" s="18"/>
      <c r="G870" s="18"/>
      <c r="H870" s="17"/>
      <c r="I870" s="17"/>
      <c r="J870" s="17"/>
      <c r="K870" s="18"/>
      <c r="L870" s="19"/>
      <c r="M870" s="18"/>
    </row>
    <row r="871" customFormat="false" ht="15" hidden="false" customHeight="true" outlineLevel="0" collapsed="false">
      <c r="A871" s="17"/>
      <c r="B871" s="17"/>
      <c r="C871" s="17"/>
      <c r="D871" s="17"/>
      <c r="E871" s="18"/>
      <c r="F871" s="18"/>
      <c r="G871" s="18"/>
      <c r="H871" s="17"/>
      <c r="I871" s="17"/>
      <c r="J871" s="17"/>
      <c r="K871" s="18"/>
      <c r="L871" s="19"/>
      <c r="M871" s="18"/>
    </row>
    <row r="872" customFormat="false" ht="15" hidden="false" customHeight="true" outlineLevel="0" collapsed="false">
      <c r="A872" s="17"/>
      <c r="B872" s="17"/>
      <c r="C872" s="17"/>
      <c r="D872" s="17"/>
      <c r="E872" s="18"/>
      <c r="F872" s="18"/>
      <c r="G872" s="18"/>
      <c r="H872" s="17"/>
      <c r="I872" s="17"/>
      <c r="J872" s="17"/>
      <c r="K872" s="18"/>
      <c r="L872" s="19"/>
      <c r="M872" s="18"/>
    </row>
    <row r="873" customFormat="false" ht="15" hidden="false" customHeight="true" outlineLevel="0" collapsed="false">
      <c r="A873" s="17"/>
      <c r="B873" s="17"/>
      <c r="C873" s="17"/>
      <c r="D873" s="17"/>
      <c r="E873" s="18"/>
      <c r="F873" s="18"/>
      <c r="G873" s="18"/>
      <c r="H873" s="17"/>
      <c r="I873" s="17"/>
      <c r="J873" s="17"/>
      <c r="K873" s="18"/>
      <c r="L873" s="19"/>
      <c r="M873" s="18"/>
    </row>
    <row r="874" customFormat="false" ht="15" hidden="false" customHeight="true" outlineLevel="0" collapsed="false">
      <c r="A874" s="17"/>
      <c r="B874" s="17"/>
      <c r="C874" s="17"/>
      <c r="D874" s="17"/>
      <c r="E874" s="18"/>
      <c r="F874" s="18"/>
      <c r="G874" s="18"/>
      <c r="H874" s="17"/>
      <c r="I874" s="17"/>
      <c r="J874" s="17"/>
      <c r="K874" s="18"/>
      <c r="L874" s="19"/>
      <c r="M874" s="18"/>
    </row>
    <row r="875" customFormat="false" ht="15" hidden="false" customHeight="true" outlineLevel="0" collapsed="false">
      <c r="A875" s="17"/>
      <c r="B875" s="17"/>
      <c r="C875" s="17"/>
      <c r="D875" s="17"/>
      <c r="E875" s="18"/>
      <c r="F875" s="18"/>
      <c r="G875" s="18"/>
      <c r="H875" s="17"/>
      <c r="I875" s="17"/>
      <c r="J875" s="17"/>
      <c r="K875" s="18"/>
      <c r="L875" s="19"/>
      <c r="M875" s="18"/>
    </row>
    <row r="876" customFormat="false" ht="15" hidden="false" customHeight="true" outlineLevel="0" collapsed="false">
      <c r="A876" s="17"/>
      <c r="B876" s="17"/>
      <c r="C876" s="17"/>
      <c r="D876" s="17"/>
      <c r="E876" s="18"/>
      <c r="F876" s="18"/>
      <c r="G876" s="18"/>
      <c r="H876" s="17"/>
      <c r="I876" s="17"/>
      <c r="J876" s="17"/>
      <c r="K876" s="18"/>
      <c r="L876" s="19"/>
      <c r="M876" s="18"/>
    </row>
    <row r="877" customFormat="false" ht="15" hidden="false" customHeight="true" outlineLevel="0" collapsed="false">
      <c r="A877" s="17"/>
      <c r="B877" s="17"/>
      <c r="C877" s="17"/>
      <c r="D877" s="17"/>
      <c r="E877" s="18"/>
      <c r="F877" s="18"/>
      <c r="G877" s="18"/>
      <c r="H877" s="17"/>
      <c r="I877" s="17"/>
      <c r="J877" s="17"/>
      <c r="K877" s="18"/>
      <c r="L877" s="19"/>
      <c r="M877" s="18"/>
    </row>
    <row r="878" customFormat="false" ht="15" hidden="false" customHeight="true" outlineLevel="0" collapsed="false">
      <c r="A878" s="17"/>
      <c r="B878" s="17"/>
      <c r="C878" s="17"/>
      <c r="D878" s="17"/>
      <c r="E878" s="18"/>
      <c r="F878" s="18"/>
      <c r="G878" s="18"/>
      <c r="H878" s="17"/>
      <c r="I878" s="17"/>
      <c r="J878" s="17"/>
      <c r="K878" s="18"/>
      <c r="L878" s="19"/>
      <c r="M878" s="18"/>
    </row>
    <row r="879" customFormat="false" ht="15" hidden="false" customHeight="true" outlineLevel="0" collapsed="false">
      <c r="A879" s="17"/>
      <c r="B879" s="17"/>
      <c r="C879" s="17"/>
      <c r="D879" s="17"/>
      <c r="E879" s="18"/>
      <c r="F879" s="18"/>
      <c r="G879" s="18"/>
      <c r="H879" s="17"/>
      <c r="I879" s="17"/>
      <c r="J879" s="17"/>
      <c r="K879" s="18"/>
      <c r="L879" s="19"/>
      <c r="M879" s="18"/>
    </row>
    <row r="880" customFormat="false" ht="15" hidden="false" customHeight="true" outlineLevel="0" collapsed="false">
      <c r="A880" s="17"/>
      <c r="B880" s="17"/>
      <c r="C880" s="17"/>
      <c r="D880" s="17"/>
      <c r="E880" s="18"/>
      <c r="F880" s="18"/>
      <c r="G880" s="18"/>
      <c r="H880" s="17"/>
      <c r="I880" s="17"/>
      <c r="J880" s="17"/>
      <c r="K880" s="18"/>
      <c r="L880" s="19"/>
      <c r="M880" s="18"/>
    </row>
    <row r="881" customFormat="false" ht="15" hidden="false" customHeight="true" outlineLevel="0" collapsed="false">
      <c r="A881" s="17"/>
      <c r="B881" s="17"/>
      <c r="C881" s="17"/>
      <c r="D881" s="17"/>
      <c r="E881" s="18"/>
      <c r="F881" s="18"/>
      <c r="G881" s="18"/>
      <c r="H881" s="17"/>
      <c r="I881" s="17"/>
      <c r="J881" s="17"/>
      <c r="K881" s="18"/>
      <c r="L881" s="19"/>
      <c r="M881" s="18"/>
    </row>
    <row r="882" customFormat="false" ht="15" hidden="false" customHeight="true" outlineLevel="0" collapsed="false">
      <c r="A882" s="17"/>
      <c r="B882" s="17"/>
      <c r="C882" s="17"/>
      <c r="D882" s="17"/>
      <c r="E882" s="18"/>
      <c r="F882" s="18"/>
      <c r="G882" s="18"/>
      <c r="H882" s="17"/>
      <c r="I882" s="17"/>
      <c r="J882" s="17"/>
      <c r="K882" s="18"/>
      <c r="L882" s="19"/>
      <c r="M882" s="18"/>
    </row>
    <row r="883" customFormat="false" ht="15" hidden="false" customHeight="true" outlineLevel="0" collapsed="false">
      <c r="A883" s="17"/>
      <c r="B883" s="17"/>
      <c r="C883" s="17"/>
      <c r="D883" s="17"/>
      <c r="E883" s="18"/>
      <c r="F883" s="18"/>
      <c r="G883" s="18"/>
      <c r="H883" s="17"/>
      <c r="I883" s="17"/>
      <c r="J883" s="17"/>
      <c r="K883" s="18"/>
      <c r="L883" s="19"/>
      <c r="M883" s="18"/>
    </row>
    <row r="884" customFormat="false" ht="15" hidden="false" customHeight="true" outlineLevel="0" collapsed="false">
      <c r="A884" s="17"/>
      <c r="B884" s="17"/>
      <c r="C884" s="17"/>
      <c r="D884" s="17"/>
      <c r="E884" s="18"/>
      <c r="F884" s="18"/>
      <c r="G884" s="18"/>
      <c r="H884" s="17"/>
      <c r="I884" s="17"/>
      <c r="J884" s="17"/>
      <c r="K884" s="18"/>
      <c r="L884" s="19"/>
      <c r="M884" s="18"/>
    </row>
    <row r="885" customFormat="false" ht="15" hidden="false" customHeight="true" outlineLevel="0" collapsed="false">
      <c r="A885" s="17"/>
      <c r="B885" s="17"/>
      <c r="C885" s="17"/>
      <c r="D885" s="17"/>
      <c r="E885" s="18"/>
      <c r="F885" s="18"/>
      <c r="G885" s="18"/>
      <c r="H885" s="17"/>
      <c r="I885" s="17"/>
      <c r="J885" s="17"/>
      <c r="K885" s="18"/>
      <c r="L885" s="19"/>
      <c r="M885" s="18"/>
    </row>
    <row r="886" customFormat="false" ht="15" hidden="false" customHeight="true" outlineLevel="0" collapsed="false">
      <c r="A886" s="17"/>
      <c r="B886" s="17"/>
      <c r="C886" s="17"/>
      <c r="D886" s="17"/>
      <c r="E886" s="18"/>
      <c r="F886" s="18"/>
      <c r="G886" s="18"/>
      <c r="H886" s="17"/>
      <c r="I886" s="17"/>
      <c r="J886" s="17"/>
      <c r="K886" s="18"/>
      <c r="L886" s="19"/>
      <c r="M886" s="18"/>
    </row>
    <row r="887" customFormat="false" ht="15" hidden="false" customHeight="true" outlineLevel="0" collapsed="false">
      <c r="A887" s="17"/>
      <c r="B887" s="17"/>
      <c r="C887" s="17"/>
      <c r="D887" s="17"/>
      <c r="E887" s="18"/>
      <c r="F887" s="18"/>
      <c r="G887" s="18"/>
      <c r="H887" s="17"/>
      <c r="I887" s="17"/>
      <c r="J887" s="17"/>
      <c r="K887" s="18"/>
      <c r="L887" s="19"/>
      <c r="M887" s="18"/>
    </row>
    <row r="888" customFormat="false" ht="15" hidden="false" customHeight="true" outlineLevel="0" collapsed="false">
      <c r="A888" s="17"/>
      <c r="B888" s="17"/>
      <c r="C888" s="17"/>
      <c r="D888" s="17"/>
      <c r="E888" s="18"/>
      <c r="F888" s="18"/>
      <c r="G888" s="18"/>
      <c r="H888" s="17"/>
      <c r="I888" s="17"/>
      <c r="J888" s="17"/>
      <c r="K888" s="18"/>
      <c r="L888" s="19"/>
      <c r="M888" s="18"/>
    </row>
    <row r="889" customFormat="false" ht="15" hidden="false" customHeight="true" outlineLevel="0" collapsed="false">
      <c r="A889" s="17"/>
      <c r="B889" s="17"/>
      <c r="C889" s="17"/>
      <c r="D889" s="17"/>
      <c r="E889" s="18"/>
      <c r="F889" s="18"/>
      <c r="G889" s="18"/>
      <c r="H889" s="17"/>
      <c r="I889" s="17"/>
      <c r="J889" s="17"/>
      <c r="K889" s="18"/>
      <c r="L889" s="19"/>
      <c r="M889" s="18"/>
    </row>
    <row r="890" customFormat="false" ht="15" hidden="false" customHeight="true" outlineLevel="0" collapsed="false">
      <c r="A890" s="17"/>
      <c r="B890" s="17"/>
      <c r="C890" s="17"/>
      <c r="D890" s="17"/>
      <c r="E890" s="18"/>
      <c r="F890" s="18"/>
      <c r="G890" s="18"/>
      <c r="H890" s="17"/>
      <c r="I890" s="17"/>
      <c r="J890" s="17"/>
      <c r="K890" s="18"/>
      <c r="L890" s="19"/>
      <c r="M890" s="18"/>
    </row>
    <row r="891" customFormat="false" ht="15" hidden="false" customHeight="true" outlineLevel="0" collapsed="false">
      <c r="A891" s="17"/>
      <c r="B891" s="17"/>
      <c r="C891" s="17"/>
      <c r="D891" s="17"/>
      <c r="E891" s="18"/>
      <c r="F891" s="18"/>
      <c r="G891" s="18"/>
      <c r="H891" s="17"/>
      <c r="I891" s="17"/>
      <c r="J891" s="17"/>
      <c r="K891" s="18"/>
      <c r="L891" s="19"/>
      <c r="M891" s="18"/>
    </row>
    <row r="892" customFormat="false" ht="15" hidden="false" customHeight="true" outlineLevel="0" collapsed="false">
      <c r="A892" s="17"/>
      <c r="B892" s="17"/>
      <c r="C892" s="17"/>
      <c r="D892" s="17"/>
      <c r="E892" s="18"/>
      <c r="F892" s="18"/>
      <c r="G892" s="18"/>
      <c r="H892" s="17"/>
      <c r="I892" s="17"/>
      <c r="J892" s="17"/>
      <c r="K892" s="18"/>
      <c r="L892" s="19"/>
      <c r="M892" s="18"/>
    </row>
    <row r="893" customFormat="false" ht="15" hidden="false" customHeight="true" outlineLevel="0" collapsed="false">
      <c r="A893" s="17"/>
      <c r="B893" s="17"/>
      <c r="C893" s="17"/>
      <c r="D893" s="17"/>
      <c r="E893" s="18"/>
      <c r="F893" s="18"/>
      <c r="G893" s="18"/>
      <c r="H893" s="17"/>
      <c r="I893" s="17"/>
      <c r="J893" s="17"/>
      <c r="K893" s="18"/>
      <c r="L893" s="19"/>
      <c r="M893" s="18"/>
    </row>
    <row r="894" customFormat="false" ht="15" hidden="false" customHeight="true" outlineLevel="0" collapsed="false">
      <c r="A894" s="17"/>
      <c r="B894" s="17"/>
      <c r="C894" s="17"/>
      <c r="D894" s="17"/>
      <c r="E894" s="18"/>
      <c r="F894" s="18"/>
      <c r="G894" s="18"/>
      <c r="H894" s="17"/>
      <c r="I894" s="17"/>
      <c r="J894" s="17"/>
      <c r="K894" s="18"/>
      <c r="L894" s="19"/>
      <c r="M894" s="18"/>
    </row>
    <row r="895" customFormat="false" ht="15" hidden="false" customHeight="true" outlineLevel="0" collapsed="false">
      <c r="A895" s="17"/>
      <c r="B895" s="17"/>
      <c r="C895" s="17"/>
      <c r="D895" s="17"/>
      <c r="E895" s="18"/>
      <c r="F895" s="18"/>
      <c r="G895" s="18"/>
      <c r="H895" s="17"/>
      <c r="I895" s="17"/>
      <c r="J895" s="17"/>
      <c r="K895" s="18"/>
      <c r="L895" s="19"/>
      <c r="M895" s="18"/>
    </row>
    <row r="896" customFormat="false" ht="15" hidden="false" customHeight="true" outlineLevel="0" collapsed="false">
      <c r="A896" s="17"/>
      <c r="B896" s="17"/>
      <c r="C896" s="17"/>
      <c r="D896" s="17"/>
      <c r="E896" s="18"/>
      <c r="F896" s="18"/>
      <c r="G896" s="18"/>
      <c r="H896" s="17"/>
      <c r="I896" s="17"/>
      <c r="J896" s="17"/>
      <c r="K896" s="18"/>
      <c r="L896" s="19"/>
      <c r="M896" s="18"/>
    </row>
    <row r="897" customFormat="false" ht="15" hidden="false" customHeight="true" outlineLevel="0" collapsed="false">
      <c r="A897" s="17"/>
      <c r="B897" s="17"/>
      <c r="C897" s="17"/>
      <c r="D897" s="17"/>
      <c r="E897" s="18"/>
      <c r="F897" s="18"/>
      <c r="G897" s="18"/>
      <c r="H897" s="17"/>
      <c r="I897" s="17"/>
      <c r="J897" s="17"/>
      <c r="K897" s="18"/>
      <c r="L897" s="19"/>
      <c r="M897" s="18"/>
    </row>
    <row r="898" customFormat="false" ht="15" hidden="false" customHeight="true" outlineLevel="0" collapsed="false">
      <c r="A898" s="17"/>
      <c r="B898" s="17"/>
      <c r="C898" s="17"/>
      <c r="D898" s="17"/>
      <c r="E898" s="18"/>
      <c r="F898" s="18"/>
      <c r="G898" s="18"/>
      <c r="H898" s="17"/>
      <c r="I898" s="17"/>
      <c r="J898" s="17"/>
      <c r="K898" s="18"/>
      <c r="L898" s="19"/>
      <c r="M898" s="18"/>
    </row>
    <row r="899" customFormat="false" ht="15" hidden="false" customHeight="true" outlineLevel="0" collapsed="false">
      <c r="A899" s="17"/>
      <c r="B899" s="17"/>
      <c r="C899" s="17"/>
      <c r="D899" s="17"/>
      <c r="E899" s="18"/>
      <c r="F899" s="18"/>
      <c r="G899" s="18"/>
      <c r="H899" s="17"/>
      <c r="I899" s="17"/>
      <c r="J899" s="17"/>
      <c r="K899" s="18"/>
      <c r="L899" s="19"/>
      <c r="M899" s="18"/>
    </row>
    <row r="900" customFormat="false" ht="15" hidden="false" customHeight="true" outlineLevel="0" collapsed="false">
      <c r="A900" s="17"/>
      <c r="B900" s="17"/>
      <c r="C900" s="17"/>
      <c r="D900" s="17"/>
      <c r="E900" s="18"/>
      <c r="F900" s="18"/>
      <c r="G900" s="18"/>
      <c r="H900" s="17"/>
      <c r="I900" s="17"/>
      <c r="J900" s="17"/>
      <c r="K900" s="18"/>
      <c r="L900" s="19"/>
      <c r="M900" s="18"/>
    </row>
    <row r="901" customFormat="false" ht="15" hidden="false" customHeight="true" outlineLevel="0" collapsed="false">
      <c r="A901" s="17"/>
      <c r="B901" s="17"/>
      <c r="C901" s="17"/>
      <c r="D901" s="17"/>
      <c r="E901" s="18"/>
      <c r="F901" s="18"/>
      <c r="G901" s="18"/>
      <c r="H901" s="17"/>
      <c r="I901" s="17"/>
      <c r="J901" s="17"/>
      <c r="K901" s="18"/>
      <c r="L901" s="19"/>
      <c r="M901" s="18"/>
    </row>
    <row r="902" customFormat="false" ht="15" hidden="false" customHeight="true" outlineLevel="0" collapsed="false">
      <c r="A902" s="17"/>
      <c r="B902" s="17"/>
      <c r="C902" s="17"/>
      <c r="D902" s="17"/>
      <c r="E902" s="18"/>
      <c r="F902" s="18"/>
      <c r="G902" s="18"/>
      <c r="H902" s="17"/>
      <c r="I902" s="17"/>
      <c r="J902" s="17"/>
      <c r="K902" s="18"/>
      <c r="L902" s="19"/>
      <c r="M902" s="18"/>
    </row>
    <row r="903" customFormat="false" ht="15" hidden="false" customHeight="true" outlineLevel="0" collapsed="false">
      <c r="A903" s="17"/>
      <c r="B903" s="17"/>
      <c r="C903" s="17"/>
      <c r="D903" s="17"/>
      <c r="E903" s="18"/>
      <c r="F903" s="18"/>
      <c r="G903" s="18"/>
      <c r="H903" s="17"/>
      <c r="I903" s="17"/>
      <c r="J903" s="17"/>
      <c r="K903" s="18"/>
      <c r="L903" s="19"/>
      <c r="M903" s="18"/>
    </row>
    <row r="904" customFormat="false" ht="15" hidden="false" customHeight="true" outlineLevel="0" collapsed="false">
      <c r="A904" s="17"/>
      <c r="B904" s="17"/>
      <c r="C904" s="17"/>
      <c r="D904" s="17"/>
      <c r="E904" s="18"/>
      <c r="F904" s="18"/>
      <c r="G904" s="18"/>
      <c r="H904" s="17"/>
      <c r="I904" s="17"/>
      <c r="J904" s="17"/>
      <c r="K904" s="18"/>
      <c r="L904" s="19"/>
      <c r="M904" s="18"/>
    </row>
    <row r="905" customFormat="false" ht="15" hidden="false" customHeight="true" outlineLevel="0" collapsed="false">
      <c r="A905" s="17"/>
      <c r="B905" s="17"/>
      <c r="C905" s="17"/>
      <c r="D905" s="17"/>
      <c r="E905" s="18"/>
      <c r="F905" s="18"/>
      <c r="G905" s="18"/>
      <c r="H905" s="17"/>
      <c r="I905" s="17"/>
      <c r="J905" s="17"/>
      <c r="K905" s="18"/>
      <c r="L905" s="19"/>
      <c r="M905" s="18"/>
    </row>
    <row r="906" customFormat="false" ht="15" hidden="false" customHeight="true" outlineLevel="0" collapsed="false">
      <c r="A906" s="17"/>
      <c r="B906" s="17"/>
      <c r="C906" s="17"/>
      <c r="D906" s="17"/>
      <c r="E906" s="18"/>
      <c r="F906" s="18"/>
      <c r="G906" s="18"/>
      <c r="H906" s="17"/>
      <c r="I906" s="17"/>
      <c r="J906" s="17"/>
      <c r="K906" s="18"/>
      <c r="L906" s="19"/>
      <c r="M906" s="18"/>
    </row>
    <row r="907" customFormat="false" ht="15" hidden="false" customHeight="true" outlineLevel="0" collapsed="false">
      <c r="A907" s="17"/>
      <c r="B907" s="17"/>
      <c r="C907" s="17"/>
      <c r="D907" s="17"/>
      <c r="E907" s="18"/>
      <c r="F907" s="18"/>
      <c r="G907" s="18"/>
      <c r="H907" s="17"/>
      <c r="I907" s="17"/>
      <c r="J907" s="17"/>
      <c r="K907" s="18"/>
      <c r="L907" s="19"/>
      <c r="M907" s="18"/>
    </row>
    <row r="908" customFormat="false" ht="15" hidden="false" customHeight="true" outlineLevel="0" collapsed="false">
      <c r="A908" s="17"/>
      <c r="B908" s="17"/>
      <c r="C908" s="17"/>
      <c r="D908" s="17"/>
      <c r="E908" s="18"/>
      <c r="F908" s="18"/>
      <c r="G908" s="18"/>
      <c r="H908" s="17"/>
      <c r="I908" s="17"/>
      <c r="J908" s="17"/>
      <c r="K908" s="18"/>
      <c r="L908" s="19"/>
      <c r="M908" s="18"/>
    </row>
    <row r="909" customFormat="false" ht="15" hidden="false" customHeight="true" outlineLevel="0" collapsed="false">
      <c r="A909" s="17"/>
      <c r="B909" s="17"/>
      <c r="C909" s="17"/>
      <c r="D909" s="17"/>
      <c r="E909" s="18"/>
      <c r="F909" s="18"/>
      <c r="G909" s="18"/>
      <c r="H909" s="17"/>
      <c r="I909" s="17"/>
      <c r="J909" s="17"/>
      <c r="K909" s="18"/>
      <c r="L909" s="19"/>
      <c r="M909" s="18"/>
    </row>
    <row r="910" customFormat="false" ht="15" hidden="false" customHeight="true" outlineLevel="0" collapsed="false">
      <c r="A910" s="17"/>
      <c r="B910" s="17"/>
      <c r="C910" s="17"/>
      <c r="D910" s="17"/>
      <c r="E910" s="18"/>
      <c r="F910" s="18"/>
      <c r="G910" s="18"/>
      <c r="H910" s="17"/>
      <c r="I910" s="17"/>
      <c r="J910" s="17"/>
      <c r="K910" s="18"/>
      <c r="L910" s="19"/>
      <c r="M910" s="18"/>
    </row>
    <row r="911" customFormat="false" ht="15" hidden="false" customHeight="true" outlineLevel="0" collapsed="false">
      <c r="A911" s="17"/>
      <c r="B911" s="17"/>
      <c r="C911" s="17"/>
      <c r="D911" s="17"/>
      <c r="E911" s="18"/>
      <c r="F911" s="18"/>
      <c r="G911" s="18"/>
      <c r="H911" s="17"/>
      <c r="I911" s="17"/>
      <c r="J911" s="17"/>
      <c r="K911" s="18"/>
      <c r="L911" s="19"/>
      <c r="M911" s="18"/>
    </row>
    <row r="912" customFormat="false" ht="15" hidden="false" customHeight="true" outlineLevel="0" collapsed="false">
      <c r="A912" s="17"/>
      <c r="B912" s="17"/>
      <c r="C912" s="17"/>
      <c r="D912" s="17"/>
      <c r="E912" s="18"/>
      <c r="F912" s="18"/>
      <c r="G912" s="18"/>
      <c r="H912" s="17"/>
      <c r="I912" s="17"/>
      <c r="J912" s="17"/>
      <c r="K912" s="18"/>
      <c r="L912" s="19"/>
      <c r="M912" s="18"/>
    </row>
    <row r="913" customFormat="false" ht="15" hidden="false" customHeight="true" outlineLevel="0" collapsed="false">
      <c r="A913" s="17"/>
      <c r="B913" s="17"/>
      <c r="C913" s="17"/>
      <c r="D913" s="17"/>
      <c r="E913" s="18"/>
      <c r="F913" s="18"/>
      <c r="G913" s="18"/>
      <c r="H913" s="17"/>
      <c r="I913" s="17"/>
      <c r="J913" s="17"/>
      <c r="K913" s="18"/>
      <c r="L913" s="19"/>
      <c r="M913" s="18"/>
    </row>
    <row r="914" customFormat="false" ht="15" hidden="false" customHeight="true" outlineLevel="0" collapsed="false">
      <c r="A914" s="17"/>
      <c r="B914" s="17"/>
      <c r="C914" s="17"/>
      <c r="D914" s="17"/>
      <c r="E914" s="18"/>
      <c r="F914" s="18"/>
      <c r="G914" s="18"/>
      <c r="H914" s="17"/>
      <c r="I914" s="17"/>
      <c r="J914" s="17"/>
      <c r="K914" s="18"/>
      <c r="L914" s="19"/>
      <c r="M914" s="18"/>
    </row>
    <row r="915" customFormat="false" ht="15" hidden="false" customHeight="true" outlineLevel="0" collapsed="false">
      <c r="A915" s="17"/>
      <c r="B915" s="17"/>
      <c r="C915" s="17"/>
      <c r="D915" s="17"/>
      <c r="E915" s="18"/>
      <c r="F915" s="18"/>
      <c r="G915" s="18"/>
      <c r="H915" s="17"/>
      <c r="I915" s="17"/>
      <c r="J915" s="17"/>
      <c r="K915" s="18"/>
      <c r="L915" s="19"/>
      <c r="M915" s="18"/>
    </row>
    <row r="916" customFormat="false" ht="15" hidden="false" customHeight="true" outlineLevel="0" collapsed="false">
      <c r="A916" s="17"/>
      <c r="B916" s="17"/>
      <c r="C916" s="17"/>
      <c r="D916" s="17"/>
      <c r="E916" s="18"/>
      <c r="F916" s="18"/>
      <c r="G916" s="18"/>
      <c r="H916" s="17"/>
      <c r="I916" s="17"/>
      <c r="J916" s="17"/>
      <c r="K916" s="18"/>
      <c r="L916" s="19"/>
      <c r="M916" s="18"/>
    </row>
    <row r="917" customFormat="false" ht="15" hidden="false" customHeight="true" outlineLevel="0" collapsed="false">
      <c r="A917" s="17"/>
      <c r="B917" s="17"/>
      <c r="C917" s="17"/>
      <c r="D917" s="17"/>
      <c r="E917" s="18"/>
      <c r="F917" s="18"/>
      <c r="G917" s="18"/>
      <c r="H917" s="17"/>
      <c r="I917" s="17"/>
      <c r="J917" s="17"/>
      <c r="K917" s="18"/>
      <c r="L917" s="19"/>
      <c r="M917" s="18"/>
    </row>
    <row r="918" customFormat="false" ht="15" hidden="false" customHeight="true" outlineLevel="0" collapsed="false">
      <c r="A918" s="17"/>
      <c r="B918" s="17"/>
      <c r="C918" s="17"/>
      <c r="D918" s="17"/>
      <c r="E918" s="18"/>
      <c r="F918" s="18"/>
      <c r="G918" s="18"/>
      <c r="H918" s="17"/>
      <c r="I918" s="17"/>
      <c r="J918" s="17"/>
      <c r="K918" s="18"/>
      <c r="L918" s="19"/>
      <c r="M918" s="18"/>
    </row>
    <row r="919" customFormat="false" ht="15" hidden="false" customHeight="true" outlineLevel="0" collapsed="false">
      <c r="A919" s="17"/>
      <c r="B919" s="17"/>
      <c r="C919" s="17"/>
      <c r="D919" s="17"/>
      <c r="E919" s="18"/>
      <c r="F919" s="18"/>
      <c r="G919" s="18"/>
      <c r="H919" s="17"/>
      <c r="I919" s="17"/>
      <c r="J919" s="17"/>
      <c r="K919" s="18"/>
      <c r="L919" s="19"/>
      <c r="M919" s="18"/>
    </row>
    <row r="920" customFormat="false" ht="15" hidden="false" customHeight="true" outlineLevel="0" collapsed="false">
      <c r="A920" s="17"/>
      <c r="B920" s="17"/>
      <c r="C920" s="17"/>
      <c r="D920" s="17"/>
      <c r="E920" s="18"/>
      <c r="F920" s="18"/>
      <c r="G920" s="18"/>
      <c r="H920" s="17"/>
      <c r="I920" s="17"/>
      <c r="J920" s="17"/>
      <c r="K920" s="18"/>
      <c r="L920" s="19"/>
      <c r="M920" s="18"/>
    </row>
    <row r="921" customFormat="false" ht="15" hidden="false" customHeight="true" outlineLevel="0" collapsed="false">
      <c r="A921" s="17"/>
      <c r="B921" s="17"/>
      <c r="C921" s="17"/>
      <c r="D921" s="17"/>
      <c r="E921" s="18"/>
      <c r="F921" s="18"/>
      <c r="G921" s="18"/>
      <c r="H921" s="17"/>
      <c r="I921" s="17"/>
      <c r="J921" s="17"/>
      <c r="K921" s="18"/>
      <c r="L921" s="19"/>
      <c r="M921" s="18"/>
    </row>
    <row r="922" customFormat="false" ht="15" hidden="false" customHeight="true" outlineLevel="0" collapsed="false">
      <c r="A922" s="17"/>
      <c r="B922" s="17"/>
      <c r="C922" s="17"/>
      <c r="D922" s="17"/>
      <c r="E922" s="18"/>
      <c r="F922" s="18"/>
      <c r="G922" s="18"/>
      <c r="H922" s="17"/>
      <c r="I922" s="17"/>
      <c r="J922" s="17"/>
      <c r="K922" s="18"/>
      <c r="L922" s="19"/>
      <c r="M922" s="18"/>
    </row>
    <row r="923" customFormat="false" ht="15" hidden="false" customHeight="true" outlineLevel="0" collapsed="false">
      <c r="A923" s="17"/>
      <c r="B923" s="17"/>
      <c r="C923" s="17"/>
      <c r="D923" s="17"/>
      <c r="E923" s="18"/>
      <c r="F923" s="18"/>
      <c r="G923" s="18"/>
      <c r="H923" s="17"/>
      <c r="I923" s="17"/>
      <c r="J923" s="17"/>
      <c r="K923" s="18"/>
      <c r="L923" s="19"/>
      <c r="M923" s="18"/>
    </row>
    <row r="924" customFormat="false" ht="15" hidden="false" customHeight="true" outlineLevel="0" collapsed="false">
      <c r="A924" s="17"/>
      <c r="B924" s="17"/>
      <c r="C924" s="17"/>
      <c r="D924" s="17"/>
      <c r="E924" s="18"/>
      <c r="F924" s="18"/>
      <c r="G924" s="18"/>
      <c r="H924" s="17"/>
      <c r="I924" s="17"/>
      <c r="J924" s="17"/>
      <c r="K924" s="18"/>
      <c r="L924" s="19"/>
      <c r="M924" s="18"/>
    </row>
    <row r="925" customFormat="false" ht="15" hidden="false" customHeight="true" outlineLevel="0" collapsed="false">
      <c r="A925" s="17"/>
      <c r="B925" s="17"/>
      <c r="C925" s="17"/>
      <c r="D925" s="17"/>
      <c r="E925" s="18"/>
      <c r="F925" s="18"/>
      <c r="G925" s="18"/>
      <c r="H925" s="17"/>
      <c r="I925" s="17"/>
      <c r="J925" s="17"/>
      <c r="K925" s="18"/>
      <c r="L925" s="19"/>
      <c r="M925" s="18"/>
    </row>
    <row r="926" customFormat="false" ht="15" hidden="false" customHeight="true" outlineLevel="0" collapsed="false">
      <c r="A926" s="17"/>
      <c r="B926" s="17"/>
      <c r="C926" s="17"/>
      <c r="D926" s="17"/>
      <c r="E926" s="18"/>
      <c r="F926" s="18"/>
      <c r="G926" s="18"/>
      <c r="H926" s="17"/>
      <c r="I926" s="17"/>
      <c r="J926" s="17"/>
      <c r="K926" s="18"/>
      <c r="L926" s="19"/>
      <c r="M926" s="18"/>
    </row>
    <row r="927" customFormat="false" ht="15" hidden="false" customHeight="true" outlineLevel="0" collapsed="false">
      <c r="A927" s="17"/>
      <c r="B927" s="17"/>
      <c r="C927" s="17"/>
      <c r="D927" s="17"/>
      <c r="E927" s="18"/>
      <c r="F927" s="18"/>
      <c r="G927" s="18"/>
      <c r="H927" s="17"/>
      <c r="I927" s="17"/>
      <c r="J927" s="17"/>
      <c r="K927" s="18"/>
      <c r="L927" s="19"/>
      <c r="M927" s="18"/>
    </row>
    <row r="928" customFormat="false" ht="15" hidden="false" customHeight="true" outlineLevel="0" collapsed="false">
      <c r="A928" s="17"/>
      <c r="B928" s="17"/>
      <c r="C928" s="17"/>
      <c r="D928" s="17"/>
      <c r="E928" s="18"/>
      <c r="F928" s="18"/>
      <c r="G928" s="18"/>
      <c r="H928" s="17"/>
      <c r="I928" s="17"/>
      <c r="J928" s="17"/>
      <c r="K928" s="18"/>
      <c r="L928" s="19"/>
      <c r="M928" s="18"/>
    </row>
    <row r="929" customFormat="false" ht="15" hidden="false" customHeight="true" outlineLevel="0" collapsed="false">
      <c r="A929" s="17"/>
      <c r="B929" s="17"/>
      <c r="C929" s="17"/>
      <c r="D929" s="17"/>
      <c r="E929" s="18"/>
      <c r="F929" s="18"/>
      <c r="G929" s="18"/>
      <c r="H929" s="17"/>
      <c r="I929" s="17"/>
      <c r="J929" s="17"/>
      <c r="K929" s="18"/>
      <c r="L929" s="19"/>
      <c r="M929" s="18"/>
    </row>
    <row r="930" customFormat="false" ht="15" hidden="false" customHeight="true" outlineLevel="0" collapsed="false">
      <c r="A930" s="17"/>
      <c r="B930" s="17"/>
      <c r="C930" s="17"/>
      <c r="D930" s="17"/>
      <c r="E930" s="18"/>
      <c r="F930" s="18"/>
      <c r="G930" s="18"/>
      <c r="H930" s="17"/>
      <c r="I930" s="17"/>
      <c r="J930" s="17"/>
      <c r="K930" s="18"/>
      <c r="L930" s="19"/>
      <c r="M930" s="18"/>
    </row>
    <row r="931" customFormat="false" ht="15" hidden="false" customHeight="true" outlineLevel="0" collapsed="false">
      <c r="A931" s="17"/>
      <c r="B931" s="17"/>
      <c r="C931" s="17"/>
      <c r="D931" s="17"/>
      <c r="E931" s="18"/>
      <c r="F931" s="18"/>
      <c r="G931" s="18"/>
      <c r="H931" s="17"/>
      <c r="I931" s="17"/>
      <c r="J931" s="17"/>
      <c r="K931" s="18"/>
      <c r="L931" s="19"/>
      <c r="M931" s="18"/>
    </row>
    <row r="932" customFormat="false" ht="15" hidden="false" customHeight="true" outlineLevel="0" collapsed="false">
      <c r="A932" s="17"/>
      <c r="B932" s="17"/>
      <c r="C932" s="17"/>
      <c r="D932" s="17"/>
      <c r="E932" s="18"/>
      <c r="F932" s="18"/>
      <c r="G932" s="18"/>
      <c r="H932" s="17"/>
      <c r="I932" s="17"/>
      <c r="J932" s="17"/>
      <c r="K932" s="18"/>
      <c r="L932" s="19"/>
      <c r="M932" s="18"/>
    </row>
    <row r="933" customFormat="false" ht="15" hidden="false" customHeight="true" outlineLevel="0" collapsed="false">
      <c r="A933" s="17"/>
      <c r="B933" s="17"/>
      <c r="C933" s="17"/>
      <c r="D933" s="17"/>
      <c r="E933" s="18"/>
      <c r="F933" s="18"/>
      <c r="G933" s="18"/>
      <c r="H933" s="17"/>
      <c r="I933" s="17"/>
      <c r="J933" s="17"/>
      <c r="K933" s="18"/>
      <c r="L933" s="19"/>
      <c r="M933" s="18"/>
    </row>
    <row r="934" customFormat="false" ht="15" hidden="false" customHeight="true" outlineLevel="0" collapsed="false">
      <c r="A934" s="17"/>
      <c r="B934" s="17"/>
      <c r="C934" s="17"/>
      <c r="D934" s="17"/>
      <c r="E934" s="18"/>
      <c r="F934" s="18"/>
      <c r="G934" s="18"/>
      <c r="H934" s="17"/>
      <c r="I934" s="17"/>
      <c r="J934" s="17"/>
      <c r="K934" s="18"/>
      <c r="L934" s="19"/>
      <c r="M934" s="18"/>
    </row>
    <row r="935" customFormat="false" ht="15" hidden="false" customHeight="true" outlineLevel="0" collapsed="false">
      <c r="A935" s="17"/>
      <c r="B935" s="17"/>
      <c r="C935" s="17"/>
      <c r="D935" s="17"/>
      <c r="E935" s="18"/>
      <c r="F935" s="18"/>
      <c r="G935" s="18"/>
      <c r="H935" s="17"/>
      <c r="I935" s="17"/>
      <c r="J935" s="17"/>
      <c r="K935" s="18"/>
      <c r="L935" s="19"/>
      <c r="M935" s="18"/>
    </row>
    <row r="936" customFormat="false" ht="15" hidden="false" customHeight="true" outlineLevel="0" collapsed="false">
      <c r="A936" s="17"/>
      <c r="B936" s="17"/>
      <c r="C936" s="17"/>
      <c r="D936" s="17"/>
      <c r="E936" s="18"/>
      <c r="F936" s="18"/>
      <c r="G936" s="18"/>
      <c r="H936" s="17"/>
      <c r="I936" s="17"/>
      <c r="J936" s="17"/>
      <c r="K936" s="18"/>
      <c r="L936" s="19"/>
      <c r="M936" s="18"/>
    </row>
    <row r="937" customFormat="false" ht="15" hidden="false" customHeight="true" outlineLevel="0" collapsed="false">
      <c r="A937" s="17"/>
      <c r="B937" s="17"/>
      <c r="C937" s="17"/>
      <c r="D937" s="17"/>
      <c r="E937" s="18"/>
      <c r="F937" s="18"/>
      <c r="G937" s="18"/>
      <c r="H937" s="17"/>
      <c r="I937" s="17"/>
      <c r="J937" s="17"/>
      <c r="K937" s="18"/>
      <c r="L937" s="19"/>
      <c r="M937" s="18"/>
    </row>
    <row r="938" customFormat="false" ht="15" hidden="false" customHeight="true" outlineLevel="0" collapsed="false">
      <c r="A938" s="17"/>
      <c r="B938" s="17"/>
      <c r="C938" s="17"/>
      <c r="D938" s="17"/>
      <c r="E938" s="18"/>
      <c r="F938" s="18"/>
      <c r="G938" s="18"/>
      <c r="H938" s="17"/>
      <c r="I938" s="17"/>
      <c r="J938" s="17"/>
      <c r="K938" s="18"/>
      <c r="L938" s="19"/>
      <c r="M938" s="18"/>
    </row>
    <row r="939" customFormat="false" ht="15" hidden="false" customHeight="true" outlineLevel="0" collapsed="false">
      <c r="A939" s="17"/>
      <c r="B939" s="17"/>
      <c r="C939" s="17"/>
      <c r="D939" s="17"/>
      <c r="E939" s="18"/>
      <c r="F939" s="18"/>
      <c r="G939" s="18"/>
      <c r="H939" s="17"/>
      <c r="I939" s="17"/>
      <c r="J939" s="17"/>
      <c r="K939" s="18"/>
      <c r="L939" s="19"/>
      <c r="M939" s="18"/>
    </row>
    <row r="940" customFormat="false" ht="15" hidden="false" customHeight="true" outlineLevel="0" collapsed="false">
      <c r="A940" s="17"/>
      <c r="B940" s="17"/>
      <c r="C940" s="17"/>
      <c r="D940" s="17"/>
      <c r="E940" s="18"/>
      <c r="F940" s="18"/>
      <c r="G940" s="18"/>
      <c r="H940" s="17"/>
      <c r="I940" s="17"/>
      <c r="J940" s="17"/>
      <c r="K940" s="18"/>
      <c r="L940" s="19"/>
      <c r="M940" s="18"/>
    </row>
    <row r="941" customFormat="false" ht="15" hidden="false" customHeight="true" outlineLevel="0" collapsed="false">
      <c r="A941" s="17"/>
      <c r="B941" s="17"/>
      <c r="C941" s="17"/>
      <c r="D941" s="17"/>
      <c r="E941" s="18"/>
      <c r="F941" s="18"/>
      <c r="G941" s="18"/>
      <c r="H941" s="17"/>
      <c r="I941" s="17"/>
      <c r="J941" s="17"/>
      <c r="K941" s="18"/>
      <c r="L941" s="19"/>
      <c r="M941" s="18"/>
    </row>
    <row r="942" customFormat="false" ht="15" hidden="false" customHeight="true" outlineLevel="0" collapsed="false">
      <c r="A942" s="17"/>
      <c r="B942" s="17"/>
      <c r="C942" s="17"/>
      <c r="D942" s="17"/>
      <c r="E942" s="18"/>
      <c r="F942" s="18"/>
      <c r="G942" s="18"/>
      <c r="H942" s="17"/>
      <c r="I942" s="17"/>
      <c r="J942" s="17"/>
      <c r="K942" s="18"/>
      <c r="L942" s="19"/>
      <c r="M942" s="18"/>
    </row>
    <row r="943" customFormat="false" ht="15" hidden="false" customHeight="true" outlineLevel="0" collapsed="false">
      <c r="A943" s="17"/>
      <c r="B943" s="17"/>
      <c r="C943" s="17"/>
      <c r="D943" s="17"/>
      <c r="E943" s="18"/>
      <c r="F943" s="18"/>
      <c r="G943" s="18"/>
      <c r="H943" s="17"/>
      <c r="I943" s="17"/>
      <c r="J943" s="17"/>
      <c r="K943" s="18"/>
      <c r="L943" s="19"/>
      <c r="M943" s="18"/>
    </row>
    <row r="944" customFormat="false" ht="15" hidden="false" customHeight="true" outlineLevel="0" collapsed="false">
      <c r="A944" s="17"/>
      <c r="B944" s="17"/>
      <c r="C944" s="17"/>
      <c r="D944" s="17"/>
      <c r="E944" s="18"/>
      <c r="F944" s="18"/>
      <c r="G944" s="18"/>
      <c r="H944" s="17"/>
      <c r="I944" s="17"/>
      <c r="J944" s="17"/>
      <c r="K944" s="18"/>
      <c r="L944" s="19"/>
      <c r="M944" s="18"/>
    </row>
    <row r="945" customFormat="false" ht="15" hidden="false" customHeight="true" outlineLevel="0" collapsed="false">
      <c r="A945" s="17"/>
      <c r="B945" s="17"/>
      <c r="C945" s="17"/>
      <c r="D945" s="17"/>
      <c r="E945" s="18"/>
      <c r="F945" s="18"/>
      <c r="G945" s="18"/>
      <c r="H945" s="17"/>
      <c r="I945" s="17"/>
      <c r="J945" s="17"/>
      <c r="K945" s="18"/>
      <c r="L945" s="19"/>
      <c r="M945" s="18"/>
    </row>
    <row r="946" customFormat="false" ht="15" hidden="false" customHeight="true" outlineLevel="0" collapsed="false">
      <c r="A946" s="17"/>
      <c r="B946" s="17"/>
      <c r="C946" s="17"/>
      <c r="D946" s="17"/>
      <c r="E946" s="18"/>
      <c r="F946" s="18"/>
      <c r="G946" s="18"/>
      <c r="H946" s="17"/>
      <c r="I946" s="17"/>
      <c r="J946" s="17"/>
      <c r="K946" s="18"/>
      <c r="L946" s="19"/>
      <c r="M946" s="18"/>
    </row>
    <row r="947" customFormat="false" ht="15" hidden="false" customHeight="true" outlineLevel="0" collapsed="false">
      <c r="A947" s="17"/>
      <c r="B947" s="17"/>
      <c r="C947" s="17"/>
      <c r="D947" s="17"/>
      <c r="E947" s="18"/>
      <c r="F947" s="18"/>
      <c r="G947" s="18"/>
      <c r="H947" s="17"/>
      <c r="I947" s="17"/>
      <c r="J947" s="17"/>
      <c r="K947" s="18"/>
      <c r="L947" s="19"/>
      <c r="M947" s="18"/>
    </row>
    <row r="948" customFormat="false" ht="15" hidden="false" customHeight="true" outlineLevel="0" collapsed="false">
      <c r="A948" s="17"/>
      <c r="B948" s="17"/>
      <c r="C948" s="17"/>
      <c r="D948" s="17"/>
      <c r="E948" s="18"/>
      <c r="F948" s="18"/>
      <c r="G948" s="18"/>
      <c r="H948" s="17"/>
      <c r="I948" s="17"/>
      <c r="J948" s="17"/>
      <c r="K948" s="18"/>
      <c r="L948" s="19"/>
      <c r="M948" s="18"/>
    </row>
    <row r="949" customFormat="false" ht="15" hidden="false" customHeight="true" outlineLevel="0" collapsed="false">
      <c r="A949" s="17"/>
      <c r="B949" s="17"/>
      <c r="C949" s="17"/>
      <c r="D949" s="17"/>
      <c r="E949" s="18"/>
      <c r="F949" s="18"/>
      <c r="G949" s="18"/>
      <c r="H949" s="17"/>
      <c r="I949" s="17"/>
      <c r="J949" s="17"/>
      <c r="K949" s="18"/>
      <c r="L949" s="19"/>
      <c r="M949" s="18"/>
    </row>
    <row r="950" customFormat="false" ht="15" hidden="false" customHeight="true" outlineLevel="0" collapsed="false">
      <c r="A950" s="17"/>
      <c r="B950" s="17"/>
      <c r="C950" s="17"/>
      <c r="D950" s="17"/>
      <c r="E950" s="18"/>
      <c r="F950" s="18"/>
      <c r="G950" s="18"/>
      <c r="H950" s="17"/>
      <c r="I950" s="17"/>
      <c r="J950" s="17"/>
      <c r="K950" s="18"/>
      <c r="L950" s="19"/>
      <c r="M950" s="18"/>
    </row>
    <row r="951" customFormat="false" ht="15" hidden="false" customHeight="true" outlineLevel="0" collapsed="false">
      <c r="A951" s="17"/>
      <c r="B951" s="17"/>
      <c r="C951" s="17"/>
      <c r="D951" s="17"/>
      <c r="E951" s="18"/>
      <c r="F951" s="18"/>
      <c r="G951" s="18"/>
      <c r="H951" s="17"/>
      <c r="I951" s="17"/>
      <c r="J951" s="17"/>
      <c r="K951" s="18"/>
      <c r="L951" s="19"/>
      <c r="M951" s="18"/>
    </row>
    <row r="952" customFormat="false" ht="15" hidden="false" customHeight="true" outlineLevel="0" collapsed="false">
      <c r="A952" s="17"/>
      <c r="B952" s="17"/>
      <c r="C952" s="17"/>
      <c r="D952" s="17"/>
      <c r="E952" s="18"/>
      <c r="F952" s="18"/>
      <c r="G952" s="18"/>
      <c r="H952" s="17"/>
      <c r="I952" s="17"/>
      <c r="J952" s="17"/>
      <c r="K952" s="18"/>
      <c r="L952" s="19"/>
      <c r="M952" s="18"/>
    </row>
    <row r="953" customFormat="false" ht="15" hidden="false" customHeight="true" outlineLevel="0" collapsed="false">
      <c r="A953" s="17"/>
      <c r="B953" s="17"/>
      <c r="C953" s="17"/>
      <c r="D953" s="17"/>
      <c r="E953" s="18"/>
      <c r="F953" s="18"/>
      <c r="G953" s="18"/>
      <c r="H953" s="17"/>
      <c r="I953" s="17"/>
      <c r="J953" s="17"/>
      <c r="K953" s="18"/>
      <c r="L953" s="19"/>
      <c r="M953" s="18"/>
    </row>
    <row r="954" customFormat="false" ht="15" hidden="false" customHeight="true" outlineLevel="0" collapsed="false">
      <c r="A954" s="17"/>
      <c r="B954" s="17"/>
      <c r="C954" s="17"/>
      <c r="D954" s="17"/>
      <c r="E954" s="18"/>
      <c r="F954" s="18"/>
      <c r="G954" s="18"/>
      <c r="H954" s="17"/>
      <c r="I954" s="17"/>
      <c r="J954" s="17"/>
      <c r="K954" s="18"/>
      <c r="L954" s="19"/>
      <c r="M954" s="18"/>
    </row>
    <row r="955" customFormat="false" ht="15" hidden="false" customHeight="true" outlineLevel="0" collapsed="false">
      <c r="A955" s="17"/>
      <c r="B955" s="17"/>
      <c r="C955" s="17"/>
      <c r="D955" s="17"/>
      <c r="E955" s="18"/>
      <c r="F955" s="18"/>
      <c r="G955" s="18"/>
      <c r="H955" s="17"/>
      <c r="I955" s="17"/>
      <c r="J955" s="17"/>
      <c r="K955" s="18"/>
      <c r="L955" s="19"/>
      <c r="M955" s="18"/>
    </row>
    <row r="956" customFormat="false" ht="15" hidden="false" customHeight="true" outlineLevel="0" collapsed="false">
      <c r="A956" s="17"/>
      <c r="B956" s="17"/>
      <c r="C956" s="17"/>
      <c r="D956" s="17"/>
      <c r="E956" s="18"/>
      <c r="F956" s="18"/>
      <c r="G956" s="18"/>
      <c r="H956" s="17"/>
      <c r="I956" s="17"/>
      <c r="J956" s="17"/>
      <c r="K956" s="18"/>
      <c r="L956" s="19"/>
      <c r="M956" s="18"/>
    </row>
    <row r="957" customFormat="false" ht="15" hidden="false" customHeight="true" outlineLevel="0" collapsed="false">
      <c r="A957" s="17"/>
      <c r="B957" s="17"/>
      <c r="C957" s="17"/>
      <c r="D957" s="17"/>
      <c r="E957" s="18"/>
      <c r="F957" s="18"/>
      <c r="G957" s="18"/>
      <c r="H957" s="17"/>
      <c r="I957" s="17"/>
      <c r="J957" s="17"/>
      <c r="K957" s="18"/>
      <c r="L957" s="19"/>
      <c r="M957" s="18"/>
    </row>
    <row r="958" customFormat="false" ht="15" hidden="false" customHeight="true" outlineLevel="0" collapsed="false">
      <c r="A958" s="17"/>
      <c r="B958" s="17"/>
      <c r="C958" s="17"/>
      <c r="D958" s="17"/>
      <c r="E958" s="18"/>
      <c r="F958" s="18"/>
      <c r="G958" s="18"/>
      <c r="H958" s="17"/>
      <c r="I958" s="17"/>
      <c r="J958" s="17"/>
      <c r="K958" s="18"/>
      <c r="L958" s="19"/>
      <c r="M958" s="18"/>
    </row>
    <row r="959" customFormat="false" ht="15" hidden="false" customHeight="true" outlineLevel="0" collapsed="false">
      <c r="A959" s="17"/>
      <c r="B959" s="17"/>
      <c r="C959" s="17"/>
      <c r="D959" s="17"/>
      <c r="E959" s="18"/>
      <c r="F959" s="18"/>
      <c r="G959" s="18"/>
      <c r="H959" s="17"/>
      <c r="I959" s="17"/>
      <c r="J959" s="17"/>
      <c r="K959" s="18"/>
      <c r="L959" s="19"/>
      <c r="M959" s="18"/>
    </row>
    <row r="960" customFormat="false" ht="15" hidden="false" customHeight="true" outlineLevel="0" collapsed="false">
      <c r="A960" s="17"/>
      <c r="B960" s="17"/>
      <c r="C960" s="17"/>
      <c r="D960" s="17"/>
      <c r="E960" s="18"/>
      <c r="F960" s="18"/>
      <c r="G960" s="18"/>
      <c r="H960" s="17"/>
      <c r="I960" s="17"/>
      <c r="J960" s="17"/>
      <c r="K960" s="18"/>
      <c r="L960" s="19"/>
      <c r="M960" s="18"/>
    </row>
    <row r="961" customFormat="false" ht="15" hidden="false" customHeight="true" outlineLevel="0" collapsed="false">
      <c r="A961" s="17"/>
      <c r="B961" s="17"/>
      <c r="C961" s="17"/>
      <c r="D961" s="17"/>
      <c r="E961" s="18"/>
      <c r="F961" s="18"/>
      <c r="G961" s="18"/>
      <c r="H961" s="17"/>
      <c r="I961" s="17"/>
      <c r="J961" s="17"/>
      <c r="K961" s="18"/>
      <c r="L961" s="19"/>
      <c r="M961" s="18"/>
    </row>
    <row r="962" customFormat="false" ht="15" hidden="false" customHeight="true" outlineLevel="0" collapsed="false">
      <c r="A962" s="17"/>
      <c r="B962" s="17"/>
      <c r="C962" s="17"/>
      <c r="D962" s="17"/>
      <c r="E962" s="18"/>
      <c r="F962" s="18"/>
      <c r="G962" s="18"/>
      <c r="H962" s="17"/>
      <c r="I962" s="17"/>
      <c r="J962" s="17"/>
      <c r="K962" s="18"/>
      <c r="L962" s="19"/>
      <c r="M962" s="18"/>
    </row>
    <row r="963" customFormat="false" ht="15" hidden="false" customHeight="true" outlineLevel="0" collapsed="false">
      <c r="A963" s="17"/>
      <c r="B963" s="17"/>
      <c r="C963" s="17"/>
      <c r="D963" s="17"/>
      <c r="E963" s="18"/>
      <c r="F963" s="18"/>
      <c r="G963" s="18"/>
      <c r="H963" s="17"/>
      <c r="I963" s="17"/>
      <c r="J963" s="17"/>
      <c r="K963" s="18"/>
      <c r="L963" s="19"/>
      <c r="M963" s="18"/>
    </row>
    <row r="964" customFormat="false" ht="15" hidden="false" customHeight="true" outlineLevel="0" collapsed="false">
      <c r="A964" s="17"/>
      <c r="B964" s="17"/>
      <c r="C964" s="17"/>
      <c r="D964" s="17"/>
      <c r="E964" s="18"/>
      <c r="F964" s="18"/>
      <c r="G964" s="18"/>
      <c r="H964" s="17"/>
      <c r="I964" s="17"/>
      <c r="J964" s="17"/>
      <c r="K964" s="18"/>
      <c r="L964" s="19"/>
      <c r="M964" s="18"/>
    </row>
    <row r="965" customFormat="false" ht="15" hidden="false" customHeight="true" outlineLevel="0" collapsed="false">
      <c r="A965" s="17"/>
      <c r="B965" s="17"/>
      <c r="C965" s="17"/>
      <c r="D965" s="17"/>
      <c r="E965" s="18"/>
      <c r="F965" s="18"/>
      <c r="G965" s="18"/>
      <c r="H965" s="17"/>
      <c r="I965" s="17"/>
      <c r="J965" s="17"/>
      <c r="K965" s="18"/>
      <c r="L965" s="19"/>
      <c r="M965" s="18"/>
    </row>
    <row r="966" customFormat="false" ht="15" hidden="false" customHeight="true" outlineLevel="0" collapsed="false">
      <c r="A966" s="17"/>
      <c r="B966" s="17"/>
      <c r="C966" s="17"/>
      <c r="D966" s="17"/>
      <c r="E966" s="18"/>
      <c r="F966" s="18"/>
      <c r="G966" s="18"/>
      <c r="H966" s="17"/>
      <c r="I966" s="17"/>
      <c r="J966" s="17"/>
      <c r="K966" s="18"/>
      <c r="L966" s="19"/>
      <c r="M966" s="18"/>
    </row>
    <row r="967" customFormat="false" ht="15" hidden="false" customHeight="true" outlineLevel="0" collapsed="false">
      <c r="A967" s="17"/>
      <c r="B967" s="17"/>
      <c r="C967" s="17"/>
      <c r="D967" s="17"/>
      <c r="E967" s="18"/>
      <c r="F967" s="18"/>
      <c r="G967" s="18"/>
      <c r="H967" s="17"/>
      <c r="I967" s="17"/>
      <c r="J967" s="17"/>
      <c r="K967" s="18"/>
      <c r="L967" s="19"/>
      <c r="M967" s="18"/>
    </row>
    <row r="968" customFormat="false" ht="15" hidden="false" customHeight="true" outlineLevel="0" collapsed="false">
      <c r="A968" s="17"/>
      <c r="B968" s="17"/>
      <c r="C968" s="17"/>
      <c r="D968" s="17"/>
      <c r="E968" s="18"/>
      <c r="F968" s="18"/>
      <c r="G968" s="18"/>
      <c r="H968" s="17"/>
      <c r="I968" s="17"/>
      <c r="J968" s="17"/>
      <c r="K968" s="18"/>
      <c r="L968" s="19"/>
      <c r="M968" s="18"/>
    </row>
    <row r="969" customFormat="false" ht="15" hidden="false" customHeight="true" outlineLevel="0" collapsed="false">
      <c r="A969" s="17"/>
      <c r="B969" s="17"/>
      <c r="C969" s="17"/>
      <c r="D969" s="17"/>
      <c r="E969" s="18"/>
      <c r="F969" s="18"/>
      <c r="G969" s="18"/>
      <c r="H969" s="17"/>
      <c r="I969" s="17"/>
      <c r="J969" s="17"/>
      <c r="K969" s="18"/>
      <c r="L969" s="19"/>
      <c r="M969" s="18"/>
    </row>
    <row r="970" customFormat="false" ht="15" hidden="false" customHeight="true" outlineLevel="0" collapsed="false">
      <c r="A970" s="17"/>
      <c r="B970" s="17"/>
      <c r="C970" s="17"/>
      <c r="D970" s="17"/>
      <c r="E970" s="18"/>
      <c r="F970" s="18"/>
      <c r="G970" s="18"/>
      <c r="H970" s="17"/>
      <c r="I970" s="17"/>
      <c r="J970" s="17"/>
      <c r="K970" s="18"/>
      <c r="L970" s="19"/>
      <c r="M970" s="18"/>
    </row>
    <row r="971" customFormat="false" ht="15" hidden="false" customHeight="true" outlineLevel="0" collapsed="false">
      <c r="A971" s="17"/>
      <c r="B971" s="17"/>
      <c r="C971" s="17"/>
      <c r="D971" s="17"/>
      <c r="E971" s="18"/>
      <c r="F971" s="18"/>
      <c r="G971" s="18"/>
      <c r="H971" s="17"/>
      <c r="I971" s="17"/>
      <c r="J971" s="17"/>
      <c r="K971" s="18"/>
      <c r="L971" s="19"/>
      <c r="M971" s="18"/>
    </row>
    <row r="972" customFormat="false" ht="15" hidden="false" customHeight="true" outlineLevel="0" collapsed="false">
      <c r="A972" s="17"/>
      <c r="B972" s="17"/>
      <c r="C972" s="17"/>
      <c r="D972" s="17"/>
      <c r="E972" s="18"/>
      <c r="F972" s="18"/>
      <c r="G972" s="18"/>
      <c r="H972" s="17"/>
      <c r="I972" s="17"/>
      <c r="J972" s="17"/>
      <c r="K972" s="18"/>
      <c r="L972" s="19"/>
      <c r="M972" s="18"/>
    </row>
    <row r="973" customFormat="false" ht="15" hidden="false" customHeight="true" outlineLevel="0" collapsed="false">
      <c r="A973" s="17"/>
      <c r="B973" s="17"/>
      <c r="C973" s="17"/>
      <c r="D973" s="17"/>
      <c r="E973" s="18"/>
      <c r="F973" s="18"/>
      <c r="G973" s="18"/>
      <c r="H973" s="17"/>
      <c r="I973" s="17"/>
      <c r="J973" s="17"/>
      <c r="K973" s="18"/>
      <c r="L973" s="19"/>
      <c r="M973" s="18"/>
    </row>
    <row r="974" customFormat="false" ht="15" hidden="false" customHeight="true" outlineLevel="0" collapsed="false">
      <c r="A974" s="17"/>
      <c r="B974" s="17"/>
      <c r="C974" s="17"/>
      <c r="D974" s="17"/>
      <c r="E974" s="18"/>
      <c r="F974" s="18"/>
      <c r="G974" s="18"/>
      <c r="H974" s="17"/>
      <c r="I974" s="17"/>
      <c r="J974" s="17"/>
      <c r="K974" s="18"/>
      <c r="L974" s="19"/>
      <c r="M974" s="18"/>
    </row>
    <row r="975" customFormat="false" ht="15" hidden="false" customHeight="true" outlineLevel="0" collapsed="false">
      <c r="A975" s="17"/>
      <c r="B975" s="17"/>
      <c r="C975" s="17"/>
      <c r="D975" s="17"/>
      <c r="E975" s="18"/>
      <c r="F975" s="18"/>
      <c r="G975" s="18"/>
      <c r="H975" s="17"/>
      <c r="I975" s="17"/>
      <c r="J975" s="17"/>
      <c r="K975" s="18"/>
      <c r="L975" s="19"/>
      <c r="M975" s="18"/>
    </row>
    <row r="976" customFormat="false" ht="15" hidden="false" customHeight="true" outlineLevel="0" collapsed="false">
      <c r="A976" s="17"/>
      <c r="B976" s="17"/>
      <c r="C976" s="17"/>
      <c r="D976" s="17"/>
      <c r="E976" s="18"/>
      <c r="F976" s="18"/>
      <c r="G976" s="18"/>
      <c r="H976" s="17"/>
      <c r="I976" s="17"/>
      <c r="J976" s="17"/>
      <c r="K976" s="18"/>
      <c r="L976" s="19"/>
      <c r="M976" s="18"/>
    </row>
    <row r="977" customFormat="false" ht="15" hidden="false" customHeight="true" outlineLevel="0" collapsed="false">
      <c r="A977" s="17"/>
      <c r="B977" s="17"/>
      <c r="C977" s="17"/>
      <c r="D977" s="17"/>
      <c r="E977" s="18"/>
      <c r="F977" s="18"/>
      <c r="G977" s="18"/>
      <c r="H977" s="17"/>
      <c r="I977" s="17"/>
      <c r="J977" s="17"/>
      <c r="K977" s="18"/>
      <c r="L977" s="19"/>
      <c r="M977" s="18"/>
    </row>
    <row r="978" customFormat="false" ht="15" hidden="false" customHeight="true" outlineLevel="0" collapsed="false">
      <c r="A978" s="17"/>
      <c r="B978" s="17"/>
      <c r="C978" s="17"/>
      <c r="D978" s="17"/>
      <c r="E978" s="18"/>
      <c r="F978" s="18"/>
      <c r="G978" s="18"/>
      <c r="H978" s="17"/>
      <c r="I978" s="17"/>
      <c r="J978" s="17"/>
      <c r="K978" s="18"/>
      <c r="L978" s="19"/>
      <c r="M978" s="18"/>
    </row>
    <row r="979" customFormat="false" ht="15" hidden="false" customHeight="true" outlineLevel="0" collapsed="false">
      <c r="A979" s="17"/>
      <c r="B979" s="17"/>
      <c r="C979" s="17"/>
      <c r="D979" s="17"/>
      <c r="E979" s="18"/>
      <c r="F979" s="18"/>
      <c r="G979" s="18"/>
      <c r="H979" s="17"/>
      <c r="I979" s="17"/>
      <c r="J979" s="17"/>
      <c r="K979" s="18"/>
      <c r="L979" s="19"/>
      <c r="M979" s="18"/>
    </row>
    <row r="980" customFormat="false" ht="15" hidden="false" customHeight="true" outlineLevel="0" collapsed="false">
      <c r="A980" s="17"/>
      <c r="B980" s="17"/>
      <c r="C980" s="17"/>
      <c r="D980" s="17"/>
      <c r="E980" s="18"/>
      <c r="F980" s="18"/>
      <c r="G980" s="18"/>
      <c r="H980" s="17"/>
      <c r="I980" s="17"/>
      <c r="J980" s="17"/>
      <c r="K980" s="18"/>
      <c r="L980" s="19"/>
      <c r="M980" s="18"/>
    </row>
    <row r="981" customFormat="false" ht="15" hidden="false" customHeight="true" outlineLevel="0" collapsed="false">
      <c r="A981" s="17"/>
      <c r="B981" s="17"/>
      <c r="C981" s="17"/>
      <c r="D981" s="17"/>
      <c r="E981" s="18"/>
      <c r="F981" s="18"/>
      <c r="G981" s="18"/>
      <c r="H981" s="17"/>
      <c r="I981" s="17"/>
      <c r="J981" s="17"/>
      <c r="K981" s="18"/>
      <c r="L981" s="19"/>
      <c r="M981" s="18"/>
    </row>
    <row r="982" customFormat="false" ht="15" hidden="false" customHeight="true" outlineLevel="0" collapsed="false">
      <c r="A982" s="17"/>
      <c r="B982" s="17"/>
      <c r="C982" s="17"/>
      <c r="D982" s="17"/>
      <c r="E982" s="18"/>
      <c r="F982" s="18"/>
      <c r="G982" s="18"/>
      <c r="H982" s="17"/>
      <c r="I982" s="17"/>
      <c r="J982" s="17"/>
      <c r="K982" s="18"/>
      <c r="L982" s="19"/>
      <c r="M982" s="18"/>
    </row>
    <row r="983" customFormat="false" ht="15" hidden="false" customHeight="true" outlineLevel="0" collapsed="false">
      <c r="A983" s="17"/>
      <c r="B983" s="17"/>
      <c r="C983" s="17"/>
      <c r="D983" s="17"/>
      <c r="E983" s="18"/>
      <c r="F983" s="18"/>
      <c r="G983" s="18"/>
      <c r="H983" s="17"/>
      <c r="I983" s="17"/>
      <c r="J983" s="17"/>
      <c r="K983" s="18"/>
      <c r="L983" s="19"/>
      <c r="M983" s="18"/>
    </row>
    <row r="984" customFormat="false" ht="15" hidden="false" customHeight="true" outlineLevel="0" collapsed="false">
      <c r="A984" s="17"/>
      <c r="B984" s="17"/>
      <c r="C984" s="17"/>
      <c r="D984" s="17"/>
      <c r="E984" s="18"/>
      <c r="F984" s="18"/>
      <c r="G984" s="18"/>
      <c r="H984" s="17"/>
      <c r="I984" s="17"/>
      <c r="J984" s="17"/>
      <c r="K984" s="18"/>
      <c r="L984" s="19"/>
      <c r="M984" s="18"/>
    </row>
    <row r="985" customFormat="false" ht="15" hidden="false" customHeight="true" outlineLevel="0" collapsed="false">
      <c r="A985" s="17"/>
      <c r="B985" s="17"/>
      <c r="C985" s="17"/>
      <c r="D985" s="17"/>
      <c r="E985" s="18"/>
      <c r="F985" s="18"/>
      <c r="G985" s="18"/>
      <c r="H985" s="17"/>
      <c r="I985" s="17"/>
      <c r="J985" s="17"/>
      <c r="K985" s="18"/>
      <c r="L985" s="19"/>
      <c r="M985" s="18"/>
    </row>
    <row r="986" customFormat="false" ht="15" hidden="false" customHeight="true" outlineLevel="0" collapsed="false">
      <c r="A986" s="17"/>
      <c r="B986" s="17"/>
      <c r="C986" s="17"/>
      <c r="D986" s="17"/>
      <c r="E986" s="18"/>
      <c r="F986" s="18"/>
      <c r="G986" s="18"/>
      <c r="H986" s="17"/>
      <c r="I986" s="17"/>
      <c r="J986" s="17"/>
      <c r="K986" s="18"/>
      <c r="L986" s="19"/>
      <c r="M986" s="18"/>
    </row>
    <row r="987" customFormat="false" ht="15" hidden="false" customHeight="true" outlineLevel="0" collapsed="false">
      <c r="A987" s="17"/>
      <c r="B987" s="17"/>
      <c r="C987" s="17"/>
      <c r="D987" s="17"/>
      <c r="E987" s="18"/>
      <c r="F987" s="18"/>
      <c r="G987" s="18"/>
      <c r="H987" s="17"/>
      <c r="I987" s="17"/>
      <c r="J987" s="17"/>
      <c r="K987" s="18"/>
      <c r="L987" s="19"/>
      <c r="M987" s="18"/>
    </row>
    <row r="988" customFormat="false" ht="15" hidden="false" customHeight="true" outlineLevel="0" collapsed="false">
      <c r="A988" s="17"/>
      <c r="B988" s="17"/>
      <c r="C988" s="17"/>
      <c r="D988" s="17"/>
      <c r="E988" s="18"/>
      <c r="F988" s="18"/>
      <c r="G988" s="18"/>
      <c r="H988" s="17"/>
      <c r="I988" s="17"/>
      <c r="J988" s="17"/>
      <c r="K988" s="18"/>
      <c r="L988" s="19"/>
      <c r="M988" s="18"/>
    </row>
    <row r="989" customFormat="false" ht="15" hidden="false" customHeight="true" outlineLevel="0" collapsed="false">
      <c r="A989" s="17"/>
      <c r="B989" s="17"/>
      <c r="C989" s="17"/>
      <c r="D989" s="17"/>
      <c r="E989" s="18"/>
      <c r="F989" s="18"/>
      <c r="G989" s="18"/>
      <c r="H989" s="17"/>
      <c r="I989" s="17"/>
      <c r="J989" s="17"/>
      <c r="K989" s="18"/>
      <c r="L989" s="19"/>
      <c r="M989" s="18"/>
    </row>
    <row r="990" customFormat="false" ht="15" hidden="false" customHeight="true" outlineLevel="0" collapsed="false">
      <c r="A990" s="17"/>
      <c r="B990" s="17"/>
      <c r="C990" s="17"/>
      <c r="D990" s="17"/>
      <c r="E990" s="18"/>
      <c r="F990" s="18"/>
      <c r="G990" s="18"/>
      <c r="H990" s="17"/>
      <c r="I990" s="17"/>
      <c r="J990" s="17"/>
      <c r="K990" s="18"/>
      <c r="L990" s="19"/>
      <c r="M990" s="18"/>
    </row>
    <row r="991" customFormat="false" ht="15" hidden="false" customHeight="true" outlineLevel="0" collapsed="false">
      <c r="A991" s="17"/>
      <c r="B991" s="17"/>
      <c r="C991" s="17"/>
      <c r="D991" s="17"/>
      <c r="E991" s="18"/>
      <c r="F991" s="18"/>
      <c r="G991" s="18"/>
      <c r="H991" s="17"/>
      <c r="I991" s="17"/>
      <c r="J991" s="17"/>
      <c r="K991" s="18"/>
      <c r="L991" s="19"/>
      <c r="M991" s="18"/>
    </row>
    <row r="992" customFormat="false" ht="15" hidden="false" customHeight="true" outlineLevel="0" collapsed="false">
      <c r="A992" s="17"/>
      <c r="B992" s="17"/>
      <c r="C992" s="17"/>
      <c r="D992" s="17"/>
      <c r="E992" s="18"/>
      <c r="F992" s="18"/>
      <c r="G992" s="18"/>
      <c r="H992" s="17"/>
      <c r="I992" s="17"/>
      <c r="J992" s="17"/>
      <c r="K992" s="18"/>
      <c r="L992" s="19"/>
      <c r="M992" s="18"/>
    </row>
    <row r="993" customFormat="false" ht="15" hidden="false" customHeight="true" outlineLevel="0" collapsed="false">
      <c r="A993" s="17"/>
      <c r="B993" s="17"/>
      <c r="C993" s="17"/>
      <c r="D993" s="17"/>
      <c r="E993" s="18"/>
      <c r="F993" s="18"/>
      <c r="G993" s="18"/>
      <c r="H993" s="17"/>
      <c r="I993" s="17"/>
      <c r="J993" s="17"/>
      <c r="K993" s="18"/>
      <c r="L993" s="19"/>
      <c r="M993" s="18"/>
    </row>
    <row r="994" customFormat="false" ht="15" hidden="false" customHeight="true" outlineLevel="0" collapsed="false">
      <c r="A994" s="17"/>
      <c r="B994" s="17"/>
      <c r="C994" s="17"/>
      <c r="D994" s="17"/>
      <c r="E994" s="18"/>
      <c r="F994" s="18"/>
      <c r="G994" s="18"/>
      <c r="H994" s="17"/>
      <c r="I994" s="17"/>
      <c r="J994" s="17"/>
      <c r="K994" s="18"/>
      <c r="L994" s="19"/>
      <c r="M994" s="18"/>
    </row>
    <row r="995" customFormat="false" ht="15" hidden="false" customHeight="true" outlineLevel="0" collapsed="false">
      <c r="A995" s="17"/>
      <c r="B995" s="17"/>
      <c r="C995" s="17"/>
      <c r="D995" s="17"/>
      <c r="E995" s="18"/>
      <c r="F995" s="18"/>
      <c r="G995" s="18"/>
      <c r="H995" s="17"/>
      <c r="I995" s="17"/>
      <c r="J995" s="17"/>
      <c r="K995" s="18"/>
      <c r="L995" s="19"/>
      <c r="M995" s="18"/>
    </row>
    <row r="996" customFormat="false" ht="15" hidden="false" customHeight="true" outlineLevel="0" collapsed="false">
      <c r="A996" s="17"/>
      <c r="B996" s="17"/>
      <c r="C996" s="17"/>
      <c r="D996" s="17"/>
      <c r="E996" s="18"/>
      <c r="F996" s="18"/>
      <c r="G996" s="18"/>
      <c r="H996" s="17"/>
      <c r="I996" s="17"/>
      <c r="J996" s="17"/>
      <c r="K996" s="18"/>
      <c r="L996" s="19"/>
      <c r="M996" s="18"/>
    </row>
    <row r="997" customFormat="false" ht="15" hidden="false" customHeight="true" outlineLevel="0" collapsed="false">
      <c r="A997" s="17"/>
      <c r="B997" s="17"/>
      <c r="C997" s="17"/>
      <c r="D997" s="17"/>
      <c r="E997" s="18"/>
      <c r="F997" s="18"/>
      <c r="G997" s="18"/>
      <c r="H997" s="17"/>
      <c r="I997" s="17"/>
      <c r="J997" s="17"/>
      <c r="K997" s="18"/>
      <c r="L997" s="19"/>
      <c r="M997" s="18"/>
    </row>
    <row r="998" customFormat="false" ht="15" hidden="false" customHeight="true" outlineLevel="0" collapsed="false">
      <c r="A998" s="17"/>
      <c r="B998" s="17"/>
      <c r="C998" s="17"/>
      <c r="D998" s="17"/>
      <c r="E998" s="18"/>
      <c r="F998" s="18"/>
      <c r="G998" s="18"/>
      <c r="H998" s="17"/>
      <c r="I998" s="17"/>
      <c r="J998" s="17"/>
      <c r="K998" s="18"/>
      <c r="L998" s="19"/>
      <c r="M998" s="18"/>
    </row>
    <row r="999" customFormat="false" ht="15" hidden="false" customHeight="true" outlineLevel="0" collapsed="false">
      <c r="A999" s="17"/>
      <c r="B999" s="17"/>
      <c r="C999" s="17"/>
      <c r="D999" s="17"/>
      <c r="E999" s="18"/>
      <c r="F999" s="18"/>
      <c r="G999" s="18"/>
      <c r="H999" s="17"/>
      <c r="I999" s="17"/>
      <c r="J999" s="17"/>
      <c r="K999" s="18"/>
      <c r="L999" s="19"/>
      <c r="M999" s="18"/>
    </row>
    <row r="1000" customFormat="false" ht="15" hidden="false" customHeight="true" outlineLevel="0" collapsed="false">
      <c r="A1000" s="17"/>
      <c r="B1000" s="17"/>
      <c r="C1000" s="17"/>
      <c r="D1000" s="17"/>
      <c r="E1000" s="18"/>
      <c r="F1000" s="18"/>
      <c r="G1000" s="18"/>
      <c r="H1000" s="17"/>
      <c r="I1000" s="17"/>
      <c r="J1000" s="17"/>
      <c r="K1000" s="18"/>
      <c r="L1000" s="19"/>
      <c r="M1000" s="18"/>
    </row>
    <row r="1001" customFormat="false" ht="15" hidden="false" customHeight="true" outlineLevel="0" collapsed="false">
      <c r="A1001" s="17"/>
      <c r="B1001" s="17"/>
      <c r="C1001" s="17"/>
      <c r="D1001" s="17"/>
      <c r="E1001" s="18"/>
      <c r="F1001" s="18"/>
      <c r="G1001" s="18"/>
      <c r="H1001" s="17"/>
      <c r="I1001" s="17"/>
      <c r="J1001" s="17"/>
      <c r="K1001" s="18"/>
      <c r="L1001" s="19"/>
      <c r="M1001" s="18"/>
    </row>
    <row r="1002" customFormat="false" ht="15" hidden="false" customHeight="true" outlineLevel="0" collapsed="false">
      <c r="A1002" s="17"/>
      <c r="B1002" s="17"/>
      <c r="C1002" s="17"/>
      <c r="D1002" s="17"/>
      <c r="E1002" s="18"/>
      <c r="F1002" s="18"/>
      <c r="G1002" s="18"/>
      <c r="H1002" s="17"/>
      <c r="I1002" s="17"/>
      <c r="J1002" s="17"/>
      <c r="K1002" s="18"/>
      <c r="L1002" s="19"/>
      <c r="M1002" s="18"/>
    </row>
    <row r="1003" customFormat="false" ht="15" hidden="false" customHeight="true" outlineLevel="0" collapsed="false">
      <c r="A1003" s="17"/>
      <c r="B1003" s="17"/>
      <c r="C1003" s="17"/>
      <c r="D1003" s="17"/>
      <c r="E1003" s="18"/>
      <c r="F1003" s="18"/>
      <c r="G1003" s="18"/>
      <c r="H1003" s="17"/>
      <c r="I1003" s="17"/>
      <c r="J1003" s="17"/>
      <c r="K1003" s="18"/>
      <c r="L1003" s="19"/>
      <c r="M1003" s="18"/>
    </row>
  </sheetData>
  <autoFilter ref="A3:M1503"/>
  <mergeCells count="1">
    <mergeCell ref="A1:M1"/>
  </mergeCells>
  <dataValidations count="4">
    <dataValidation allowBlank="true" errorStyle="stop" operator="between" showDropDown="false" showErrorMessage="false" showInputMessage="false" sqref="C4:C1003" type="list">
      <formula1>Lists!$G$3:$G$8</formula1>
      <formula2>0</formula2>
    </dataValidation>
    <dataValidation allowBlank="true" errorStyle="stop" operator="between" showDropDown="false" showErrorMessage="false" showInputMessage="false" sqref="D4:D1003" type="list">
      <formula1>Lists!$E$3:$E$10</formula1>
      <formula2>0</formula2>
    </dataValidation>
    <dataValidation allowBlank="true" errorStyle="stop" operator="between" showDropDown="false" showErrorMessage="false" showInputMessage="false" sqref="H4:H1003" type="list">
      <formula1>Lists!$F$3:$F$5</formula1>
      <formula2>0</formula2>
    </dataValidation>
    <dataValidation allowBlank="true" errorStyle="stop" operator="between" showDropDown="false" showErrorMessage="false" showInputMessage="false" sqref="J4:J1003" type="list">
      <formula1>Lists!$D$3:$D$8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36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26"/>
    <col collapsed="false" customWidth="true" hidden="false" outlineLevel="0" max="12" min="11" style="1" width="28"/>
    <col collapsed="false" customWidth="true" hidden="false" outlineLevel="0" max="13" min="13" style="1" width="30"/>
    <col collapsed="false" customWidth="true" hidden="false" outlineLevel="0" max="14" min="14" style="1" width="34"/>
    <col collapsed="false" customWidth="true" hidden="false" outlineLevel="0" max="15" min="15" style="1" width="13"/>
    <col collapsed="false" customWidth="true" hidden="false" outlineLevel="0" max="16" min="16" style="1" width="15"/>
  </cols>
  <sheetData>
    <row r="1" customFormat="false" ht="27.75" hidden="false" customHeight="true" outlineLevel="0" collapsed="false">
      <c r="A1" s="5" t="s">
        <v>145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31.5" hidden="false" customHeight="true" outlineLevel="0" collapsed="false">
      <c r="A3" s="10" t="s">
        <v>146</v>
      </c>
      <c r="B3" s="10" t="s">
        <v>21</v>
      </c>
      <c r="C3" s="10" t="s">
        <v>22</v>
      </c>
      <c r="D3" s="10" t="s">
        <v>56</v>
      </c>
      <c r="E3" s="10" t="s">
        <v>147</v>
      </c>
      <c r="F3" s="10" t="s">
        <v>148</v>
      </c>
      <c r="G3" s="10" t="s">
        <v>149</v>
      </c>
      <c r="H3" s="10" t="s">
        <v>143</v>
      </c>
      <c r="I3" s="10" t="s">
        <v>150</v>
      </c>
      <c r="J3" s="10" t="s">
        <v>151</v>
      </c>
      <c r="K3" s="10" t="s">
        <v>152</v>
      </c>
      <c r="L3" s="10" t="s">
        <v>153</v>
      </c>
      <c r="M3" s="10" t="s">
        <v>154</v>
      </c>
      <c r="N3" s="10" t="s">
        <v>155</v>
      </c>
      <c r="O3" s="10" t="s">
        <v>156</v>
      </c>
      <c r="P3" s="10" t="s">
        <v>157</v>
      </c>
    </row>
    <row r="4" customFormat="false" ht="15" hidden="false" customHeight="true" outlineLevel="0" collapsed="false">
      <c r="A4" s="19"/>
      <c r="B4" s="17"/>
      <c r="C4" s="11" t="str">
        <f aca="false">IF(B4="","",IFERROR(INDEX(Students!$B$4:$B$203,MATCH(B4,Students!$A$4:$A$203,0)),""))</f>
        <v/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  <c r="P4" s="19"/>
    </row>
    <row r="5" customFormat="false" ht="15" hidden="false" customHeight="true" outlineLevel="0" collapsed="false">
      <c r="A5" s="19"/>
      <c r="B5" s="17"/>
      <c r="C5" s="11" t="str">
        <f aca="false">IF(B5="","",IFERROR(INDEX(Students!$B$4:$B$203,MATCH(B5,Students!$A$4:$A$203,0)),""))</f>
        <v/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  <c r="P5" s="19"/>
    </row>
    <row r="6" customFormat="false" ht="15" hidden="false" customHeight="true" outlineLevel="0" collapsed="false">
      <c r="A6" s="19"/>
      <c r="B6" s="17"/>
      <c r="C6" s="11" t="str">
        <f aca="false">IF(B6="","",IFERROR(INDEX(Students!$B$4:$B$203,MATCH(B6,Students!$A$4:$A$203,0)),""))</f>
        <v/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7"/>
      <c r="P6" s="19"/>
    </row>
    <row r="7" customFormat="false" ht="15" hidden="false" customHeight="true" outlineLevel="0" collapsed="false">
      <c r="A7" s="19"/>
      <c r="B7" s="17"/>
      <c r="C7" s="11" t="str">
        <f aca="false">IF(B7="","",IFERROR(INDEX(Students!$B$4:$B$203,MATCH(B7,Students!$A$4:$A$203,0)),""))</f>
        <v/>
      </c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7"/>
      <c r="P7" s="19"/>
    </row>
    <row r="8" customFormat="false" ht="15" hidden="false" customHeight="true" outlineLevel="0" collapsed="false">
      <c r="A8" s="19"/>
      <c r="B8" s="17"/>
      <c r="C8" s="11" t="str">
        <f aca="false">IF(B8="","",IFERROR(INDEX(Students!$B$4:$B$203,MATCH(B8,Students!$A$4:$A$203,0)),""))</f>
        <v/>
      </c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7"/>
      <c r="P8" s="19"/>
    </row>
    <row r="9" customFormat="false" ht="15" hidden="false" customHeight="true" outlineLevel="0" collapsed="false">
      <c r="A9" s="19"/>
      <c r="B9" s="17"/>
      <c r="C9" s="11" t="str">
        <f aca="false">IF(B9="","",IFERROR(INDEX(Students!$B$4:$B$203,MATCH(B9,Students!$A$4:$A$203,0)),""))</f>
        <v/>
      </c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7"/>
      <c r="P9" s="19"/>
    </row>
    <row r="10" customFormat="false" ht="15" hidden="false" customHeight="true" outlineLevel="0" collapsed="false">
      <c r="A10" s="19"/>
      <c r="B10" s="17"/>
      <c r="C10" s="11" t="str">
        <f aca="false">IF(B10="","",IFERROR(INDEX(Students!$B$4:$B$203,MATCH(B10,Students!$A$4:$A$203,0)),""))</f>
        <v/>
      </c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19"/>
    </row>
    <row r="11" customFormat="false" ht="15" hidden="false" customHeight="true" outlineLevel="0" collapsed="false">
      <c r="A11" s="19"/>
      <c r="B11" s="17"/>
      <c r="C11" s="11" t="str">
        <f aca="false">IF(B11="","",IFERROR(INDEX(Students!$B$4:$B$203,MATCH(B11,Students!$A$4:$A$203,0)),""))</f>
        <v/>
      </c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7"/>
      <c r="P11" s="19"/>
    </row>
    <row r="12" customFormat="false" ht="15" hidden="false" customHeight="true" outlineLevel="0" collapsed="false">
      <c r="A12" s="19"/>
      <c r="B12" s="17"/>
      <c r="C12" s="11" t="str">
        <f aca="false">IF(B12="","",IFERROR(INDEX(Students!$B$4:$B$203,MATCH(B12,Students!$A$4:$A$203,0)),""))</f>
        <v/>
      </c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7"/>
      <c r="P12" s="19"/>
    </row>
    <row r="13" customFormat="false" ht="15" hidden="false" customHeight="true" outlineLevel="0" collapsed="false">
      <c r="A13" s="19"/>
      <c r="B13" s="17"/>
      <c r="C13" s="11" t="str">
        <f aca="false">IF(B13="","",IFERROR(INDEX(Students!$B$4:$B$203,MATCH(B13,Students!$A$4:$A$203,0)),""))</f>
        <v/>
      </c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7"/>
      <c r="P13" s="19"/>
    </row>
    <row r="14" customFormat="false" ht="15" hidden="false" customHeight="true" outlineLevel="0" collapsed="false">
      <c r="A14" s="19"/>
      <c r="B14" s="17"/>
      <c r="C14" s="11" t="str">
        <f aca="false">IF(B14="","",IFERROR(INDEX(Students!$B$4:$B$203,MATCH(B14,Students!$A$4:$A$203,0)),""))</f>
        <v/>
      </c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7"/>
      <c r="P14" s="19"/>
    </row>
    <row r="15" customFormat="false" ht="15" hidden="false" customHeight="true" outlineLevel="0" collapsed="false">
      <c r="A15" s="19"/>
      <c r="B15" s="17"/>
      <c r="C15" s="11" t="str">
        <f aca="false">IF(B15="","",IFERROR(INDEX(Students!$B$4:$B$203,MATCH(B15,Students!$A$4:$A$203,0)),""))</f>
        <v/>
      </c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7"/>
      <c r="P15" s="19"/>
    </row>
    <row r="16" customFormat="false" ht="15" hidden="false" customHeight="true" outlineLevel="0" collapsed="false">
      <c r="A16" s="19"/>
      <c r="B16" s="17"/>
      <c r="C16" s="11" t="str">
        <f aca="false">IF(B16="","",IFERROR(INDEX(Students!$B$4:$B$203,MATCH(B16,Students!$A$4:$A$203,0)),""))</f>
        <v/>
      </c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7"/>
      <c r="P16" s="19"/>
    </row>
    <row r="17" customFormat="false" ht="15" hidden="false" customHeight="true" outlineLevel="0" collapsed="false">
      <c r="A17" s="19"/>
      <c r="B17" s="17"/>
      <c r="C17" s="11" t="str">
        <f aca="false">IF(B17="","",IFERROR(INDEX(Students!$B$4:$B$203,MATCH(B17,Students!$A$4:$A$203,0)),""))</f>
        <v/>
      </c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7"/>
      <c r="P17" s="19"/>
    </row>
    <row r="18" customFormat="false" ht="15" hidden="false" customHeight="true" outlineLevel="0" collapsed="false">
      <c r="A18" s="19"/>
      <c r="B18" s="17"/>
      <c r="C18" s="11" t="str">
        <f aca="false">IF(B18="","",IFERROR(INDEX(Students!$B$4:$B$203,MATCH(B18,Students!$A$4:$A$203,0)),""))</f>
        <v/>
      </c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"/>
      <c r="P18" s="19"/>
    </row>
    <row r="19" customFormat="false" ht="15" hidden="false" customHeight="true" outlineLevel="0" collapsed="false">
      <c r="A19" s="19"/>
      <c r="B19" s="17"/>
      <c r="C19" s="11" t="str">
        <f aca="false">IF(B19="","",IFERROR(INDEX(Students!$B$4:$B$203,MATCH(B19,Students!$A$4:$A$203,0)),""))</f>
        <v/>
      </c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7"/>
      <c r="P19" s="19"/>
    </row>
    <row r="20" customFormat="false" ht="15" hidden="false" customHeight="true" outlineLevel="0" collapsed="false">
      <c r="A20" s="19"/>
      <c r="B20" s="17"/>
      <c r="C20" s="11" t="str">
        <f aca="false">IF(B20="","",IFERROR(INDEX(Students!$B$4:$B$203,MATCH(B20,Students!$A$4:$A$203,0)),""))</f>
        <v/>
      </c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7"/>
      <c r="P20" s="19"/>
    </row>
    <row r="21" customFormat="false" ht="15" hidden="false" customHeight="true" outlineLevel="0" collapsed="false">
      <c r="A21" s="19"/>
      <c r="B21" s="17"/>
      <c r="C21" s="11" t="str">
        <f aca="false">IF(B21="","",IFERROR(INDEX(Students!$B$4:$B$203,MATCH(B21,Students!$A$4:$A$203,0)),""))</f>
        <v/>
      </c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7"/>
      <c r="P21" s="19"/>
    </row>
    <row r="22" customFormat="false" ht="15" hidden="false" customHeight="true" outlineLevel="0" collapsed="false">
      <c r="A22" s="19"/>
      <c r="B22" s="17"/>
      <c r="C22" s="11" t="str">
        <f aca="false">IF(B22="","",IFERROR(INDEX(Students!$B$4:$B$203,MATCH(B22,Students!$A$4:$A$203,0)),""))</f>
        <v/>
      </c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19"/>
    </row>
    <row r="23" customFormat="false" ht="15" hidden="false" customHeight="true" outlineLevel="0" collapsed="false">
      <c r="A23" s="19"/>
      <c r="B23" s="17"/>
      <c r="C23" s="11" t="str">
        <f aca="false">IF(B23="","",IFERROR(INDEX(Students!$B$4:$B$203,MATCH(B23,Students!$A$4:$A$203,0)),""))</f>
        <v/>
      </c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7"/>
      <c r="P23" s="19"/>
    </row>
    <row r="24" customFormat="false" ht="15" hidden="false" customHeight="true" outlineLevel="0" collapsed="false">
      <c r="A24" s="19"/>
      <c r="B24" s="17"/>
      <c r="C24" s="11" t="str">
        <f aca="false">IF(B24="","",IFERROR(INDEX(Students!$B$4:$B$203,MATCH(B24,Students!$A$4:$A$203,0)),""))</f>
        <v/>
      </c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7"/>
      <c r="P24" s="19"/>
    </row>
    <row r="25" customFormat="false" ht="15" hidden="false" customHeight="true" outlineLevel="0" collapsed="false">
      <c r="A25" s="19"/>
      <c r="B25" s="17"/>
      <c r="C25" s="11" t="str">
        <f aca="false">IF(B25="","",IFERROR(INDEX(Students!$B$4:$B$203,MATCH(B25,Students!$A$4:$A$203,0)),""))</f>
        <v/>
      </c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7"/>
      <c r="P25" s="19"/>
    </row>
    <row r="26" customFormat="false" ht="15" hidden="false" customHeight="true" outlineLevel="0" collapsed="false">
      <c r="A26" s="19"/>
      <c r="B26" s="17"/>
      <c r="C26" s="11" t="str">
        <f aca="false">IF(B26="","",IFERROR(INDEX(Students!$B$4:$B$203,MATCH(B26,Students!$A$4:$A$203,0)),""))</f>
        <v/>
      </c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7"/>
      <c r="P26" s="19"/>
    </row>
    <row r="27" customFormat="false" ht="15" hidden="false" customHeight="true" outlineLevel="0" collapsed="false">
      <c r="A27" s="19"/>
      <c r="B27" s="17"/>
      <c r="C27" s="11" t="str">
        <f aca="false">IF(B27="","",IFERROR(INDEX(Students!$B$4:$B$203,MATCH(B27,Students!$A$4:$A$203,0)),""))</f>
        <v/>
      </c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7"/>
      <c r="P27" s="19"/>
    </row>
    <row r="28" customFormat="false" ht="15" hidden="false" customHeight="true" outlineLevel="0" collapsed="false">
      <c r="A28" s="19"/>
      <c r="B28" s="17"/>
      <c r="C28" s="11" t="str">
        <f aca="false">IF(B28="","",IFERROR(INDEX(Students!$B$4:$B$203,MATCH(B28,Students!$A$4:$A$203,0)),""))</f>
        <v/>
      </c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7"/>
      <c r="P28" s="19"/>
    </row>
    <row r="29" customFormat="false" ht="15" hidden="false" customHeight="true" outlineLevel="0" collapsed="false">
      <c r="A29" s="19"/>
      <c r="B29" s="17"/>
      <c r="C29" s="11" t="str">
        <f aca="false">IF(B29="","",IFERROR(INDEX(Students!$B$4:$B$203,MATCH(B29,Students!$A$4:$A$203,0)),""))</f>
        <v/>
      </c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"/>
      <c r="P29" s="19"/>
    </row>
    <row r="30" customFormat="false" ht="15" hidden="false" customHeight="true" outlineLevel="0" collapsed="false">
      <c r="A30" s="19"/>
      <c r="B30" s="17"/>
      <c r="C30" s="11" t="str">
        <f aca="false">IF(B30="","",IFERROR(INDEX(Students!$B$4:$B$203,MATCH(B30,Students!$A$4:$A$203,0)),""))</f>
        <v/>
      </c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7"/>
      <c r="P30" s="19"/>
    </row>
    <row r="31" customFormat="false" ht="15" hidden="false" customHeight="true" outlineLevel="0" collapsed="false">
      <c r="A31" s="19"/>
      <c r="B31" s="17"/>
      <c r="C31" s="11" t="str">
        <f aca="false">IF(B31="","",IFERROR(INDEX(Students!$B$4:$B$203,MATCH(B31,Students!$A$4:$A$203,0)),""))</f>
        <v/>
      </c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7"/>
      <c r="P31" s="19"/>
    </row>
    <row r="32" customFormat="false" ht="15" hidden="false" customHeight="true" outlineLevel="0" collapsed="false">
      <c r="A32" s="19"/>
      <c r="B32" s="17"/>
      <c r="C32" s="11" t="str">
        <f aca="false">IF(B32="","",IFERROR(INDEX(Students!$B$4:$B$203,MATCH(B32,Students!$A$4:$A$203,0)),""))</f>
        <v/>
      </c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7"/>
      <c r="P32" s="19"/>
    </row>
    <row r="33" customFormat="false" ht="15" hidden="false" customHeight="true" outlineLevel="0" collapsed="false">
      <c r="A33" s="19"/>
      <c r="B33" s="17"/>
      <c r="C33" s="11" t="str">
        <f aca="false">IF(B33="","",IFERROR(INDEX(Students!$B$4:$B$203,MATCH(B33,Students!$A$4:$A$203,0)),""))</f>
        <v/>
      </c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7"/>
      <c r="P33" s="19"/>
    </row>
    <row r="34" customFormat="false" ht="15" hidden="false" customHeight="true" outlineLevel="0" collapsed="false">
      <c r="A34" s="19"/>
      <c r="B34" s="17"/>
      <c r="C34" s="11" t="str">
        <f aca="false">IF(B34="","",IFERROR(INDEX(Students!$B$4:$B$203,MATCH(B34,Students!$A$4:$A$203,0)),""))</f>
        <v/>
      </c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7"/>
      <c r="P34" s="19"/>
    </row>
    <row r="35" customFormat="false" ht="15" hidden="false" customHeight="true" outlineLevel="0" collapsed="false">
      <c r="A35" s="19"/>
      <c r="B35" s="17"/>
      <c r="C35" s="11" t="str">
        <f aca="false">IF(B35="","",IFERROR(INDEX(Students!$B$4:$B$203,MATCH(B35,Students!$A$4:$A$203,0)),""))</f>
        <v/>
      </c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7"/>
      <c r="P35" s="19"/>
    </row>
    <row r="36" customFormat="false" ht="15" hidden="false" customHeight="true" outlineLevel="0" collapsed="false">
      <c r="A36" s="19"/>
      <c r="B36" s="17"/>
      <c r="C36" s="11" t="str">
        <f aca="false">IF(B36="","",IFERROR(INDEX(Students!$B$4:$B$203,MATCH(B36,Students!$A$4:$A$203,0)),""))</f>
        <v/>
      </c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7"/>
      <c r="P36" s="19"/>
    </row>
    <row r="37" customFormat="false" ht="15" hidden="false" customHeight="true" outlineLevel="0" collapsed="false">
      <c r="A37" s="19"/>
      <c r="B37" s="17"/>
      <c r="C37" s="11" t="str">
        <f aca="false">IF(B37="","",IFERROR(INDEX(Students!$B$4:$B$203,MATCH(B37,Students!$A$4:$A$203,0)),""))</f>
        <v/>
      </c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7"/>
      <c r="P37" s="19"/>
    </row>
    <row r="38" customFormat="false" ht="15" hidden="false" customHeight="true" outlineLevel="0" collapsed="false">
      <c r="A38" s="19"/>
      <c r="B38" s="17"/>
      <c r="C38" s="11" t="str">
        <f aca="false">IF(B38="","",IFERROR(INDEX(Students!$B$4:$B$203,MATCH(B38,Students!$A$4:$A$203,0)),""))</f>
        <v/>
      </c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7"/>
      <c r="P38" s="19"/>
    </row>
    <row r="39" customFormat="false" ht="15" hidden="false" customHeight="true" outlineLevel="0" collapsed="false">
      <c r="A39" s="19"/>
      <c r="B39" s="17"/>
      <c r="C39" s="11" t="str">
        <f aca="false">IF(B39="","",IFERROR(INDEX(Students!$B$4:$B$203,MATCH(B39,Students!$A$4:$A$203,0)),""))</f>
        <v/>
      </c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7"/>
      <c r="P39" s="19"/>
    </row>
    <row r="40" customFormat="false" ht="15" hidden="false" customHeight="true" outlineLevel="0" collapsed="false">
      <c r="A40" s="19"/>
      <c r="B40" s="17"/>
      <c r="C40" s="11" t="str">
        <f aca="false">IF(B40="","",IFERROR(INDEX(Students!$B$4:$B$203,MATCH(B40,Students!$A$4:$A$203,0)),""))</f>
        <v/>
      </c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7"/>
      <c r="P40" s="19"/>
    </row>
    <row r="41" customFormat="false" ht="15" hidden="false" customHeight="true" outlineLevel="0" collapsed="false">
      <c r="A41" s="19"/>
      <c r="B41" s="17"/>
      <c r="C41" s="11" t="str">
        <f aca="false">IF(B41="","",IFERROR(INDEX(Students!$B$4:$B$203,MATCH(B41,Students!$A$4:$A$203,0)),""))</f>
        <v/>
      </c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7"/>
      <c r="P41" s="19"/>
    </row>
    <row r="42" customFormat="false" ht="15" hidden="false" customHeight="true" outlineLevel="0" collapsed="false">
      <c r="A42" s="19"/>
      <c r="B42" s="17"/>
      <c r="C42" s="11" t="str">
        <f aca="false">IF(B42="","",IFERROR(INDEX(Students!$B$4:$B$203,MATCH(B42,Students!$A$4:$A$203,0)),""))</f>
        <v/>
      </c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7"/>
      <c r="P42" s="19"/>
    </row>
    <row r="43" customFormat="false" ht="15" hidden="false" customHeight="true" outlineLevel="0" collapsed="false">
      <c r="A43" s="19"/>
      <c r="B43" s="17"/>
      <c r="C43" s="11" t="str">
        <f aca="false">IF(B43="","",IFERROR(INDEX(Students!$B$4:$B$203,MATCH(B43,Students!$A$4:$A$203,0)),""))</f>
        <v/>
      </c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7"/>
      <c r="P43" s="19"/>
    </row>
    <row r="44" customFormat="false" ht="15" hidden="false" customHeight="true" outlineLevel="0" collapsed="false">
      <c r="A44" s="19"/>
      <c r="B44" s="17"/>
      <c r="C44" s="11" t="str">
        <f aca="false">IF(B44="","",IFERROR(INDEX(Students!$B$4:$B$203,MATCH(B44,Students!$A$4:$A$203,0)),""))</f>
        <v/>
      </c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7"/>
      <c r="P44" s="19"/>
    </row>
    <row r="45" customFormat="false" ht="15" hidden="false" customHeight="true" outlineLevel="0" collapsed="false">
      <c r="A45" s="19"/>
      <c r="B45" s="17"/>
      <c r="C45" s="11" t="str">
        <f aca="false">IF(B45="","",IFERROR(INDEX(Students!$B$4:$B$203,MATCH(B45,Students!$A$4:$A$203,0)),""))</f>
        <v/>
      </c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7"/>
      <c r="P45" s="19"/>
    </row>
    <row r="46" customFormat="false" ht="15" hidden="false" customHeight="true" outlineLevel="0" collapsed="false">
      <c r="A46" s="19"/>
      <c r="B46" s="17"/>
      <c r="C46" s="11" t="str">
        <f aca="false">IF(B46="","",IFERROR(INDEX(Students!$B$4:$B$203,MATCH(B46,Students!$A$4:$A$203,0)),""))</f>
        <v/>
      </c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7"/>
      <c r="P46" s="19"/>
    </row>
    <row r="47" customFormat="false" ht="15" hidden="false" customHeight="true" outlineLevel="0" collapsed="false">
      <c r="A47" s="19"/>
      <c r="B47" s="17"/>
      <c r="C47" s="11" t="str">
        <f aca="false">IF(B47="","",IFERROR(INDEX(Students!$B$4:$B$203,MATCH(B47,Students!$A$4:$A$203,0)),""))</f>
        <v/>
      </c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7"/>
      <c r="P47" s="19"/>
    </row>
    <row r="48" customFormat="false" ht="15" hidden="false" customHeight="true" outlineLevel="0" collapsed="false">
      <c r="A48" s="19"/>
      <c r="B48" s="17"/>
      <c r="C48" s="11" t="str">
        <f aca="false">IF(B48="","",IFERROR(INDEX(Students!$B$4:$B$203,MATCH(B48,Students!$A$4:$A$203,0)),""))</f>
        <v/>
      </c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7"/>
      <c r="P48" s="19"/>
    </row>
    <row r="49" customFormat="false" ht="15" hidden="false" customHeight="true" outlineLevel="0" collapsed="false">
      <c r="A49" s="19"/>
      <c r="B49" s="17"/>
      <c r="C49" s="11" t="str">
        <f aca="false">IF(B49="","",IFERROR(INDEX(Students!$B$4:$B$203,MATCH(B49,Students!$A$4:$A$203,0)),""))</f>
        <v/>
      </c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7"/>
      <c r="P49" s="19"/>
    </row>
    <row r="50" customFormat="false" ht="15" hidden="false" customHeight="true" outlineLevel="0" collapsed="false">
      <c r="A50" s="19"/>
      <c r="B50" s="17"/>
      <c r="C50" s="11" t="str">
        <f aca="false">IF(B50="","",IFERROR(INDEX(Students!$B$4:$B$203,MATCH(B50,Students!$A$4:$A$203,0)),""))</f>
        <v/>
      </c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7"/>
      <c r="P50" s="19"/>
    </row>
    <row r="51" customFormat="false" ht="15" hidden="false" customHeight="true" outlineLevel="0" collapsed="false">
      <c r="A51" s="19"/>
      <c r="B51" s="17"/>
      <c r="C51" s="11" t="str">
        <f aca="false">IF(B51="","",IFERROR(INDEX(Students!$B$4:$B$203,MATCH(B51,Students!$A$4:$A$203,0)),""))</f>
        <v/>
      </c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7"/>
      <c r="P51" s="19"/>
    </row>
    <row r="52" customFormat="false" ht="15" hidden="false" customHeight="true" outlineLevel="0" collapsed="false">
      <c r="A52" s="19"/>
      <c r="B52" s="17"/>
      <c r="C52" s="11" t="str">
        <f aca="false">IF(B52="","",IFERROR(INDEX(Students!$B$4:$B$203,MATCH(B52,Students!$A$4:$A$203,0)),""))</f>
        <v/>
      </c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19"/>
    </row>
    <row r="53" customFormat="false" ht="15" hidden="false" customHeight="true" outlineLevel="0" collapsed="false">
      <c r="A53" s="19"/>
      <c r="B53" s="17"/>
      <c r="C53" s="11" t="str">
        <f aca="false">IF(B53="","",IFERROR(INDEX(Students!$B$4:$B$203,MATCH(B53,Students!$A$4:$A$203,0)),""))</f>
        <v/>
      </c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19"/>
    </row>
    <row r="54" customFormat="false" ht="15" hidden="false" customHeight="true" outlineLevel="0" collapsed="false">
      <c r="A54" s="19"/>
      <c r="B54" s="17"/>
      <c r="C54" s="11" t="str">
        <f aca="false">IF(B54="","",IFERROR(INDEX(Students!$B$4:$B$203,MATCH(B54,Students!$A$4:$A$203,0)),""))</f>
        <v/>
      </c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7"/>
      <c r="P54" s="19"/>
    </row>
    <row r="55" customFormat="false" ht="15" hidden="false" customHeight="true" outlineLevel="0" collapsed="false">
      <c r="A55" s="19"/>
      <c r="B55" s="17"/>
      <c r="C55" s="11" t="str">
        <f aca="false">IF(B55="","",IFERROR(INDEX(Students!$B$4:$B$203,MATCH(B55,Students!$A$4:$A$203,0)),""))</f>
        <v/>
      </c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19"/>
    </row>
    <row r="56" customFormat="false" ht="15" hidden="false" customHeight="true" outlineLevel="0" collapsed="false">
      <c r="A56" s="19"/>
      <c r="B56" s="17"/>
      <c r="C56" s="11" t="str">
        <f aca="false">IF(B56="","",IFERROR(INDEX(Students!$B$4:$B$203,MATCH(B56,Students!$A$4:$A$203,0)),""))</f>
        <v/>
      </c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7"/>
      <c r="P56" s="19"/>
    </row>
    <row r="57" customFormat="false" ht="15" hidden="false" customHeight="true" outlineLevel="0" collapsed="false">
      <c r="A57" s="19"/>
      <c r="B57" s="17"/>
      <c r="C57" s="11" t="str">
        <f aca="false">IF(B57="","",IFERROR(INDEX(Students!$B$4:$B$203,MATCH(B57,Students!$A$4:$A$203,0)),""))</f>
        <v/>
      </c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19"/>
    </row>
    <row r="58" customFormat="false" ht="15" hidden="false" customHeight="true" outlineLevel="0" collapsed="false">
      <c r="A58" s="19"/>
      <c r="B58" s="17"/>
      <c r="C58" s="11" t="str">
        <f aca="false">IF(B58="","",IFERROR(INDEX(Students!$B$4:$B$203,MATCH(B58,Students!$A$4:$A$203,0)),""))</f>
        <v/>
      </c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7"/>
      <c r="P58" s="19"/>
    </row>
    <row r="59" customFormat="false" ht="15" hidden="false" customHeight="true" outlineLevel="0" collapsed="false">
      <c r="A59" s="19"/>
      <c r="B59" s="17"/>
      <c r="C59" s="11" t="str">
        <f aca="false">IF(B59="","",IFERROR(INDEX(Students!$B$4:$B$203,MATCH(B59,Students!$A$4:$A$203,0)),""))</f>
        <v/>
      </c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19"/>
    </row>
    <row r="60" customFormat="false" ht="15" hidden="false" customHeight="true" outlineLevel="0" collapsed="false">
      <c r="A60" s="19"/>
      <c r="B60" s="17"/>
      <c r="C60" s="11" t="str">
        <f aca="false">IF(B60="","",IFERROR(INDEX(Students!$B$4:$B$203,MATCH(B60,Students!$A$4:$A$203,0)),""))</f>
        <v/>
      </c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19"/>
    </row>
    <row r="61" customFormat="false" ht="15" hidden="false" customHeight="true" outlineLevel="0" collapsed="false">
      <c r="A61" s="19"/>
      <c r="B61" s="17"/>
      <c r="C61" s="11" t="str">
        <f aca="false">IF(B61="","",IFERROR(INDEX(Students!$B$4:$B$203,MATCH(B61,Students!$A$4:$A$203,0)),""))</f>
        <v/>
      </c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19"/>
    </row>
    <row r="62" customFormat="false" ht="15" hidden="false" customHeight="true" outlineLevel="0" collapsed="false">
      <c r="A62" s="19"/>
      <c r="B62" s="17"/>
      <c r="C62" s="11" t="str">
        <f aca="false">IF(B62="","",IFERROR(INDEX(Students!$B$4:$B$203,MATCH(B62,Students!$A$4:$A$203,0)),""))</f>
        <v/>
      </c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7"/>
      <c r="P62" s="19"/>
    </row>
    <row r="63" customFormat="false" ht="15" hidden="false" customHeight="true" outlineLevel="0" collapsed="false">
      <c r="A63" s="19"/>
      <c r="B63" s="17"/>
      <c r="C63" s="11" t="str">
        <f aca="false">IF(B63="","",IFERROR(INDEX(Students!$B$4:$B$203,MATCH(B63,Students!$A$4:$A$203,0)),""))</f>
        <v/>
      </c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19"/>
    </row>
    <row r="64" customFormat="false" ht="15" hidden="false" customHeight="true" outlineLevel="0" collapsed="false">
      <c r="A64" s="19"/>
      <c r="B64" s="17"/>
      <c r="C64" s="11" t="str">
        <f aca="false">IF(B64="","",IFERROR(INDEX(Students!$B$4:$B$203,MATCH(B64,Students!$A$4:$A$203,0)),""))</f>
        <v/>
      </c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7"/>
      <c r="P64" s="19"/>
    </row>
    <row r="65" customFormat="false" ht="15" hidden="false" customHeight="true" outlineLevel="0" collapsed="false">
      <c r="A65" s="19"/>
      <c r="B65" s="17"/>
      <c r="C65" s="11" t="str">
        <f aca="false">IF(B65="","",IFERROR(INDEX(Students!$B$4:$B$203,MATCH(B65,Students!$A$4:$A$203,0)),""))</f>
        <v/>
      </c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7"/>
      <c r="P65" s="19"/>
    </row>
    <row r="66" customFormat="false" ht="15" hidden="false" customHeight="true" outlineLevel="0" collapsed="false">
      <c r="A66" s="19"/>
      <c r="B66" s="17"/>
      <c r="C66" s="11" t="str">
        <f aca="false">IF(B66="","",IFERROR(INDEX(Students!$B$4:$B$203,MATCH(B66,Students!$A$4:$A$203,0)),""))</f>
        <v/>
      </c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7"/>
      <c r="P66" s="19"/>
    </row>
    <row r="67" customFormat="false" ht="15" hidden="false" customHeight="true" outlineLevel="0" collapsed="false">
      <c r="A67" s="19"/>
      <c r="B67" s="17"/>
      <c r="C67" s="11" t="str">
        <f aca="false">IF(B67="","",IFERROR(INDEX(Students!$B$4:$B$203,MATCH(B67,Students!$A$4:$A$203,0)),""))</f>
        <v/>
      </c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7"/>
      <c r="P67" s="19"/>
    </row>
    <row r="68" customFormat="false" ht="15" hidden="false" customHeight="true" outlineLevel="0" collapsed="false">
      <c r="A68" s="19"/>
      <c r="B68" s="17"/>
      <c r="C68" s="11" t="str">
        <f aca="false">IF(B68="","",IFERROR(INDEX(Students!$B$4:$B$203,MATCH(B68,Students!$A$4:$A$203,0)),""))</f>
        <v/>
      </c>
      <c r="D68" s="17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7"/>
      <c r="P68" s="19"/>
    </row>
    <row r="69" customFormat="false" ht="15" hidden="false" customHeight="true" outlineLevel="0" collapsed="false">
      <c r="A69" s="19"/>
      <c r="B69" s="17"/>
      <c r="C69" s="11" t="str">
        <f aca="false">IF(B69="","",IFERROR(INDEX(Students!$B$4:$B$203,MATCH(B69,Students!$A$4:$A$203,0)),""))</f>
        <v/>
      </c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7"/>
      <c r="P69" s="19"/>
    </row>
    <row r="70" customFormat="false" ht="15" hidden="false" customHeight="true" outlineLevel="0" collapsed="false">
      <c r="A70" s="19"/>
      <c r="B70" s="17"/>
      <c r="C70" s="11" t="str">
        <f aca="false">IF(B70="","",IFERROR(INDEX(Students!$B$4:$B$203,MATCH(B70,Students!$A$4:$A$203,0)),""))</f>
        <v/>
      </c>
      <c r="D70" s="1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19"/>
    </row>
    <row r="71" customFormat="false" ht="15" hidden="false" customHeight="true" outlineLevel="0" collapsed="false">
      <c r="A71" s="19"/>
      <c r="B71" s="17"/>
      <c r="C71" s="11" t="str">
        <f aca="false">IF(B71="","",IFERROR(INDEX(Students!$B$4:$B$203,MATCH(B71,Students!$A$4:$A$203,0)),""))</f>
        <v/>
      </c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7"/>
      <c r="P71" s="19"/>
    </row>
    <row r="72" customFormat="false" ht="15" hidden="false" customHeight="true" outlineLevel="0" collapsed="false">
      <c r="A72" s="19"/>
      <c r="B72" s="17"/>
      <c r="C72" s="11" t="str">
        <f aca="false">IF(B72="","",IFERROR(INDEX(Students!$B$4:$B$203,MATCH(B72,Students!$A$4:$A$203,0)),""))</f>
        <v/>
      </c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/>
      <c r="P72" s="19"/>
    </row>
    <row r="73" customFormat="false" ht="15" hidden="false" customHeight="true" outlineLevel="0" collapsed="false">
      <c r="A73" s="19"/>
      <c r="B73" s="17"/>
      <c r="C73" s="11" t="str">
        <f aca="false">IF(B73="","",IFERROR(INDEX(Students!$B$4:$B$203,MATCH(B73,Students!$A$4:$A$203,0)),""))</f>
        <v/>
      </c>
      <c r="D73" s="1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19"/>
    </row>
    <row r="74" customFormat="false" ht="15" hidden="false" customHeight="true" outlineLevel="0" collapsed="false">
      <c r="A74" s="19"/>
      <c r="B74" s="17"/>
      <c r="C74" s="11" t="str">
        <f aca="false">IF(B74="","",IFERROR(INDEX(Students!$B$4:$B$203,MATCH(B74,Students!$A$4:$A$203,0)),""))</f>
        <v/>
      </c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7"/>
      <c r="P74" s="19"/>
    </row>
    <row r="75" customFormat="false" ht="15" hidden="false" customHeight="true" outlineLevel="0" collapsed="false">
      <c r="A75" s="19"/>
      <c r="B75" s="17"/>
      <c r="C75" s="11" t="str">
        <f aca="false">IF(B75="","",IFERROR(INDEX(Students!$B$4:$B$203,MATCH(B75,Students!$A$4:$A$203,0)),""))</f>
        <v/>
      </c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19"/>
    </row>
    <row r="76" customFormat="false" ht="15" hidden="false" customHeight="true" outlineLevel="0" collapsed="false">
      <c r="A76" s="19"/>
      <c r="B76" s="17"/>
      <c r="C76" s="11" t="str">
        <f aca="false">IF(B76="","",IFERROR(INDEX(Students!$B$4:$B$203,MATCH(B76,Students!$A$4:$A$203,0)),""))</f>
        <v/>
      </c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19"/>
    </row>
    <row r="77" customFormat="false" ht="15" hidden="false" customHeight="true" outlineLevel="0" collapsed="false">
      <c r="A77" s="19"/>
      <c r="B77" s="17"/>
      <c r="C77" s="11" t="str">
        <f aca="false">IF(B77="","",IFERROR(INDEX(Students!$B$4:$B$203,MATCH(B77,Students!$A$4:$A$203,0)),""))</f>
        <v/>
      </c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7"/>
      <c r="P77" s="19"/>
    </row>
    <row r="78" customFormat="false" ht="15" hidden="false" customHeight="true" outlineLevel="0" collapsed="false">
      <c r="A78" s="19"/>
      <c r="B78" s="17"/>
      <c r="C78" s="11" t="str">
        <f aca="false">IF(B78="","",IFERROR(INDEX(Students!$B$4:$B$203,MATCH(B78,Students!$A$4:$A$203,0)),""))</f>
        <v/>
      </c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/>
      <c r="P78" s="19"/>
    </row>
    <row r="79" customFormat="false" ht="15" hidden="false" customHeight="true" outlineLevel="0" collapsed="false">
      <c r="A79" s="19"/>
      <c r="B79" s="17"/>
      <c r="C79" s="11" t="str">
        <f aca="false">IF(B79="","",IFERROR(INDEX(Students!$B$4:$B$203,MATCH(B79,Students!$A$4:$A$203,0)),""))</f>
        <v/>
      </c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19"/>
    </row>
    <row r="80" customFormat="false" ht="15" hidden="false" customHeight="true" outlineLevel="0" collapsed="false">
      <c r="A80" s="19"/>
      <c r="B80" s="17"/>
      <c r="C80" s="11" t="str">
        <f aca="false">IF(B80="","",IFERROR(INDEX(Students!$B$4:$B$203,MATCH(B80,Students!$A$4:$A$203,0)),""))</f>
        <v/>
      </c>
      <c r="D80" s="1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19"/>
    </row>
    <row r="81" customFormat="false" ht="15" hidden="false" customHeight="true" outlineLevel="0" collapsed="false">
      <c r="A81" s="19"/>
      <c r="B81" s="17"/>
      <c r="C81" s="11" t="str">
        <f aca="false">IF(B81="","",IFERROR(INDEX(Students!$B$4:$B$203,MATCH(B81,Students!$A$4:$A$203,0)),""))</f>
        <v/>
      </c>
      <c r="D81" s="17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7"/>
      <c r="P81" s="19"/>
    </row>
    <row r="82" customFormat="false" ht="15" hidden="false" customHeight="true" outlineLevel="0" collapsed="false">
      <c r="A82" s="19"/>
      <c r="B82" s="17"/>
      <c r="C82" s="11" t="str">
        <f aca="false">IF(B82="","",IFERROR(INDEX(Students!$B$4:$B$203,MATCH(B82,Students!$A$4:$A$203,0)),""))</f>
        <v/>
      </c>
      <c r="D82" s="17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19"/>
    </row>
    <row r="83" customFormat="false" ht="15" hidden="false" customHeight="true" outlineLevel="0" collapsed="false">
      <c r="A83" s="19"/>
      <c r="B83" s="17"/>
      <c r="C83" s="11" t="str">
        <f aca="false">IF(B83="","",IFERROR(INDEX(Students!$B$4:$B$203,MATCH(B83,Students!$A$4:$A$203,0)),""))</f>
        <v/>
      </c>
      <c r="D83" s="1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7"/>
      <c r="P83" s="19"/>
    </row>
    <row r="84" customFormat="false" ht="15" hidden="false" customHeight="true" outlineLevel="0" collapsed="false">
      <c r="A84" s="19"/>
      <c r="B84" s="17"/>
      <c r="C84" s="11" t="str">
        <f aca="false">IF(B84="","",IFERROR(INDEX(Students!$B$4:$B$203,MATCH(B84,Students!$A$4:$A$203,0)),""))</f>
        <v/>
      </c>
      <c r="D84" s="1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7"/>
      <c r="P84" s="19"/>
    </row>
    <row r="85" customFormat="false" ht="15" hidden="false" customHeight="true" outlineLevel="0" collapsed="false">
      <c r="A85" s="19"/>
      <c r="B85" s="17"/>
      <c r="C85" s="11" t="str">
        <f aca="false">IF(B85="","",IFERROR(INDEX(Students!$B$4:$B$203,MATCH(B85,Students!$A$4:$A$203,0)),""))</f>
        <v/>
      </c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7"/>
      <c r="P85" s="19"/>
    </row>
    <row r="86" customFormat="false" ht="15" hidden="false" customHeight="true" outlineLevel="0" collapsed="false">
      <c r="A86" s="19"/>
      <c r="B86" s="17"/>
      <c r="C86" s="11" t="str">
        <f aca="false">IF(B86="","",IFERROR(INDEX(Students!$B$4:$B$203,MATCH(B86,Students!$A$4:$A$203,0)),""))</f>
        <v/>
      </c>
      <c r="D86" s="17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7"/>
      <c r="P86" s="19"/>
    </row>
    <row r="87" customFormat="false" ht="15" hidden="false" customHeight="true" outlineLevel="0" collapsed="false">
      <c r="A87" s="19"/>
      <c r="B87" s="17"/>
      <c r="C87" s="11" t="str">
        <f aca="false">IF(B87="","",IFERROR(INDEX(Students!$B$4:$B$203,MATCH(B87,Students!$A$4:$A$203,0)),""))</f>
        <v/>
      </c>
      <c r="D87" s="1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19"/>
    </row>
    <row r="88" customFormat="false" ht="15" hidden="false" customHeight="true" outlineLevel="0" collapsed="false">
      <c r="A88" s="19"/>
      <c r="B88" s="17"/>
      <c r="C88" s="11" t="str">
        <f aca="false">IF(B88="","",IFERROR(INDEX(Students!$B$4:$B$203,MATCH(B88,Students!$A$4:$A$203,0)),""))</f>
        <v/>
      </c>
      <c r="D88" s="1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7"/>
      <c r="P88" s="19"/>
    </row>
    <row r="89" customFormat="false" ht="15" hidden="false" customHeight="true" outlineLevel="0" collapsed="false">
      <c r="A89" s="19"/>
      <c r="B89" s="17"/>
      <c r="C89" s="11" t="str">
        <f aca="false">IF(B89="","",IFERROR(INDEX(Students!$B$4:$B$203,MATCH(B89,Students!$A$4:$A$203,0)),""))</f>
        <v/>
      </c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7"/>
      <c r="P89" s="19"/>
    </row>
    <row r="90" customFormat="false" ht="15" hidden="false" customHeight="true" outlineLevel="0" collapsed="false">
      <c r="A90" s="19"/>
      <c r="B90" s="17"/>
      <c r="C90" s="11" t="str">
        <f aca="false">IF(B90="","",IFERROR(INDEX(Students!$B$4:$B$203,MATCH(B90,Students!$A$4:$A$203,0)),""))</f>
        <v/>
      </c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7"/>
      <c r="P90" s="19"/>
    </row>
    <row r="91" customFormat="false" ht="15" hidden="false" customHeight="true" outlineLevel="0" collapsed="false">
      <c r="A91" s="19"/>
      <c r="B91" s="17"/>
      <c r="C91" s="11" t="str">
        <f aca="false">IF(B91="","",IFERROR(INDEX(Students!$B$4:$B$203,MATCH(B91,Students!$A$4:$A$203,0)),""))</f>
        <v/>
      </c>
      <c r="D91" s="1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7"/>
      <c r="P91" s="19"/>
    </row>
    <row r="92" customFormat="false" ht="15" hidden="false" customHeight="true" outlineLevel="0" collapsed="false">
      <c r="A92" s="19"/>
      <c r="B92" s="17"/>
      <c r="C92" s="11" t="str">
        <f aca="false">IF(B92="","",IFERROR(INDEX(Students!$B$4:$B$203,MATCH(B92,Students!$A$4:$A$203,0)),""))</f>
        <v/>
      </c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7"/>
      <c r="P92" s="19"/>
    </row>
    <row r="93" customFormat="false" ht="15" hidden="false" customHeight="true" outlineLevel="0" collapsed="false">
      <c r="A93" s="19"/>
      <c r="B93" s="17"/>
      <c r="C93" s="11" t="str">
        <f aca="false">IF(B93="","",IFERROR(INDEX(Students!$B$4:$B$203,MATCH(B93,Students!$A$4:$A$203,0)),""))</f>
        <v/>
      </c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19"/>
    </row>
    <row r="94" customFormat="false" ht="15" hidden="false" customHeight="true" outlineLevel="0" collapsed="false">
      <c r="A94" s="19"/>
      <c r="B94" s="17"/>
      <c r="C94" s="11" t="str">
        <f aca="false">IF(B94="","",IFERROR(INDEX(Students!$B$4:$B$203,MATCH(B94,Students!$A$4:$A$203,0)),""))</f>
        <v/>
      </c>
      <c r="D94" s="1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7"/>
      <c r="P94" s="19"/>
    </row>
    <row r="95" customFormat="false" ht="15" hidden="false" customHeight="true" outlineLevel="0" collapsed="false">
      <c r="A95" s="19"/>
      <c r="B95" s="17"/>
      <c r="C95" s="11" t="str">
        <f aca="false">IF(B95="","",IFERROR(INDEX(Students!$B$4:$B$203,MATCH(B95,Students!$A$4:$A$203,0)),""))</f>
        <v/>
      </c>
      <c r="D95" s="1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19"/>
    </row>
    <row r="96" customFormat="false" ht="15" hidden="false" customHeight="true" outlineLevel="0" collapsed="false">
      <c r="A96" s="19"/>
      <c r="B96" s="17"/>
      <c r="C96" s="11" t="str">
        <f aca="false">IF(B96="","",IFERROR(INDEX(Students!$B$4:$B$203,MATCH(B96,Students!$A$4:$A$203,0)),""))</f>
        <v/>
      </c>
      <c r="D96" s="1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7"/>
      <c r="P96" s="19"/>
    </row>
    <row r="97" customFormat="false" ht="15" hidden="false" customHeight="true" outlineLevel="0" collapsed="false">
      <c r="A97" s="19"/>
      <c r="B97" s="17"/>
      <c r="C97" s="11" t="str">
        <f aca="false">IF(B97="","",IFERROR(INDEX(Students!$B$4:$B$203,MATCH(B97,Students!$A$4:$A$203,0)),""))</f>
        <v/>
      </c>
      <c r="D97" s="1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19"/>
    </row>
    <row r="98" customFormat="false" ht="15" hidden="false" customHeight="true" outlineLevel="0" collapsed="false">
      <c r="A98" s="19"/>
      <c r="B98" s="17"/>
      <c r="C98" s="11" t="str">
        <f aca="false">IF(B98="","",IFERROR(INDEX(Students!$B$4:$B$203,MATCH(B98,Students!$A$4:$A$203,0)),""))</f>
        <v/>
      </c>
      <c r="D98" s="1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7"/>
      <c r="P98" s="19"/>
    </row>
    <row r="99" customFormat="false" ht="15" hidden="false" customHeight="true" outlineLevel="0" collapsed="false">
      <c r="A99" s="19"/>
      <c r="B99" s="17"/>
      <c r="C99" s="11" t="str">
        <f aca="false">IF(B99="","",IFERROR(INDEX(Students!$B$4:$B$203,MATCH(B99,Students!$A$4:$A$203,0)),""))</f>
        <v/>
      </c>
      <c r="D99" s="1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7"/>
      <c r="P99" s="19"/>
    </row>
    <row r="100" customFormat="false" ht="15" hidden="false" customHeight="true" outlineLevel="0" collapsed="false">
      <c r="A100" s="19"/>
      <c r="B100" s="17"/>
      <c r="C100" s="11" t="str">
        <f aca="false">IF(B100="","",IFERROR(INDEX(Students!$B$4:$B$203,MATCH(B100,Students!$A$4:$A$203,0)),""))</f>
        <v/>
      </c>
      <c r="D100" s="1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7"/>
      <c r="P100" s="19"/>
    </row>
    <row r="101" customFormat="false" ht="15" hidden="false" customHeight="true" outlineLevel="0" collapsed="false">
      <c r="A101" s="19"/>
      <c r="B101" s="17"/>
      <c r="C101" s="11" t="str">
        <f aca="false">IF(B101="","",IFERROR(INDEX(Students!$B$4:$B$203,MATCH(B101,Students!$A$4:$A$203,0)),""))</f>
        <v/>
      </c>
      <c r="D101" s="17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7"/>
      <c r="P101" s="19"/>
    </row>
    <row r="102" customFormat="false" ht="15" hidden="false" customHeight="true" outlineLevel="0" collapsed="false">
      <c r="A102" s="19"/>
      <c r="B102" s="17"/>
      <c r="C102" s="11" t="str">
        <f aca="false">IF(B102="","",IFERROR(INDEX(Students!$B$4:$B$203,MATCH(B102,Students!$A$4:$A$203,0)),""))</f>
        <v/>
      </c>
      <c r="D102" s="1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7"/>
      <c r="P102" s="19"/>
    </row>
    <row r="103" customFormat="false" ht="15" hidden="false" customHeight="true" outlineLevel="0" collapsed="false">
      <c r="A103" s="19"/>
      <c r="B103" s="17"/>
      <c r="C103" s="11" t="str">
        <f aca="false">IF(B103="","",IFERROR(INDEX(Students!$B$4:$B$203,MATCH(B103,Students!$A$4:$A$203,0)),""))</f>
        <v/>
      </c>
      <c r="D103" s="1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19"/>
    </row>
    <row r="104" customFormat="false" ht="15" hidden="false" customHeight="true" outlineLevel="0" collapsed="false">
      <c r="A104" s="19"/>
      <c r="B104" s="17"/>
      <c r="C104" s="11" t="str">
        <f aca="false">IF(B104="","",IFERROR(INDEX(Students!$B$4:$B$203,MATCH(B104,Students!$A$4:$A$203,0)),""))</f>
        <v/>
      </c>
      <c r="D104" s="1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7"/>
      <c r="P104" s="19"/>
    </row>
    <row r="105" customFormat="false" ht="15" hidden="false" customHeight="true" outlineLevel="0" collapsed="false">
      <c r="A105" s="19"/>
      <c r="B105" s="17"/>
      <c r="C105" s="11" t="str">
        <f aca="false">IF(B105="","",IFERROR(INDEX(Students!$B$4:$B$203,MATCH(B105,Students!$A$4:$A$203,0)),""))</f>
        <v/>
      </c>
      <c r="D105" s="1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7"/>
      <c r="P105" s="19"/>
    </row>
    <row r="106" customFormat="false" ht="15" hidden="false" customHeight="true" outlineLevel="0" collapsed="false">
      <c r="A106" s="19"/>
      <c r="B106" s="17"/>
      <c r="C106" s="11" t="str">
        <f aca="false">IF(B106="","",IFERROR(INDEX(Students!$B$4:$B$203,MATCH(B106,Students!$A$4:$A$203,0)),""))</f>
        <v/>
      </c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19"/>
    </row>
    <row r="107" customFormat="false" ht="15" hidden="false" customHeight="true" outlineLevel="0" collapsed="false">
      <c r="A107" s="19"/>
      <c r="B107" s="17"/>
      <c r="C107" s="11" t="str">
        <f aca="false">IF(B107="","",IFERROR(INDEX(Students!$B$4:$B$203,MATCH(B107,Students!$A$4:$A$203,0)),""))</f>
        <v/>
      </c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7"/>
      <c r="P107" s="19"/>
    </row>
    <row r="108" customFormat="false" ht="15" hidden="false" customHeight="true" outlineLevel="0" collapsed="false">
      <c r="A108" s="19"/>
      <c r="B108" s="17"/>
      <c r="C108" s="11" t="str">
        <f aca="false">IF(B108="","",IFERROR(INDEX(Students!$B$4:$B$203,MATCH(B108,Students!$A$4:$A$203,0)),""))</f>
        <v/>
      </c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7"/>
      <c r="P108" s="19"/>
    </row>
    <row r="109" customFormat="false" ht="15" hidden="false" customHeight="true" outlineLevel="0" collapsed="false">
      <c r="A109" s="19"/>
      <c r="B109" s="17"/>
      <c r="C109" s="11" t="str">
        <f aca="false">IF(B109="","",IFERROR(INDEX(Students!$B$4:$B$203,MATCH(B109,Students!$A$4:$A$203,0)),""))</f>
        <v/>
      </c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19"/>
    </row>
    <row r="110" customFormat="false" ht="15" hidden="false" customHeight="true" outlineLevel="0" collapsed="false">
      <c r="A110" s="19"/>
      <c r="B110" s="17"/>
      <c r="C110" s="11" t="str">
        <f aca="false">IF(B110="","",IFERROR(INDEX(Students!$B$4:$B$203,MATCH(B110,Students!$A$4:$A$203,0)),""))</f>
        <v/>
      </c>
      <c r="D110" s="1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19"/>
    </row>
    <row r="111" customFormat="false" ht="15" hidden="false" customHeight="true" outlineLevel="0" collapsed="false">
      <c r="A111" s="19"/>
      <c r="B111" s="17"/>
      <c r="C111" s="11" t="str">
        <f aca="false">IF(B111="","",IFERROR(INDEX(Students!$B$4:$B$203,MATCH(B111,Students!$A$4:$A$203,0)),""))</f>
        <v/>
      </c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19"/>
    </row>
    <row r="112" customFormat="false" ht="15" hidden="false" customHeight="true" outlineLevel="0" collapsed="false">
      <c r="A112" s="19"/>
      <c r="B112" s="17"/>
      <c r="C112" s="11" t="str">
        <f aca="false">IF(B112="","",IFERROR(INDEX(Students!$B$4:$B$203,MATCH(B112,Students!$A$4:$A$203,0)),""))</f>
        <v/>
      </c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7"/>
      <c r="P112" s="19"/>
    </row>
    <row r="113" customFormat="false" ht="15" hidden="false" customHeight="true" outlineLevel="0" collapsed="false">
      <c r="A113" s="19"/>
      <c r="B113" s="17"/>
      <c r="C113" s="11" t="str">
        <f aca="false">IF(B113="","",IFERROR(INDEX(Students!$B$4:$B$203,MATCH(B113,Students!$A$4:$A$203,0)),""))</f>
        <v/>
      </c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7"/>
      <c r="P113" s="19"/>
    </row>
    <row r="114" customFormat="false" ht="15" hidden="false" customHeight="true" outlineLevel="0" collapsed="false">
      <c r="A114" s="19"/>
      <c r="B114" s="17"/>
      <c r="C114" s="11" t="str">
        <f aca="false">IF(B114="","",IFERROR(INDEX(Students!$B$4:$B$203,MATCH(B114,Students!$A$4:$A$203,0)),""))</f>
        <v/>
      </c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7"/>
      <c r="P114" s="19"/>
    </row>
    <row r="115" customFormat="false" ht="15" hidden="false" customHeight="true" outlineLevel="0" collapsed="false">
      <c r="A115" s="19"/>
      <c r="B115" s="17"/>
      <c r="C115" s="11" t="str">
        <f aca="false">IF(B115="","",IFERROR(INDEX(Students!$B$4:$B$203,MATCH(B115,Students!$A$4:$A$203,0)),""))</f>
        <v/>
      </c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7"/>
      <c r="P115" s="19"/>
    </row>
    <row r="116" customFormat="false" ht="15" hidden="false" customHeight="true" outlineLevel="0" collapsed="false">
      <c r="A116" s="19"/>
      <c r="B116" s="17"/>
      <c r="C116" s="11" t="str">
        <f aca="false">IF(B116="","",IFERROR(INDEX(Students!$B$4:$B$203,MATCH(B116,Students!$A$4:$A$203,0)),""))</f>
        <v/>
      </c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19"/>
    </row>
    <row r="117" customFormat="false" ht="15" hidden="false" customHeight="true" outlineLevel="0" collapsed="false">
      <c r="A117" s="19"/>
      <c r="B117" s="17"/>
      <c r="C117" s="11" t="str">
        <f aca="false">IF(B117="","",IFERROR(INDEX(Students!$B$4:$B$203,MATCH(B117,Students!$A$4:$A$203,0)),""))</f>
        <v/>
      </c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7"/>
      <c r="P117" s="19"/>
    </row>
    <row r="118" customFormat="false" ht="15" hidden="false" customHeight="true" outlineLevel="0" collapsed="false">
      <c r="A118" s="19"/>
      <c r="B118" s="17"/>
      <c r="C118" s="11" t="str">
        <f aca="false">IF(B118="","",IFERROR(INDEX(Students!$B$4:$B$203,MATCH(B118,Students!$A$4:$A$203,0)),""))</f>
        <v/>
      </c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7"/>
      <c r="P118" s="19"/>
    </row>
    <row r="119" customFormat="false" ht="15" hidden="false" customHeight="true" outlineLevel="0" collapsed="false">
      <c r="A119" s="19"/>
      <c r="B119" s="17"/>
      <c r="C119" s="11" t="str">
        <f aca="false">IF(B119="","",IFERROR(INDEX(Students!$B$4:$B$203,MATCH(B119,Students!$A$4:$A$203,0)),""))</f>
        <v/>
      </c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7"/>
      <c r="P119" s="19"/>
    </row>
    <row r="120" customFormat="false" ht="15" hidden="false" customHeight="true" outlineLevel="0" collapsed="false">
      <c r="A120" s="19"/>
      <c r="B120" s="17"/>
      <c r="C120" s="11" t="str">
        <f aca="false">IF(B120="","",IFERROR(INDEX(Students!$B$4:$B$203,MATCH(B120,Students!$A$4:$A$203,0)),""))</f>
        <v/>
      </c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7"/>
      <c r="P120" s="19"/>
    </row>
    <row r="121" customFormat="false" ht="15" hidden="false" customHeight="true" outlineLevel="0" collapsed="false">
      <c r="A121" s="19"/>
      <c r="B121" s="17"/>
      <c r="C121" s="11" t="str">
        <f aca="false">IF(B121="","",IFERROR(INDEX(Students!$B$4:$B$203,MATCH(B121,Students!$A$4:$A$203,0)),""))</f>
        <v/>
      </c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7"/>
      <c r="P121" s="19"/>
    </row>
    <row r="122" customFormat="false" ht="15" hidden="false" customHeight="true" outlineLevel="0" collapsed="false">
      <c r="A122" s="19"/>
      <c r="B122" s="17"/>
      <c r="C122" s="11" t="str">
        <f aca="false">IF(B122="","",IFERROR(INDEX(Students!$B$4:$B$203,MATCH(B122,Students!$A$4:$A$203,0)),""))</f>
        <v/>
      </c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19"/>
    </row>
    <row r="123" customFormat="false" ht="15" hidden="false" customHeight="true" outlineLevel="0" collapsed="false">
      <c r="A123" s="19"/>
      <c r="B123" s="17"/>
      <c r="C123" s="11" t="str">
        <f aca="false">IF(B123="","",IFERROR(INDEX(Students!$B$4:$B$203,MATCH(B123,Students!$A$4:$A$203,0)),""))</f>
        <v/>
      </c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19"/>
    </row>
    <row r="124" customFormat="false" ht="15" hidden="false" customHeight="true" outlineLevel="0" collapsed="false">
      <c r="A124" s="19"/>
      <c r="B124" s="17"/>
      <c r="C124" s="11" t="str">
        <f aca="false">IF(B124="","",IFERROR(INDEX(Students!$B$4:$B$203,MATCH(B124,Students!$A$4:$A$203,0)),""))</f>
        <v/>
      </c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19"/>
    </row>
    <row r="125" customFormat="false" ht="15" hidden="false" customHeight="true" outlineLevel="0" collapsed="false">
      <c r="A125" s="19"/>
      <c r="B125" s="17"/>
      <c r="C125" s="11" t="str">
        <f aca="false">IF(B125="","",IFERROR(INDEX(Students!$B$4:$B$203,MATCH(B125,Students!$A$4:$A$203,0)),""))</f>
        <v/>
      </c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7"/>
      <c r="P125" s="19"/>
    </row>
    <row r="126" customFormat="false" ht="15" hidden="false" customHeight="true" outlineLevel="0" collapsed="false">
      <c r="A126" s="19"/>
      <c r="B126" s="17"/>
      <c r="C126" s="11" t="str">
        <f aca="false">IF(B126="","",IFERROR(INDEX(Students!$B$4:$B$203,MATCH(B126,Students!$A$4:$A$203,0)),""))</f>
        <v/>
      </c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7"/>
      <c r="P126" s="19"/>
    </row>
    <row r="127" customFormat="false" ht="15" hidden="false" customHeight="true" outlineLevel="0" collapsed="false">
      <c r="A127" s="19"/>
      <c r="B127" s="17"/>
      <c r="C127" s="11" t="str">
        <f aca="false">IF(B127="","",IFERROR(INDEX(Students!$B$4:$B$203,MATCH(B127,Students!$A$4:$A$203,0)),""))</f>
        <v/>
      </c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7"/>
      <c r="P127" s="19"/>
    </row>
    <row r="128" customFormat="false" ht="15" hidden="false" customHeight="true" outlineLevel="0" collapsed="false">
      <c r="A128" s="19"/>
      <c r="B128" s="17"/>
      <c r="C128" s="11" t="str">
        <f aca="false">IF(B128="","",IFERROR(INDEX(Students!$B$4:$B$203,MATCH(B128,Students!$A$4:$A$203,0)),""))</f>
        <v/>
      </c>
      <c r="D128" s="17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7"/>
      <c r="P128" s="19"/>
    </row>
    <row r="129" customFormat="false" ht="15" hidden="false" customHeight="true" outlineLevel="0" collapsed="false">
      <c r="A129" s="19"/>
      <c r="B129" s="17"/>
      <c r="C129" s="11" t="str">
        <f aca="false">IF(B129="","",IFERROR(INDEX(Students!$B$4:$B$203,MATCH(B129,Students!$A$4:$A$203,0)),""))</f>
        <v/>
      </c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7"/>
      <c r="P129" s="19"/>
    </row>
    <row r="130" customFormat="false" ht="15" hidden="false" customHeight="true" outlineLevel="0" collapsed="false">
      <c r="A130" s="19"/>
      <c r="B130" s="17"/>
      <c r="C130" s="11" t="str">
        <f aca="false">IF(B130="","",IFERROR(INDEX(Students!$B$4:$B$203,MATCH(B130,Students!$A$4:$A$203,0)),""))</f>
        <v/>
      </c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7"/>
      <c r="P130" s="19"/>
    </row>
    <row r="131" customFormat="false" ht="15" hidden="false" customHeight="true" outlineLevel="0" collapsed="false">
      <c r="A131" s="19"/>
      <c r="B131" s="17"/>
      <c r="C131" s="11" t="str">
        <f aca="false">IF(B131="","",IFERROR(INDEX(Students!$B$4:$B$203,MATCH(B131,Students!$A$4:$A$203,0)),""))</f>
        <v/>
      </c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7"/>
      <c r="P131" s="19"/>
    </row>
    <row r="132" customFormat="false" ht="15" hidden="false" customHeight="true" outlineLevel="0" collapsed="false">
      <c r="A132" s="19"/>
      <c r="B132" s="17"/>
      <c r="C132" s="11" t="str">
        <f aca="false">IF(B132="","",IFERROR(INDEX(Students!$B$4:$B$203,MATCH(B132,Students!$A$4:$A$203,0)),""))</f>
        <v/>
      </c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7"/>
      <c r="P132" s="19"/>
    </row>
    <row r="133" customFormat="false" ht="15" hidden="false" customHeight="true" outlineLevel="0" collapsed="false">
      <c r="A133" s="19"/>
      <c r="B133" s="17"/>
      <c r="C133" s="11" t="str">
        <f aca="false">IF(B133="","",IFERROR(INDEX(Students!$B$4:$B$203,MATCH(B133,Students!$A$4:$A$203,0)),""))</f>
        <v/>
      </c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19"/>
    </row>
    <row r="134" customFormat="false" ht="15" hidden="false" customHeight="true" outlineLevel="0" collapsed="false">
      <c r="A134" s="19"/>
      <c r="B134" s="17"/>
      <c r="C134" s="11" t="str">
        <f aca="false">IF(B134="","",IFERROR(INDEX(Students!$B$4:$B$203,MATCH(B134,Students!$A$4:$A$203,0)),""))</f>
        <v/>
      </c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19"/>
    </row>
    <row r="135" customFormat="false" ht="15" hidden="false" customHeight="true" outlineLevel="0" collapsed="false">
      <c r="A135" s="19"/>
      <c r="B135" s="17"/>
      <c r="C135" s="11" t="str">
        <f aca="false">IF(B135="","",IFERROR(INDEX(Students!$B$4:$B$203,MATCH(B135,Students!$A$4:$A$203,0)),""))</f>
        <v/>
      </c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7"/>
      <c r="P135" s="19"/>
    </row>
    <row r="136" customFormat="false" ht="15" hidden="false" customHeight="true" outlineLevel="0" collapsed="false">
      <c r="A136" s="19"/>
      <c r="B136" s="17"/>
      <c r="C136" s="11" t="str">
        <f aca="false">IF(B136="","",IFERROR(INDEX(Students!$B$4:$B$203,MATCH(B136,Students!$A$4:$A$203,0)),""))</f>
        <v/>
      </c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7"/>
      <c r="P136" s="19"/>
    </row>
    <row r="137" customFormat="false" ht="15" hidden="false" customHeight="true" outlineLevel="0" collapsed="false">
      <c r="A137" s="19"/>
      <c r="B137" s="17"/>
      <c r="C137" s="11" t="str">
        <f aca="false">IF(B137="","",IFERROR(INDEX(Students!$B$4:$B$203,MATCH(B137,Students!$A$4:$A$203,0)),""))</f>
        <v/>
      </c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7"/>
      <c r="P137" s="19"/>
    </row>
    <row r="138" customFormat="false" ht="15" hidden="false" customHeight="true" outlineLevel="0" collapsed="false">
      <c r="A138" s="19"/>
      <c r="B138" s="17"/>
      <c r="C138" s="11" t="str">
        <f aca="false">IF(B138="","",IFERROR(INDEX(Students!$B$4:$B$203,MATCH(B138,Students!$A$4:$A$203,0)),""))</f>
        <v/>
      </c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/>
      <c r="P138" s="19"/>
    </row>
    <row r="139" customFormat="false" ht="15" hidden="false" customHeight="true" outlineLevel="0" collapsed="false">
      <c r="A139" s="19"/>
      <c r="B139" s="17"/>
      <c r="C139" s="11" t="str">
        <f aca="false">IF(B139="","",IFERROR(INDEX(Students!$B$4:$B$203,MATCH(B139,Students!$A$4:$A$203,0)),""))</f>
        <v/>
      </c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7"/>
      <c r="P139" s="19"/>
    </row>
    <row r="140" customFormat="false" ht="15" hidden="false" customHeight="true" outlineLevel="0" collapsed="false">
      <c r="A140" s="19"/>
      <c r="B140" s="17"/>
      <c r="C140" s="11" t="str">
        <f aca="false">IF(B140="","",IFERROR(INDEX(Students!$B$4:$B$203,MATCH(B140,Students!$A$4:$A$203,0)),""))</f>
        <v/>
      </c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7"/>
      <c r="P140" s="19"/>
    </row>
    <row r="141" customFormat="false" ht="15" hidden="false" customHeight="true" outlineLevel="0" collapsed="false">
      <c r="A141" s="19"/>
      <c r="B141" s="17"/>
      <c r="C141" s="11" t="str">
        <f aca="false">IF(B141="","",IFERROR(INDEX(Students!$B$4:$B$203,MATCH(B141,Students!$A$4:$A$203,0)),""))</f>
        <v/>
      </c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7"/>
      <c r="P141" s="19"/>
    </row>
    <row r="142" customFormat="false" ht="15" hidden="false" customHeight="true" outlineLevel="0" collapsed="false">
      <c r="A142" s="19"/>
      <c r="B142" s="17"/>
      <c r="C142" s="11" t="str">
        <f aca="false">IF(B142="","",IFERROR(INDEX(Students!$B$4:$B$203,MATCH(B142,Students!$A$4:$A$203,0)),""))</f>
        <v/>
      </c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7"/>
      <c r="P142" s="19"/>
    </row>
    <row r="143" customFormat="false" ht="15" hidden="false" customHeight="true" outlineLevel="0" collapsed="false">
      <c r="A143" s="19"/>
      <c r="B143" s="17"/>
      <c r="C143" s="11" t="str">
        <f aca="false">IF(B143="","",IFERROR(INDEX(Students!$B$4:$B$203,MATCH(B143,Students!$A$4:$A$203,0)),""))</f>
        <v/>
      </c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7"/>
      <c r="P143" s="19"/>
    </row>
    <row r="144" customFormat="false" ht="15" hidden="false" customHeight="true" outlineLevel="0" collapsed="false">
      <c r="A144" s="19"/>
      <c r="B144" s="17"/>
      <c r="C144" s="11" t="str">
        <f aca="false">IF(B144="","",IFERROR(INDEX(Students!$B$4:$B$203,MATCH(B144,Students!$A$4:$A$203,0)),""))</f>
        <v/>
      </c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7"/>
      <c r="P144" s="19"/>
    </row>
    <row r="145" customFormat="false" ht="15" hidden="false" customHeight="true" outlineLevel="0" collapsed="false">
      <c r="A145" s="19"/>
      <c r="B145" s="17"/>
      <c r="C145" s="11" t="str">
        <f aca="false">IF(B145="","",IFERROR(INDEX(Students!$B$4:$B$203,MATCH(B145,Students!$A$4:$A$203,0)),""))</f>
        <v/>
      </c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7"/>
      <c r="P145" s="19"/>
    </row>
    <row r="146" customFormat="false" ht="15" hidden="false" customHeight="true" outlineLevel="0" collapsed="false">
      <c r="A146" s="19"/>
      <c r="B146" s="17"/>
      <c r="C146" s="11" t="str">
        <f aca="false">IF(B146="","",IFERROR(INDEX(Students!$B$4:$B$203,MATCH(B146,Students!$A$4:$A$203,0)),""))</f>
        <v/>
      </c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19"/>
    </row>
    <row r="147" customFormat="false" ht="15" hidden="false" customHeight="true" outlineLevel="0" collapsed="false">
      <c r="A147" s="19"/>
      <c r="B147" s="17"/>
      <c r="C147" s="11" t="str">
        <f aca="false">IF(B147="","",IFERROR(INDEX(Students!$B$4:$B$203,MATCH(B147,Students!$A$4:$A$203,0)),""))</f>
        <v/>
      </c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7"/>
      <c r="P147" s="19"/>
    </row>
    <row r="148" customFormat="false" ht="15" hidden="false" customHeight="true" outlineLevel="0" collapsed="false">
      <c r="A148" s="19"/>
      <c r="B148" s="17"/>
      <c r="C148" s="11" t="str">
        <f aca="false">IF(B148="","",IFERROR(INDEX(Students!$B$4:$B$203,MATCH(B148,Students!$A$4:$A$203,0)),""))</f>
        <v/>
      </c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7"/>
      <c r="P148" s="19"/>
    </row>
    <row r="149" customFormat="false" ht="15" hidden="false" customHeight="true" outlineLevel="0" collapsed="false">
      <c r="A149" s="19"/>
      <c r="B149" s="17"/>
      <c r="C149" s="11" t="str">
        <f aca="false">IF(B149="","",IFERROR(INDEX(Students!$B$4:$B$203,MATCH(B149,Students!$A$4:$A$203,0)),""))</f>
        <v/>
      </c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7"/>
      <c r="P149" s="19"/>
    </row>
    <row r="150" customFormat="false" ht="15" hidden="false" customHeight="true" outlineLevel="0" collapsed="false">
      <c r="A150" s="19"/>
      <c r="B150" s="17"/>
      <c r="C150" s="11" t="str">
        <f aca="false">IF(B150="","",IFERROR(INDEX(Students!$B$4:$B$203,MATCH(B150,Students!$A$4:$A$203,0)),""))</f>
        <v/>
      </c>
      <c r="D150" s="17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19"/>
    </row>
    <row r="151" customFormat="false" ht="15" hidden="false" customHeight="true" outlineLevel="0" collapsed="false">
      <c r="A151" s="19"/>
      <c r="B151" s="17"/>
      <c r="C151" s="11" t="str">
        <f aca="false">IF(B151="","",IFERROR(INDEX(Students!$B$4:$B$203,MATCH(B151,Students!$A$4:$A$203,0)),""))</f>
        <v/>
      </c>
      <c r="D151" s="17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7"/>
      <c r="P151" s="19"/>
    </row>
    <row r="152" customFormat="false" ht="15" hidden="false" customHeight="true" outlineLevel="0" collapsed="false">
      <c r="A152" s="19"/>
      <c r="B152" s="17"/>
      <c r="C152" s="11" t="str">
        <f aca="false">IF(B152="","",IFERROR(INDEX(Students!$B$4:$B$203,MATCH(B152,Students!$A$4:$A$203,0)),""))</f>
        <v/>
      </c>
      <c r="D152" s="17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7"/>
      <c r="P152" s="19"/>
    </row>
    <row r="153" customFormat="false" ht="15" hidden="false" customHeight="true" outlineLevel="0" collapsed="false">
      <c r="A153" s="19"/>
      <c r="B153" s="17"/>
      <c r="C153" s="11" t="str">
        <f aca="false">IF(B153="","",IFERROR(INDEX(Students!$B$4:$B$203,MATCH(B153,Students!$A$4:$A$203,0)),""))</f>
        <v/>
      </c>
      <c r="D153" s="17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7"/>
      <c r="P153" s="19"/>
    </row>
    <row r="154" customFormat="false" ht="15" hidden="false" customHeight="true" outlineLevel="0" collapsed="false">
      <c r="A154" s="19"/>
      <c r="B154" s="17"/>
      <c r="C154" s="11" t="str">
        <f aca="false">IF(B154="","",IFERROR(INDEX(Students!$B$4:$B$203,MATCH(B154,Students!$A$4:$A$203,0)),""))</f>
        <v/>
      </c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7"/>
      <c r="P154" s="19"/>
    </row>
    <row r="155" customFormat="false" ht="15" hidden="false" customHeight="true" outlineLevel="0" collapsed="false">
      <c r="A155" s="19"/>
      <c r="B155" s="17"/>
      <c r="C155" s="11" t="str">
        <f aca="false">IF(B155="","",IFERROR(INDEX(Students!$B$4:$B$203,MATCH(B155,Students!$A$4:$A$203,0)),""))</f>
        <v/>
      </c>
      <c r="D155" s="1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7"/>
      <c r="P155" s="19"/>
    </row>
    <row r="156" customFormat="false" ht="15" hidden="false" customHeight="true" outlineLevel="0" collapsed="false">
      <c r="A156" s="19"/>
      <c r="B156" s="17"/>
      <c r="C156" s="11" t="str">
        <f aca="false">IF(B156="","",IFERROR(INDEX(Students!$B$4:$B$203,MATCH(B156,Students!$A$4:$A$203,0)),""))</f>
        <v/>
      </c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7"/>
      <c r="P156" s="19"/>
    </row>
    <row r="157" customFormat="false" ht="15" hidden="false" customHeight="true" outlineLevel="0" collapsed="false">
      <c r="A157" s="19"/>
      <c r="B157" s="17"/>
      <c r="C157" s="11" t="str">
        <f aca="false">IF(B157="","",IFERROR(INDEX(Students!$B$4:$B$203,MATCH(B157,Students!$A$4:$A$203,0)),""))</f>
        <v/>
      </c>
      <c r="D157" s="17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7"/>
      <c r="P157" s="19"/>
    </row>
    <row r="158" customFormat="false" ht="15" hidden="false" customHeight="true" outlineLevel="0" collapsed="false">
      <c r="A158" s="19"/>
      <c r="B158" s="17"/>
      <c r="C158" s="11" t="str">
        <f aca="false">IF(B158="","",IFERROR(INDEX(Students!$B$4:$B$203,MATCH(B158,Students!$A$4:$A$203,0)),""))</f>
        <v/>
      </c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19"/>
    </row>
    <row r="159" customFormat="false" ht="15" hidden="false" customHeight="true" outlineLevel="0" collapsed="false">
      <c r="A159" s="19"/>
      <c r="B159" s="17"/>
      <c r="C159" s="11" t="str">
        <f aca="false">IF(B159="","",IFERROR(INDEX(Students!$B$4:$B$203,MATCH(B159,Students!$A$4:$A$203,0)),""))</f>
        <v/>
      </c>
      <c r="D159" s="1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7"/>
      <c r="P159" s="19"/>
    </row>
    <row r="160" customFormat="false" ht="15" hidden="false" customHeight="true" outlineLevel="0" collapsed="false">
      <c r="A160" s="19"/>
      <c r="B160" s="17"/>
      <c r="C160" s="11" t="str">
        <f aca="false">IF(B160="","",IFERROR(INDEX(Students!$B$4:$B$203,MATCH(B160,Students!$A$4:$A$203,0)),""))</f>
        <v/>
      </c>
      <c r="D160" s="17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7"/>
      <c r="P160" s="19"/>
    </row>
    <row r="161" customFormat="false" ht="15" hidden="false" customHeight="true" outlineLevel="0" collapsed="false">
      <c r="A161" s="19"/>
      <c r="B161" s="17"/>
      <c r="C161" s="11" t="str">
        <f aca="false">IF(B161="","",IFERROR(INDEX(Students!$B$4:$B$203,MATCH(B161,Students!$A$4:$A$203,0)),""))</f>
        <v/>
      </c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19"/>
    </row>
    <row r="162" customFormat="false" ht="15" hidden="false" customHeight="true" outlineLevel="0" collapsed="false">
      <c r="A162" s="19"/>
      <c r="B162" s="17"/>
      <c r="C162" s="11" t="str">
        <f aca="false">IF(B162="","",IFERROR(INDEX(Students!$B$4:$B$203,MATCH(B162,Students!$A$4:$A$203,0)),""))</f>
        <v/>
      </c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7"/>
      <c r="P162" s="19"/>
    </row>
    <row r="163" customFormat="false" ht="15" hidden="false" customHeight="true" outlineLevel="0" collapsed="false">
      <c r="A163" s="19"/>
      <c r="B163" s="17"/>
      <c r="C163" s="11" t="str">
        <f aca="false">IF(B163="","",IFERROR(INDEX(Students!$B$4:$B$203,MATCH(B163,Students!$A$4:$A$203,0)),""))</f>
        <v/>
      </c>
      <c r="D163" s="17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19"/>
    </row>
    <row r="164" customFormat="false" ht="15" hidden="false" customHeight="true" outlineLevel="0" collapsed="false">
      <c r="A164" s="19"/>
      <c r="B164" s="17"/>
      <c r="C164" s="11" t="str">
        <f aca="false">IF(B164="","",IFERROR(INDEX(Students!$B$4:$B$203,MATCH(B164,Students!$A$4:$A$203,0)),""))</f>
        <v/>
      </c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7"/>
      <c r="P164" s="19"/>
    </row>
    <row r="165" customFormat="false" ht="15" hidden="false" customHeight="true" outlineLevel="0" collapsed="false">
      <c r="A165" s="19"/>
      <c r="B165" s="17"/>
      <c r="C165" s="11" t="str">
        <f aca="false">IF(B165="","",IFERROR(INDEX(Students!$B$4:$B$203,MATCH(B165,Students!$A$4:$A$203,0)),""))</f>
        <v/>
      </c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19"/>
    </row>
    <row r="166" customFormat="false" ht="15" hidden="false" customHeight="true" outlineLevel="0" collapsed="false">
      <c r="A166" s="19"/>
      <c r="B166" s="17"/>
      <c r="C166" s="11" t="str">
        <f aca="false">IF(B166="","",IFERROR(INDEX(Students!$B$4:$B$203,MATCH(B166,Students!$A$4:$A$203,0)),""))</f>
        <v/>
      </c>
      <c r="D166" s="17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19"/>
    </row>
    <row r="167" customFormat="false" ht="15" hidden="false" customHeight="true" outlineLevel="0" collapsed="false">
      <c r="A167" s="19"/>
      <c r="B167" s="17"/>
      <c r="C167" s="11" t="str">
        <f aca="false">IF(B167="","",IFERROR(INDEX(Students!$B$4:$B$203,MATCH(B167,Students!$A$4:$A$203,0)),""))</f>
        <v/>
      </c>
      <c r="D167" s="17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19"/>
    </row>
    <row r="168" customFormat="false" ht="15" hidden="false" customHeight="true" outlineLevel="0" collapsed="false">
      <c r="A168" s="19"/>
      <c r="B168" s="17"/>
      <c r="C168" s="11" t="str">
        <f aca="false">IF(B168="","",IFERROR(INDEX(Students!$B$4:$B$203,MATCH(B168,Students!$A$4:$A$203,0)),""))</f>
        <v/>
      </c>
      <c r="D168" s="17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7"/>
      <c r="P168" s="19"/>
    </row>
    <row r="169" customFormat="false" ht="15" hidden="false" customHeight="true" outlineLevel="0" collapsed="false">
      <c r="A169" s="19"/>
      <c r="B169" s="17"/>
      <c r="C169" s="11" t="str">
        <f aca="false">IF(B169="","",IFERROR(INDEX(Students!$B$4:$B$203,MATCH(B169,Students!$A$4:$A$203,0)),""))</f>
        <v/>
      </c>
      <c r="D169" s="17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7"/>
      <c r="P169" s="19"/>
    </row>
    <row r="170" customFormat="false" ht="15" hidden="false" customHeight="true" outlineLevel="0" collapsed="false">
      <c r="A170" s="19"/>
      <c r="B170" s="17"/>
      <c r="C170" s="11" t="str">
        <f aca="false">IF(B170="","",IFERROR(INDEX(Students!$B$4:$B$203,MATCH(B170,Students!$A$4:$A$203,0)),""))</f>
        <v/>
      </c>
      <c r="D170" s="17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19"/>
    </row>
    <row r="171" customFormat="false" ht="15" hidden="false" customHeight="true" outlineLevel="0" collapsed="false">
      <c r="A171" s="19"/>
      <c r="B171" s="17"/>
      <c r="C171" s="11" t="str">
        <f aca="false">IF(B171="","",IFERROR(INDEX(Students!$B$4:$B$203,MATCH(B171,Students!$A$4:$A$203,0)),""))</f>
        <v/>
      </c>
      <c r="D171" s="17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19"/>
    </row>
    <row r="172" customFormat="false" ht="15" hidden="false" customHeight="true" outlineLevel="0" collapsed="false">
      <c r="A172" s="19"/>
      <c r="B172" s="17"/>
      <c r="C172" s="11" t="str">
        <f aca="false">IF(B172="","",IFERROR(INDEX(Students!$B$4:$B$203,MATCH(B172,Students!$A$4:$A$203,0)),""))</f>
        <v/>
      </c>
      <c r="D172" s="17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19"/>
    </row>
    <row r="173" customFormat="false" ht="15" hidden="false" customHeight="true" outlineLevel="0" collapsed="false">
      <c r="A173" s="19"/>
      <c r="B173" s="17"/>
      <c r="C173" s="11" t="str">
        <f aca="false">IF(B173="","",IFERROR(INDEX(Students!$B$4:$B$203,MATCH(B173,Students!$A$4:$A$203,0)),""))</f>
        <v/>
      </c>
      <c r="D173" s="17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19"/>
    </row>
    <row r="174" customFormat="false" ht="15" hidden="false" customHeight="true" outlineLevel="0" collapsed="false">
      <c r="A174" s="19"/>
      <c r="B174" s="17"/>
      <c r="C174" s="11" t="str">
        <f aca="false">IF(B174="","",IFERROR(INDEX(Students!$B$4:$B$203,MATCH(B174,Students!$A$4:$A$203,0)),""))</f>
        <v/>
      </c>
      <c r="D174" s="17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7"/>
      <c r="P174" s="19"/>
    </row>
    <row r="175" customFormat="false" ht="15" hidden="false" customHeight="true" outlineLevel="0" collapsed="false">
      <c r="A175" s="19"/>
      <c r="B175" s="17"/>
      <c r="C175" s="11" t="str">
        <f aca="false">IF(B175="","",IFERROR(INDEX(Students!$B$4:$B$203,MATCH(B175,Students!$A$4:$A$203,0)),""))</f>
        <v/>
      </c>
      <c r="D175" s="17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19"/>
    </row>
    <row r="176" customFormat="false" ht="15" hidden="false" customHeight="true" outlineLevel="0" collapsed="false">
      <c r="A176" s="19"/>
      <c r="B176" s="17"/>
      <c r="C176" s="11" t="str">
        <f aca="false">IF(B176="","",IFERROR(INDEX(Students!$B$4:$B$203,MATCH(B176,Students!$A$4:$A$203,0)),""))</f>
        <v/>
      </c>
      <c r="D176" s="17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7"/>
      <c r="P176" s="19"/>
    </row>
    <row r="177" customFormat="false" ht="15" hidden="false" customHeight="true" outlineLevel="0" collapsed="false">
      <c r="A177" s="19"/>
      <c r="B177" s="17"/>
      <c r="C177" s="11" t="str">
        <f aca="false">IF(B177="","",IFERROR(INDEX(Students!$B$4:$B$203,MATCH(B177,Students!$A$4:$A$203,0)),""))</f>
        <v/>
      </c>
      <c r="D177" s="17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7"/>
      <c r="P177" s="19"/>
    </row>
    <row r="178" customFormat="false" ht="15" hidden="false" customHeight="true" outlineLevel="0" collapsed="false">
      <c r="A178" s="19"/>
      <c r="B178" s="17"/>
      <c r="C178" s="11" t="str">
        <f aca="false">IF(B178="","",IFERROR(INDEX(Students!$B$4:$B$203,MATCH(B178,Students!$A$4:$A$203,0)),""))</f>
        <v/>
      </c>
      <c r="D178" s="17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19"/>
    </row>
    <row r="179" customFormat="false" ht="15" hidden="false" customHeight="true" outlineLevel="0" collapsed="false">
      <c r="A179" s="19"/>
      <c r="B179" s="17"/>
      <c r="C179" s="11" t="str">
        <f aca="false">IF(B179="","",IFERROR(INDEX(Students!$B$4:$B$203,MATCH(B179,Students!$A$4:$A$203,0)),""))</f>
        <v/>
      </c>
      <c r="D179" s="17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7"/>
      <c r="P179" s="19"/>
    </row>
    <row r="180" customFormat="false" ht="15" hidden="false" customHeight="true" outlineLevel="0" collapsed="false">
      <c r="A180" s="19"/>
      <c r="B180" s="17"/>
      <c r="C180" s="11" t="str">
        <f aca="false">IF(B180="","",IFERROR(INDEX(Students!$B$4:$B$203,MATCH(B180,Students!$A$4:$A$203,0)),""))</f>
        <v/>
      </c>
      <c r="D180" s="17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7"/>
      <c r="P180" s="19"/>
    </row>
    <row r="181" customFormat="false" ht="15" hidden="false" customHeight="true" outlineLevel="0" collapsed="false">
      <c r="A181" s="19"/>
      <c r="B181" s="17"/>
      <c r="C181" s="11" t="str">
        <f aca="false">IF(B181="","",IFERROR(INDEX(Students!$B$4:$B$203,MATCH(B181,Students!$A$4:$A$203,0)),""))</f>
        <v/>
      </c>
      <c r="D181" s="17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19"/>
    </row>
    <row r="182" customFormat="false" ht="15" hidden="false" customHeight="true" outlineLevel="0" collapsed="false">
      <c r="A182" s="19"/>
      <c r="B182" s="17"/>
      <c r="C182" s="11" t="str">
        <f aca="false">IF(B182="","",IFERROR(INDEX(Students!$B$4:$B$203,MATCH(B182,Students!$A$4:$A$203,0)),""))</f>
        <v/>
      </c>
      <c r="D182" s="17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19"/>
    </row>
    <row r="183" customFormat="false" ht="15" hidden="false" customHeight="true" outlineLevel="0" collapsed="false">
      <c r="A183" s="19"/>
      <c r="B183" s="17"/>
      <c r="C183" s="11" t="str">
        <f aca="false">IF(B183="","",IFERROR(INDEX(Students!$B$4:$B$203,MATCH(B183,Students!$A$4:$A$203,0)),""))</f>
        <v/>
      </c>
      <c r="D183" s="17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7"/>
      <c r="P183" s="19"/>
    </row>
    <row r="184" customFormat="false" ht="15" hidden="false" customHeight="true" outlineLevel="0" collapsed="false">
      <c r="A184" s="19"/>
      <c r="B184" s="17"/>
      <c r="C184" s="11" t="str">
        <f aca="false">IF(B184="","",IFERROR(INDEX(Students!$B$4:$B$203,MATCH(B184,Students!$A$4:$A$203,0)),""))</f>
        <v/>
      </c>
      <c r="D184" s="1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7"/>
      <c r="P184" s="19"/>
    </row>
    <row r="185" customFormat="false" ht="15" hidden="false" customHeight="true" outlineLevel="0" collapsed="false">
      <c r="A185" s="19"/>
      <c r="B185" s="17"/>
      <c r="C185" s="11" t="str">
        <f aca="false">IF(B185="","",IFERROR(INDEX(Students!$B$4:$B$203,MATCH(B185,Students!$A$4:$A$203,0)),""))</f>
        <v/>
      </c>
      <c r="D185" s="17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19"/>
    </row>
    <row r="186" customFormat="false" ht="15" hidden="false" customHeight="true" outlineLevel="0" collapsed="false">
      <c r="A186" s="19"/>
      <c r="B186" s="17"/>
      <c r="C186" s="11" t="str">
        <f aca="false">IF(B186="","",IFERROR(INDEX(Students!$B$4:$B$203,MATCH(B186,Students!$A$4:$A$203,0)),""))</f>
        <v/>
      </c>
      <c r="D186" s="1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19"/>
    </row>
    <row r="187" customFormat="false" ht="15" hidden="false" customHeight="true" outlineLevel="0" collapsed="false">
      <c r="A187" s="19"/>
      <c r="B187" s="17"/>
      <c r="C187" s="11" t="str">
        <f aca="false">IF(B187="","",IFERROR(INDEX(Students!$B$4:$B$203,MATCH(B187,Students!$A$4:$A$203,0)),""))</f>
        <v/>
      </c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19"/>
    </row>
    <row r="188" customFormat="false" ht="15" hidden="false" customHeight="true" outlineLevel="0" collapsed="false">
      <c r="A188" s="19"/>
      <c r="B188" s="17"/>
      <c r="C188" s="11" t="str">
        <f aca="false">IF(B188="","",IFERROR(INDEX(Students!$B$4:$B$203,MATCH(B188,Students!$A$4:$A$203,0)),""))</f>
        <v/>
      </c>
      <c r="D188" s="1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19"/>
    </row>
    <row r="189" customFormat="false" ht="15" hidden="false" customHeight="true" outlineLevel="0" collapsed="false">
      <c r="A189" s="19"/>
      <c r="B189" s="17"/>
      <c r="C189" s="11" t="str">
        <f aca="false">IF(B189="","",IFERROR(INDEX(Students!$B$4:$B$203,MATCH(B189,Students!$A$4:$A$203,0)),""))</f>
        <v/>
      </c>
      <c r="D189" s="1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7"/>
      <c r="P189" s="19"/>
    </row>
    <row r="190" customFormat="false" ht="15" hidden="false" customHeight="true" outlineLevel="0" collapsed="false">
      <c r="A190" s="19"/>
      <c r="B190" s="17"/>
      <c r="C190" s="11" t="str">
        <f aca="false">IF(B190="","",IFERROR(INDEX(Students!$B$4:$B$203,MATCH(B190,Students!$A$4:$A$203,0)),""))</f>
        <v/>
      </c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19"/>
    </row>
    <row r="191" customFormat="false" ht="15" hidden="false" customHeight="true" outlineLevel="0" collapsed="false">
      <c r="A191" s="19"/>
      <c r="B191" s="17"/>
      <c r="C191" s="11" t="str">
        <f aca="false">IF(B191="","",IFERROR(INDEX(Students!$B$4:$B$203,MATCH(B191,Students!$A$4:$A$203,0)),""))</f>
        <v/>
      </c>
      <c r="D191" s="1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19"/>
    </row>
    <row r="192" customFormat="false" ht="15" hidden="false" customHeight="true" outlineLevel="0" collapsed="false">
      <c r="A192" s="19"/>
      <c r="B192" s="17"/>
      <c r="C192" s="11" t="str">
        <f aca="false">IF(B192="","",IFERROR(INDEX(Students!$B$4:$B$203,MATCH(B192,Students!$A$4:$A$203,0)),""))</f>
        <v/>
      </c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19"/>
    </row>
    <row r="193" customFormat="false" ht="15" hidden="false" customHeight="true" outlineLevel="0" collapsed="false">
      <c r="A193" s="19"/>
      <c r="B193" s="17"/>
      <c r="C193" s="11" t="str">
        <f aca="false">IF(B193="","",IFERROR(INDEX(Students!$B$4:$B$203,MATCH(B193,Students!$A$4:$A$203,0)),""))</f>
        <v/>
      </c>
      <c r="D193" s="1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19"/>
    </row>
    <row r="194" customFormat="false" ht="15" hidden="false" customHeight="true" outlineLevel="0" collapsed="false">
      <c r="A194" s="19"/>
      <c r="B194" s="17"/>
      <c r="C194" s="11" t="str">
        <f aca="false">IF(B194="","",IFERROR(INDEX(Students!$B$4:$B$203,MATCH(B194,Students!$A$4:$A$203,0)),""))</f>
        <v/>
      </c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7"/>
      <c r="P194" s="19"/>
    </row>
    <row r="195" customFormat="false" ht="15" hidden="false" customHeight="true" outlineLevel="0" collapsed="false">
      <c r="A195" s="19"/>
      <c r="B195" s="17"/>
      <c r="C195" s="11" t="str">
        <f aca="false">IF(B195="","",IFERROR(INDEX(Students!$B$4:$B$203,MATCH(B195,Students!$A$4:$A$203,0)),""))</f>
        <v/>
      </c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7"/>
      <c r="P195" s="19"/>
    </row>
    <row r="196" customFormat="false" ht="15" hidden="false" customHeight="true" outlineLevel="0" collapsed="false">
      <c r="A196" s="19"/>
      <c r="B196" s="17"/>
      <c r="C196" s="11" t="str">
        <f aca="false">IF(B196="","",IFERROR(INDEX(Students!$B$4:$B$203,MATCH(B196,Students!$A$4:$A$203,0)),""))</f>
        <v/>
      </c>
      <c r="D196" s="1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7"/>
      <c r="P196" s="19"/>
    </row>
    <row r="197" customFormat="false" ht="15" hidden="false" customHeight="true" outlineLevel="0" collapsed="false">
      <c r="A197" s="19"/>
      <c r="B197" s="17"/>
      <c r="C197" s="11" t="str">
        <f aca="false">IF(B197="","",IFERROR(INDEX(Students!$B$4:$B$203,MATCH(B197,Students!$A$4:$A$203,0)),""))</f>
        <v/>
      </c>
      <c r="D197" s="1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7"/>
      <c r="P197" s="19"/>
    </row>
    <row r="198" customFormat="false" ht="15" hidden="false" customHeight="true" outlineLevel="0" collapsed="false">
      <c r="A198" s="19"/>
      <c r="B198" s="17"/>
      <c r="C198" s="11" t="str">
        <f aca="false">IF(B198="","",IFERROR(INDEX(Students!$B$4:$B$203,MATCH(B198,Students!$A$4:$A$203,0)),""))</f>
        <v/>
      </c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19"/>
    </row>
    <row r="199" customFormat="false" ht="15" hidden="false" customHeight="true" outlineLevel="0" collapsed="false">
      <c r="A199" s="19"/>
      <c r="B199" s="17"/>
      <c r="C199" s="11" t="str">
        <f aca="false">IF(B199="","",IFERROR(INDEX(Students!$B$4:$B$203,MATCH(B199,Students!$A$4:$A$203,0)),""))</f>
        <v/>
      </c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7"/>
      <c r="P199" s="19"/>
    </row>
    <row r="200" customFormat="false" ht="15" hidden="false" customHeight="true" outlineLevel="0" collapsed="false">
      <c r="A200" s="19"/>
      <c r="B200" s="17"/>
      <c r="C200" s="11" t="str">
        <f aca="false">IF(B200="","",IFERROR(INDEX(Students!$B$4:$B$203,MATCH(B200,Students!$A$4:$A$203,0)),""))</f>
        <v/>
      </c>
      <c r="D200" s="1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7"/>
      <c r="P200" s="19"/>
    </row>
    <row r="201" customFormat="false" ht="15" hidden="false" customHeight="true" outlineLevel="0" collapsed="false">
      <c r="A201" s="19"/>
      <c r="B201" s="17"/>
      <c r="C201" s="11" t="str">
        <f aca="false">IF(B201="","",IFERROR(INDEX(Students!$B$4:$B$203,MATCH(B201,Students!$A$4:$A$203,0)),""))</f>
        <v/>
      </c>
      <c r="D201" s="17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7"/>
      <c r="P201" s="19"/>
    </row>
    <row r="202" customFormat="false" ht="15" hidden="false" customHeight="true" outlineLevel="0" collapsed="false">
      <c r="A202" s="19"/>
      <c r="B202" s="17"/>
      <c r="C202" s="11" t="str">
        <f aca="false">IF(B202="","",IFERROR(INDEX(Students!$B$4:$B$203,MATCH(B202,Students!$A$4:$A$203,0)),""))</f>
        <v/>
      </c>
      <c r="D202" s="17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19"/>
    </row>
    <row r="203" customFormat="false" ht="15" hidden="false" customHeight="true" outlineLevel="0" collapsed="false">
      <c r="A203" s="19"/>
      <c r="B203" s="17"/>
      <c r="C203" s="11" t="str">
        <f aca="false">IF(B203="","",IFERROR(INDEX(Students!$B$4:$B$203,MATCH(B203,Students!$A$4:$A$203,0)),""))</f>
        <v/>
      </c>
      <c r="D203" s="17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7"/>
      <c r="P203" s="19"/>
    </row>
    <row r="204" customFormat="false" ht="15" hidden="false" customHeight="true" outlineLevel="0" collapsed="false">
      <c r="A204" s="19"/>
      <c r="B204" s="17"/>
      <c r="C204" s="11" t="str">
        <f aca="false">IF(B204="","",IFERROR(INDEX(Students!$B$4:$B$203,MATCH(B204,Students!$A$4:$A$203,0)),""))</f>
        <v/>
      </c>
      <c r="D204" s="1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19"/>
    </row>
    <row r="205" customFormat="false" ht="15" hidden="false" customHeight="true" outlineLevel="0" collapsed="false">
      <c r="A205" s="19"/>
      <c r="B205" s="17"/>
      <c r="C205" s="11" t="str">
        <f aca="false">IF(B205="","",IFERROR(INDEX(Students!$B$4:$B$203,MATCH(B205,Students!$A$4:$A$203,0)),""))</f>
        <v/>
      </c>
      <c r="D205" s="17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7"/>
      <c r="P205" s="19"/>
    </row>
    <row r="206" customFormat="false" ht="15" hidden="false" customHeight="true" outlineLevel="0" collapsed="false">
      <c r="A206" s="19"/>
      <c r="B206" s="17"/>
      <c r="C206" s="11" t="str">
        <f aca="false">IF(B206="","",IFERROR(INDEX(Students!$B$4:$B$203,MATCH(B206,Students!$A$4:$A$203,0)),""))</f>
        <v/>
      </c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7"/>
      <c r="P206" s="19"/>
    </row>
    <row r="207" customFormat="false" ht="15" hidden="false" customHeight="true" outlineLevel="0" collapsed="false">
      <c r="A207" s="19"/>
      <c r="B207" s="17"/>
      <c r="C207" s="11" t="str">
        <f aca="false">IF(B207="","",IFERROR(INDEX(Students!$B$4:$B$203,MATCH(B207,Students!$A$4:$A$203,0)),""))</f>
        <v/>
      </c>
      <c r="D207" s="1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7"/>
      <c r="P207" s="19"/>
    </row>
    <row r="208" customFormat="false" ht="15" hidden="false" customHeight="true" outlineLevel="0" collapsed="false">
      <c r="A208" s="19"/>
      <c r="B208" s="17"/>
      <c r="C208" s="11" t="str">
        <f aca="false">IF(B208="","",IFERROR(INDEX(Students!$B$4:$B$203,MATCH(B208,Students!$A$4:$A$203,0)),""))</f>
        <v/>
      </c>
      <c r="D208" s="1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7"/>
      <c r="P208" s="19"/>
    </row>
    <row r="209" customFormat="false" ht="15" hidden="false" customHeight="true" outlineLevel="0" collapsed="false">
      <c r="A209" s="19"/>
      <c r="B209" s="17"/>
      <c r="C209" s="11" t="str">
        <f aca="false">IF(B209="","",IFERROR(INDEX(Students!$B$4:$B$203,MATCH(B209,Students!$A$4:$A$203,0)),""))</f>
        <v/>
      </c>
      <c r="D209" s="1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19"/>
    </row>
    <row r="210" customFormat="false" ht="15" hidden="false" customHeight="true" outlineLevel="0" collapsed="false">
      <c r="A210" s="19"/>
      <c r="B210" s="17"/>
      <c r="C210" s="11" t="str">
        <f aca="false">IF(B210="","",IFERROR(INDEX(Students!$B$4:$B$203,MATCH(B210,Students!$A$4:$A$203,0)),""))</f>
        <v/>
      </c>
      <c r="D210" s="17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19"/>
    </row>
    <row r="211" customFormat="false" ht="15" hidden="false" customHeight="true" outlineLevel="0" collapsed="false">
      <c r="A211" s="19"/>
      <c r="B211" s="17"/>
      <c r="C211" s="11" t="str">
        <f aca="false">IF(B211="","",IFERROR(INDEX(Students!$B$4:$B$203,MATCH(B211,Students!$A$4:$A$203,0)),""))</f>
        <v/>
      </c>
      <c r="D211" s="1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19"/>
    </row>
    <row r="212" customFormat="false" ht="15" hidden="false" customHeight="true" outlineLevel="0" collapsed="false">
      <c r="A212" s="19"/>
      <c r="B212" s="17"/>
      <c r="C212" s="11" t="str">
        <f aca="false">IF(B212="","",IFERROR(INDEX(Students!$B$4:$B$203,MATCH(B212,Students!$A$4:$A$203,0)),""))</f>
        <v/>
      </c>
      <c r="D212" s="17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19"/>
    </row>
    <row r="213" customFormat="false" ht="15" hidden="false" customHeight="true" outlineLevel="0" collapsed="false">
      <c r="A213" s="19"/>
      <c r="B213" s="17"/>
      <c r="C213" s="11" t="str">
        <f aca="false">IF(B213="","",IFERROR(INDEX(Students!$B$4:$B$203,MATCH(B213,Students!$A$4:$A$203,0)),""))</f>
        <v/>
      </c>
      <c r="D213" s="17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7"/>
      <c r="P213" s="19"/>
    </row>
    <row r="214" customFormat="false" ht="15" hidden="false" customHeight="true" outlineLevel="0" collapsed="false">
      <c r="A214" s="19"/>
      <c r="B214" s="17"/>
      <c r="C214" s="11" t="str">
        <f aca="false">IF(B214="","",IFERROR(INDEX(Students!$B$4:$B$203,MATCH(B214,Students!$A$4:$A$203,0)),""))</f>
        <v/>
      </c>
      <c r="D214" s="17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7"/>
      <c r="P214" s="19"/>
    </row>
    <row r="215" customFormat="false" ht="15" hidden="false" customHeight="true" outlineLevel="0" collapsed="false">
      <c r="A215" s="19"/>
      <c r="B215" s="17"/>
      <c r="C215" s="11" t="str">
        <f aca="false">IF(B215="","",IFERROR(INDEX(Students!$B$4:$B$203,MATCH(B215,Students!$A$4:$A$203,0)),""))</f>
        <v/>
      </c>
      <c r="D215" s="17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7"/>
      <c r="P215" s="19"/>
    </row>
    <row r="216" customFormat="false" ht="15" hidden="false" customHeight="true" outlineLevel="0" collapsed="false">
      <c r="A216" s="19"/>
      <c r="B216" s="17"/>
      <c r="C216" s="11" t="str">
        <f aca="false">IF(B216="","",IFERROR(INDEX(Students!$B$4:$B$203,MATCH(B216,Students!$A$4:$A$203,0)),""))</f>
        <v/>
      </c>
      <c r="D216" s="17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7"/>
      <c r="P216" s="19"/>
    </row>
    <row r="217" customFormat="false" ht="15" hidden="false" customHeight="true" outlineLevel="0" collapsed="false">
      <c r="A217" s="19"/>
      <c r="B217" s="17"/>
      <c r="C217" s="11" t="str">
        <f aca="false">IF(B217="","",IFERROR(INDEX(Students!$B$4:$B$203,MATCH(B217,Students!$A$4:$A$203,0)),""))</f>
        <v/>
      </c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19"/>
    </row>
    <row r="218" customFormat="false" ht="15" hidden="false" customHeight="true" outlineLevel="0" collapsed="false">
      <c r="A218" s="19"/>
      <c r="B218" s="17"/>
      <c r="C218" s="11" t="str">
        <f aca="false">IF(B218="","",IFERROR(INDEX(Students!$B$4:$B$203,MATCH(B218,Students!$A$4:$A$203,0)),""))</f>
        <v/>
      </c>
      <c r="D218" s="1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7"/>
      <c r="P218" s="19"/>
    </row>
    <row r="219" customFormat="false" ht="15" hidden="false" customHeight="true" outlineLevel="0" collapsed="false">
      <c r="A219" s="19"/>
      <c r="B219" s="17"/>
      <c r="C219" s="11" t="str">
        <f aca="false">IF(B219="","",IFERROR(INDEX(Students!$B$4:$B$203,MATCH(B219,Students!$A$4:$A$203,0)),""))</f>
        <v/>
      </c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7"/>
      <c r="P219" s="19"/>
    </row>
    <row r="220" customFormat="false" ht="15" hidden="false" customHeight="true" outlineLevel="0" collapsed="false">
      <c r="A220" s="19"/>
      <c r="B220" s="17"/>
      <c r="C220" s="11" t="str">
        <f aca="false">IF(B220="","",IFERROR(INDEX(Students!$B$4:$B$203,MATCH(B220,Students!$A$4:$A$203,0)),""))</f>
        <v/>
      </c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7"/>
      <c r="P220" s="19"/>
    </row>
    <row r="221" customFormat="false" ht="15" hidden="false" customHeight="true" outlineLevel="0" collapsed="false">
      <c r="A221" s="19"/>
      <c r="B221" s="17"/>
      <c r="C221" s="11" t="str">
        <f aca="false">IF(B221="","",IFERROR(INDEX(Students!$B$4:$B$203,MATCH(B221,Students!$A$4:$A$203,0)),""))</f>
        <v/>
      </c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7"/>
      <c r="P221" s="19"/>
    </row>
    <row r="222" customFormat="false" ht="15" hidden="false" customHeight="true" outlineLevel="0" collapsed="false">
      <c r="A222" s="19"/>
      <c r="B222" s="17"/>
      <c r="C222" s="11" t="str">
        <f aca="false">IF(B222="","",IFERROR(INDEX(Students!$B$4:$B$203,MATCH(B222,Students!$A$4:$A$203,0)),""))</f>
        <v/>
      </c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7"/>
      <c r="P222" s="19"/>
    </row>
    <row r="223" customFormat="false" ht="15" hidden="false" customHeight="true" outlineLevel="0" collapsed="false">
      <c r="A223" s="19"/>
      <c r="B223" s="17"/>
      <c r="C223" s="11" t="str">
        <f aca="false">IF(B223="","",IFERROR(INDEX(Students!$B$4:$B$203,MATCH(B223,Students!$A$4:$A$203,0)),""))</f>
        <v/>
      </c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19"/>
    </row>
    <row r="224" customFormat="false" ht="15" hidden="false" customHeight="true" outlineLevel="0" collapsed="false">
      <c r="A224" s="19"/>
      <c r="B224" s="17"/>
      <c r="C224" s="11" t="str">
        <f aca="false">IF(B224="","",IFERROR(INDEX(Students!$B$4:$B$203,MATCH(B224,Students!$A$4:$A$203,0)),""))</f>
        <v/>
      </c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7"/>
      <c r="P224" s="19"/>
    </row>
    <row r="225" customFormat="false" ht="15" hidden="false" customHeight="true" outlineLevel="0" collapsed="false">
      <c r="A225" s="19"/>
      <c r="B225" s="17"/>
      <c r="C225" s="11" t="str">
        <f aca="false">IF(B225="","",IFERROR(INDEX(Students!$B$4:$B$203,MATCH(B225,Students!$A$4:$A$203,0)),""))</f>
        <v/>
      </c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7"/>
      <c r="P225" s="19"/>
    </row>
    <row r="226" customFormat="false" ht="15" hidden="false" customHeight="true" outlineLevel="0" collapsed="false">
      <c r="A226" s="19"/>
      <c r="B226" s="17"/>
      <c r="C226" s="11" t="str">
        <f aca="false">IF(B226="","",IFERROR(INDEX(Students!$B$4:$B$203,MATCH(B226,Students!$A$4:$A$203,0)),""))</f>
        <v/>
      </c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19"/>
    </row>
    <row r="227" customFormat="false" ht="15" hidden="false" customHeight="true" outlineLevel="0" collapsed="false">
      <c r="A227" s="19"/>
      <c r="B227" s="17"/>
      <c r="C227" s="11" t="str">
        <f aca="false">IF(B227="","",IFERROR(INDEX(Students!$B$4:$B$203,MATCH(B227,Students!$A$4:$A$203,0)),""))</f>
        <v/>
      </c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7"/>
      <c r="P227" s="19"/>
    </row>
    <row r="228" customFormat="false" ht="15" hidden="false" customHeight="true" outlineLevel="0" collapsed="false">
      <c r="A228" s="19"/>
      <c r="B228" s="17"/>
      <c r="C228" s="11" t="str">
        <f aca="false">IF(B228="","",IFERROR(INDEX(Students!$B$4:$B$203,MATCH(B228,Students!$A$4:$A$203,0)),""))</f>
        <v/>
      </c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7"/>
      <c r="P228" s="19"/>
    </row>
    <row r="229" customFormat="false" ht="15" hidden="false" customHeight="true" outlineLevel="0" collapsed="false">
      <c r="A229" s="19"/>
      <c r="B229" s="17"/>
      <c r="C229" s="11" t="str">
        <f aca="false">IF(B229="","",IFERROR(INDEX(Students!$B$4:$B$203,MATCH(B229,Students!$A$4:$A$203,0)),""))</f>
        <v/>
      </c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19"/>
    </row>
    <row r="230" customFormat="false" ht="15" hidden="false" customHeight="true" outlineLevel="0" collapsed="false">
      <c r="A230" s="19"/>
      <c r="B230" s="17"/>
      <c r="C230" s="11" t="str">
        <f aca="false">IF(B230="","",IFERROR(INDEX(Students!$B$4:$B$203,MATCH(B230,Students!$A$4:$A$203,0)),""))</f>
        <v/>
      </c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7"/>
      <c r="P230" s="19"/>
    </row>
    <row r="231" customFormat="false" ht="15" hidden="false" customHeight="true" outlineLevel="0" collapsed="false">
      <c r="A231" s="19"/>
      <c r="B231" s="17"/>
      <c r="C231" s="11" t="str">
        <f aca="false">IF(B231="","",IFERROR(INDEX(Students!$B$4:$B$203,MATCH(B231,Students!$A$4:$A$203,0)),""))</f>
        <v/>
      </c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19"/>
    </row>
    <row r="232" customFormat="false" ht="15" hidden="false" customHeight="true" outlineLevel="0" collapsed="false">
      <c r="A232" s="19"/>
      <c r="B232" s="17"/>
      <c r="C232" s="11" t="str">
        <f aca="false">IF(B232="","",IFERROR(INDEX(Students!$B$4:$B$203,MATCH(B232,Students!$A$4:$A$203,0)),""))</f>
        <v/>
      </c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7"/>
      <c r="P232" s="19"/>
    </row>
    <row r="233" customFormat="false" ht="15" hidden="false" customHeight="true" outlineLevel="0" collapsed="false">
      <c r="A233" s="19"/>
      <c r="B233" s="17"/>
      <c r="C233" s="11" t="str">
        <f aca="false">IF(B233="","",IFERROR(INDEX(Students!$B$4:$B$203,MATCH(B233,Students!$A$4:$A$203,0)),""))</f>
        <v/>
      </c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7"/>
      <c r="P233" s="19"/>
    </row>
    <row r="234" customFormat="false" ht="15" hidden="false" customHeight="true" outlineLevel="0" collapsed="false">
      <c r="A234" s="19"/>
      <c r="B234" s="17"/>
      <c r="C234" s="11" t="str">
        <f aca="false">IF(B234="","",IFERROR(INDEX(Students!$B$4:$B$203,MATCH(B234,Students!$A$4:$A$203,0)),""))</f>
        <v/>
      </c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7"/>
      <c r="P234" s="19"/>
    </row>
    <row r="235" customFormat="false" ht="15" hidden="false" customHeight="true" outlineLevel="0" collapsed="false">
      <c r="A235" s="19"/>
      <c r="B235" s="17"/>
      <c r="C235" s="11" t="str">
        <f aca="false">IF(B235="","",IFERROR(INDEX(Students!$B$4:$B$203,MATCH(B235,Students!$A$4:$A$203,0)),""))</f>
        <v/>
      </c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7"/>
      <c r="P235" s="19"/>
    </row>
    <row r="236" customFormat="false" ht="15" hidden="false" customHeight="true" outlineLevel="0" collapsed="false">
      <c r="A236" s="19"/>
      <c r="B236" s="17"/>
      <c r="C236" s="11" t="str">
        <f aca="false">IF(B236="","",IFERROR(INDEX(Students!$B$4:$B$203,MATCH(B236,Students!$A$4:$A$203,0)),""))</f>
        <v/>
      </c>
      <c r="D236" s="1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7"/>
      <c r="P236" s="19"/>
    </row>
    <row r="237" customFormat="false" ht="15" hidden="false" customHeight="true" outlineLevel="0" collapsed="false">
      <c r="A237" s="19"/>
      <c r="B237" s="17"/>
      <c r="C237" s="11" t="str">
        <f aca="false">IF(B237="","",IFERROR(INDEX(Students!$B$4:$B$203,MATCH(B237,Students!$A$4:$A$203,0)),""))</f>
        <v/>
      </c>
      <c r="D237" s="17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19"/>
    </row>
    <row r="238" customFormat="false" ht="15" hidden="false" customHeight="true" outlineLevel="0" collapsed="false">
      <c r="A238" s="19"/>
      <c r="B238" s="17"/>
      <c r="C238" s="11" t="str">
        <f aca="false">IF(B238="","",IFERROR(INDEX(Students!$B$4:$B$203,MATCH(B238,Students!$A$4:$A$203,0)),""))</f>
        <v/>
      </c>
      <c r="D238" s="17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7"/>
      <c r="P238" s="19"/>
    </row>
    <row r="239" customFormat="false" ht="15" hidden="false" customHeight="true" outlineLevel="0" collapsed="false">
      <c r="A239" s="19"/>
      <c r="B239" s="17"/>
      <c r="C239" s="11" t="str">
        <f aca="false">IF(B239="","",IFERROR(INDEX(Students!$B$4:$B$203,MATCH(B239,Students!$A$4:$A$203,0)),""))</f>
        <v/>
      </c>
      <c r="D239" s="17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7"/>
      <c r="P239" s="19"/>
    </row>
    <row r="240" customFormat="false" ht="15" hidden="false" customHeight="true" outlineLevel="0" collapsed="false">
      <c r="A240" s="19"/>
      <c r="B240" s="17"/>
      <c r="C240" s="11" t="str">
        <f aca="false">IF(B240="","",IFERROR(INDEX(Students!$B$4:$B$203,MATCH(B240,Students!$A$4:$A$203,0)),""))</f>
        <v/>
      </c>
      <c r="D240" s="17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7"/>
      <c r="P240" s="19"/>
    </row>
    <row r="241" customFormat="false" ht="15" hidden="false" customHeight="true" outlineLevel="0" collapsed="false">
      <c r="A241" s="19"/>
      <c r="B241" s="17"/>
      <c r="C241" s="11" t="str">
        <f aca="false">IF(B241="","",IFERROR(INDEX(Students!$B$4:$B$203,MATCH(B241,Students!$A$4:$A$203,0)),""))</f>
        <v/>
      </c>
      <c r="D241" s="17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7"/>
      <c r="P241" s="19"/>
    </row>
    <row r="242" customFormat="false" ht="15" hidden="false" customHeight="true" outlineLevel="0" collapsed="false">
      <c r="A242" s="19"/>
      <c r="B242" s="17"/>
      <c r="C242" s="11" t="str">
        <f aca="false">IF(B242="","",IFERROR(INDEX(Students!$B$4:$B$203,MATCH(B242,Students!$A$4:$A$203,0)),""))</f>
        <v/>
      </c>
      <c r="D242" s="17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7"/>
      <c r="P242" s="19"/>
    </row>
    <row r="243" customFormat="false" ht="15" hidden="false" customHeight="true" outlineLevel="0" collapsed="false">
      <c r="A243" s="19"/>
      <c r="B243" s="17"/>
      <c r="C243" s="11" t="str">
        <f aca="false">IF(B243="","",IFERROR(INDEX(Students!$B$4:$B$203,MATCH(B243,Students!$A$4:$A$203,0)),""))</f>
        <v/>
      </c>
      <c r="D243" s="17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7"/>
      <c r="P243" s="19"/>
    </row>
    <row r="244" customFormat="false" ht="15" hidden="false" customHeight="true" outlineLevel="0" collapsed="false">
      <c r="A244" s="19"/>
      <c r="B244" s="17"/>
      <c r="C244" s="11" t="str">
        <f aca="false">IF(B244="","",IFERROR(INDEX(Students!$B$4:$B$203,MATCH(B244,Students!$A$4:$A$203,0)),""))</f>
        <v/>
      </c>
      <c r="D244" s="17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19"/>
    </row>
    <row r="245" customFormat="false" ht="15" hidden="false" customHeight="true" outlineLevel="0" collapsed="false">
      <c r="A245" s="19"/>
      <c r="B245" s="17"/>
      <c r="C245" s="11" t="str">
        <f aca="false">IF(B245="","",IFERROR(INDEX(Students!$B$4:$B$203,MATCH(B245,Students!$A$4:$A$203,0)),""))</f>
        <v/>
      </c>
      <c r="D245" s="17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7"/>
      <c r="P245" s="19"/>
    </row>
    <row r="246" customFormat="false" ht="15" hidden="false" customHeight="true" outlineLevel="0" collapsed="false">
      <c r="A246" s="19"/>
      <c r="B246" s="17"/>
      <c r="C246" s="11" t="str">
        <f aca="false">IF(B246="","",IFERROR(INDEX(Students!$B$4:$B$203,MATCH(B246,Students!$A$4:$A$203,0)),""))</f>
        <v/>
      </c>
      <c r="D246" s="17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7"/>
      <c r="P246" s="19"/>
    </row>
    <row r="247" customFormat="false" ht="15" hidden="false" customHeight="true" outlineLevel="0" collapsed="false">
      <c r="A247" s="19"/>
      <c r="B247" s="17"/>
      <c r="C247" s="11" t="str">
        <f aca="false">IF(B247="","",IFERROR(INDEX(Students!$B$4:$B$203,MATCH(B247,Students!$A$4:$A$203,0)),""))</f>
        <v/>
      </c>
      <c r="D247" s="17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19"/>
    </row>
    <row r="248" customFormat="false" ht="15" hidden="false" customHeight="true" outlineLevel="0" collapsed="false">
      <c r="A248" s="19"/>
      <c r="B248" s="17"/>
      <c r="C248" s="11" t="str">
        <f aca="false">IF(B248="","",IFERROR(INDEX(Students!$B$4:$B$203,MATCH(B248,Students!$A$4:$A$203,0)),""))</f>
        <v/>
      </c>
      <c r="D248" s="17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7"/>
      <c r="P248" s="19"/>
    </row>
    <row r="249" customFormat="false" ht="15" hidden="false" customHeight="true" outlineLevel="0" collapsed="false">
      <c r="A249" s="19"/>
      <c r="B249" s="17"/>
      <c r="C249" s="11" t="str">
        <f aca="false">IF(B249="","",IFERROR(INDEX(Students!$B$4:$B$203,MATCH(B249,Students!$A$4:$A$203,0)),""))</f>
        <v/>
      </c>
      <c r="D249" s="17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7"/>
      <c r="P249" s="19"/>
    </row>
    <row r="250" customFormat="false" ht="15" hidden="false" customHeight="true" outlineLevel="0" collapsed="false">
      <c r="A250" s="19"/>
      <c r="B250" s="17"/>
      <c r="C250" s="11" t="str">
        <f aca="false">IF(B250="","",IFERROR(INDEX(Students!$B$4:$B$203,MATCH(B250,Students!$A$4:$A$203,0)),""))</f>
        <v/>
      </c>
      <c r="D250" s="17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19"/>
    </row>
    <row r="251" customFormat="false" ht="15" hidden="false" customHeight="true" outlineLevel="0" collapsed="false">
      <c r="A251" s="19"/>
      <c r="B251" s="17"/>
      <c r="C251" s="11" t="str">
        <f aca="false">IF(B251="","",IFERROR(INDEX(Students!$B$4:$B$203,MATCH(B251,Students!$A$4:$A$203,0)),""))</f>
        <v/>
      </c>
      <c r="D251" s="17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7"/>
      <c r="P251" s="19"/>
    </row>
    <row r="252" customFormat="false" ht="15" hidden="false" customHeight="true" outlineLevel="0" collapsed="false">
      <c r="A252" s="19"/>
      <c r="B252" s="17"/>
      <c r="C252" s="11" t="str">
        <f aca="false">IF(B252="","",IFERROR(INDEX(Students!$B$4:$B$203,MATCH(B252,Students!$A$4:$A$203,0)),""))</f>
        <v/>
      </c>
      <c r="D252" s="17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7"/>
      <c r="P252" s="19"/>
    </row>
    <row r="253" customFormat="false" ht="15" hidden="false" customHeight="true" outlineLevel="0" collapsed="false">
      <c r="A253" s="19"/>
      <c r="B253" s="17"/>
      <c r="C253" s="11" t="str">
        <f aca="false">IF(B253="","",IFERROR(INDEX(Students!$B$4:$B$203,MATCH(B253,Students!$A$4:$A$203,0)),""))</f>
        <v/>
      </c>
      <c r="D253" s="17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19"/>
    </row>
    <row r="254" customFormat="false" ht="15" hidden="false" customHeight="true" outlineLevel="0" collapsed="false">
      <c r="A254" s="19"/>
      <c r="B254" s="17"/>
      <c r="C254" s="11" t="str">
        <f aca="false">IF(B254="","",IFERROR(INDEX(Students!$B$4:$B$203,MATCH(B254,Students!$A$4:$A$203,0)),""))</f>
        <v/>
      </c>
      <c r="D254" s="17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7"/>
      <c r="P254" s="19"/>
    </row>
    <row r="255" customFormat="false" ht="15" hidden="false" customHeight="true" outlineLevel="0" collapsed="false">
      <c r="A255" s="19"/>
      <c r="B255" s="17"/>
      <c r="C255" s="11" t="str">
        <f aca="false">IF(B255="","",IFERROR(INDEX(Students!$B$4:$B$203,MATCH(B255,Students!$A$4:$A$203,0)),""))</f>
        <v/>
      </c>
      <c r="D255" s="17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19"/>
    </row>
    <row r="256" customFormat="false" ht="15" hidden="false" customHeight="true" outlineLevel="0" collapsed="false">
      <c r="A256" s="19"/>
      <c r="B256" s="17"/>
      <c r="C256" s="11" t="str">
        <f aca="false">IF(B256="","",IFERROR(INDEX(Students!$B$4:$B$203,MATCH(B256,Students!$A$4:$A$203,0)),""))</f>
        <v/>
      </c>
      <c r="D256" s="17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7"/>
      <c r="P256" s="19"/>
    </row>
    <row r="257" customFormat="false" ht="15" hidden="false" customHeight="true" outlineLevel="0" collapsed="false">
      <c r="A257" s="19"/>
      <c r="B257" s="17"/>
      <c r="C257" s="11" t="str">
        <f aca="false">IF(B257="","",IFERROR(INDEX(Students!$B$4:$B$203,MATCH(B257,Students!$A$4:$A$203,0)),""))</f>
        <v/>
      </c>
      <c r="D257" s="17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19"/>
    </row>
    <row r="258" customFormat="false" ht="15" hidden="false" customHeight="true" outlineLevel="0" collapsed="false">
      <c r="A258" s="19"/>
      <c r="B258" s="17"/>
      <c r="C258" s="11" t="str">
        <f aca="false">IF(B258="","",IFERROR(INDEX(Students!$B$4:$B$203,MATCH(B258,Students!$A$4:$A$203,0)),""))</f>
        <v/>
      </c>
      <c r="D258" s="17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7"/>
      <c r="P258" s="19"/>
    </row>
    <row r="259" customFormat="false" ht="15" hidden="false" customHeight="true" outlineLevel="0" collapsed="false">
      <c r="A259" s="19"/>
      <c r="B259" s="17"/>
      <c r="C259" s="11" t="str">
        <f aca="false">IF(B259="","",IFERROR(INDEX(Students!$B$4:$B$203,MATCH(B259,Students!$A$4:$A$203,0)),""))</f>
        <v/>
      </c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19"/>
    </row>
    <row r="260" customFormat="false" ht="15" hidden="false" customHeight="true" outlineLevel="0" collapsed="false">
      <c r="A260" s="19"/>
      <c r="B260" s="17"/>
      <c r="C260" s="11" t="str">
        <f aca="false">IF(B260="","",IFERROR(INDEX(Students!$B$4:$B$203,MATCH(B260,Students!$A$4:$A$203,0)),""))</f>
        <v/>
      </c>
      <c r="D260" s="17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19"/>
    </row>
    <row r="261" customFormat="false" ht="15" hidden="false" customHeight="true" outlineLevel="0" collapsed="false">
      <c r="A261" s="19"/>
      <c r="B261" s="17"/>
      <c r="C261" s="11" t="str">
        <f aca="false">IF(B261="","",IFERROR(INDEX(Students!$B$4:$B$203,MATCH(B261,Students!$A$4:$A$203,0)),""))</f>
        <v/>
      </c>
      <c r="D261" s="17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19"/>
    </row>
    <row r="262" customFormat="false" ht="15" hidden="false" customHeight="true" outlineLevel="0" collapsed="false">
      <c r="A262" s="19"/>
      <c r="B262" s="17"/>
      <c r="C262" s="11" t="str">
        <f aca="false">IF(B262="","",IFERROR(INDEX(Students!$B$4:$B$203,MATCH(B262,Students!$A$4:$A$203,0)),""))</f>
        <v/>
      </c>
      <c r="D262" s="17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19"/>
    </row>
    <row r="263" customFormat="false" ht="15" hidden="false" customHeight="true" outlineLevel="0" collapsed="false">
      <c r="A263" s="19"/>
      <c r="B263" s="17"/>
      <c r="C263" s="11" t="str">
        <f aca="false">IF(B263="","",IFERROR(INDEX(Students!$B$4:$B$203,MATCH(B263,Students!$A$4:$A$203,0)),""))</f>
        <v/>
      </c>
      <c r="D263" s="17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7"/>
      <c r="P263" s="19"/>
    </row>
    <row r="264" customFormat="false" ht="15" hidden="false" customHeight="true" outlineLevel="0" collapsed="false">
      <c r="A264" s="19"/>
      <c r="B264" s="17"/>
      <c r="C264" s="11" t="str">
        <f aca="false">IF(B264="","",IFERROR(INDEX(Students!$B$4:$B$203,MATCH(B264,Students!$A$4:$A$203,0)),""))</f>
        <v/>
      </c>
      <c r="D264" s="17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7"/>
      <c r="P264" s="19"/>
    </row>
    <row r="265" customFormat="false" ht="15" hidden="false" customHeight="true" outlineLevel="0" collapsed="false">
      <c r="A265" s="19"/>
      <c r="B265" s="17"/>
      <c r="C265" s="11" t="str">
        <f aca="false">IF(B265="","",IFERROR(INDEX(Students!$B$4:$B$203,MATCH(B265,Students!$A$4:$A$203,0)),""))</f>
        <v/>
      </c>
      <c r="D265" s="17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7"/>
      <c r="P265" s="19"/>
    </row>
    <row r="266" customFormat="false" ht="15" hidden="false" customHeight="true" outlineLevel="0" collapsed="false">
      <c r="A266" s="19"/>
      <c r="B266" s="17"/>
      <c r="C266" s="11" t="str">
        <f aca="false">IF(B266="","",IFERROR(INDEX(Students!$B$4:$B$203,MATCH(B266,Students!$A$4:$A$203,0)),""))</f>
        <v/>
      </c>
      <c r="D266" s="17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7"/>
      <c r="P266" s="19"/>
    </row>
    <row r="267" customFormat="false" ht="15" hidden="false" customHeight="true" outlineLevel="0" collapsed="false">
      <c r="A267" s="19"/>
      <c r="B267" s="17"/>
      <c r="C267" s="11" t="str">
        <f aca="false">IF(B267="","",IFERROR(INDEX(Students!$B$4:$B$203,MATCH(B267,Students!$A$4:$A$203,0)),""))</f>
        <v/>
      </c>
      <c r="D267" s="17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19"/>
    </row>
    <row r="268" customFormat="false" ht="15" hidden="false" customHeight="true" outlineLevel="0" collapsed="false">
      <c r="A268" s="19"/>
      <c r="B268" s="17"/>
      <c r="C268" s="11" t="str">
        <f aca="false">IF(B268="","",IFERROR(INDEX(Students!$B$4:$B$203,MATCH(B268,Students!$A$4:$A$203,0)),""))</f>
        <v/>
      </c>
      <c r="D268" s="17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7"/>
      <c r="P268" s="19"/>
    </row>
    <row r="269" customFormat="false" ht="15" hidden="false" customHeight="true" outlineLevel="0" collapsed="false">
      <c r="A269" s="19"/>
      <c r="B269" s="17"/>
      <c r="C269" s="11" t="str">
        <f aca="false">IF(B269="","",IFERROR(INDEX(Students!$B$4:$B$203,MATCH(B269,Students!$A$4:$A$203,0)),""))</f>
        <v/>
      </c>
      <c r="D269" s="17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7"/>
      <c r="P269" s="19"/>
    </row>
    <row r="270" customFormat="false" ht="15" hidden="false" customHeight="true" outlineLevel="0" collapsed="false">
      <c r="A270" s="19"/>
      <c r="B270" s="17"/>
      <c r="C270" s="11" t="str">
        <f aca="false">IF(B270="","",IFERROR(INDEX(Students!$B$4:$B$203,MATCH(B270,Students!$A$4:$A$203,0)),""))</f>
        <v/>
      </c>
      <c r="D270" s="17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19"/>
    </row>
    <row r="271" customFormat="false" ht="15" hidden="false" customHeight="true" outlineLevel="0" collapsed="false">
      <c r="A271" s="19"/>
      <c r="B271" s="17"/>
      <c r="C271" s="11" t="str">
        <f aca="false">IF(B271="","",IFERROR(INDEX(Students!$B$4:$B$203,MATCH(B271,Students!$A$4:$A$203,0)),""))</f>
        <v/>
      </c>
      <c r="D271" s="17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7"/>
      <c r="P271" s="19"/>
    </row>
    <row r="272" customFormat="false" ht="15" hidden="false" customHeight="true" outlineLevel="0" collapsed="false">
      <c r="A272" s="19"/>
      <c r="B272" s="17"/>
      <c r="C272" s="11" t="str">
        <f aca="false">IF(B272="","",IFERROR(INDEX(Students!$B$4:$B$203,MATCH(B272,Students!$A$4:$A$203,0)),""))</f>
        <v/>
      </c>
      <c r="D272" s="17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19"/>
    </row>
    <row r="273" customFormat="false" ht="15" hidden="false" customHeight="true" outlineLevel="0" collapsed="false">
      <c r="A273" s="19"/>
      <c r="B273" s="17"/>
      <c r="C273" s="11" t="str">
        <f aca="false">IF(B273="","",IFERROR(INDEX(Students!$B$4:$B$203,MATCH(B273,Students!$A$4:$A$203,0)),""))</f>
        <v/>
      </c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7"/>
      <c r="P273" s="19"/>
    </row>
    <row r="274" customFormat="false" ht="15" hidden="false" customHeight="true" outlineLevel="0" collapsed="false">
      <c r="A274" s="19"/>
      <c r="B274" s="17"/>
      <c r="C274" s="11" t="str">
        <f aca="false">IF(B274="","",IFERROR(INDEX(Students!$B$4:$B$203,MATCH(B274,Students!$A$4:$A$203,0)),""))</f>
        <v/>
      </c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7"/>
      <c r="P274" s="19"/>
    </row>
    <row r="275" customFormat="false" ht="15" hidden="false" customHeight="true" outlineLevel="0" collapsed="false">
      <c r="A275" s="19"/>
      <c r="B275" s="17"/>
      <c r="C275" s="11" t="str">
        <f aca="false">IF(B275="","",IFERROR(INDEX(Students!$B$4:$B$203,MATCH(B275,Students!$A$4:$A$203,0)),""))</f>
        <v/>
      </c>
      <c r="D275" s="17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7"/>
      <c r="P275" s="19"/>
    </row>
    <row r="276" customFormat="false" ht="15" hidden="false" customHeight="true" outlineLevel="0" collapsed="false">
      <c r="A276" s="19"/>
      <c r="B276" s="17"/>
      <c r="C276" s="11" t="str">
        <f aca="false">IF(B276="","",IFERROR(INDEX(Students!$B$4:$B$203,MATCH(B276,Students!$A$4:$A$203,0)),""))</f>
        <v/>
      </c>
      <c r="D276" s="17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7"/>
      <c r="P276" s="19"/>
    </row>
    <row r="277" customFormat="false" ht="15" hidden="false" customHeight="true" outlineLevel="0" collapsed="false">
      <c r="A277" s="19"/>
      <c r="B277" s="17"/>
      <c r="C277" s="11" t="str">
        <f aca="false">IF(B277="","",IFERROR(INDEX(Students!$B$4:$B$203,MATCH(B277,Students!$A$4:$A$203,0)),""))</f>
        <v/>
      </c>
      <c r="D277" s="17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19"/>
    </row>
    <row r="278" customFormat="false" ht="15" hidden="false" customHeight="true" outlineLevel="0" collapsed="false">
      <c r="A278" s="19"/>
      <c r="B278" s="17"/>
      <c r="C278" s="11" t="str">
        <f aca="false">IF(B278="","",IFERROR(INDEX(Students!$B$4:$B$203,MATCH(B278,Students!$A$4:$A$203,0)),""))</f>
        <v/>
      </c>
      <c r="D278" s="17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7"/>
      <c r="P278" s="19"/>
    </row>
    <row r="279" customFormat="false" ht="15" hidden="false" customHeight="true" outlineLevel="0" collapsed="false">
      <c r="A279" s="19"/>
      <c r="B279" s="17"/>
      <c r="C279" s="11" t="str">
        <f aca="false">IF(B279="","",IFERROR(INDEX(Students!$B$4:$B$203,MATCH(B279,Students!$A$4:$A$203,0)),""))</f>
        <v/>
      </c>
      <c r="D279" s="17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7"/>
      <c r="P279" s="19"/>
    </row>
    <row r="280" customFormat="false" ht="15" hidden="false" customHeight="true" outlineLevel="0" collapsed="false">
      <c r="A280" s="19"/>
      <c r="B280" s="17"/>
      <c r="C280" s="11" t="str">
        <f aca="false">IF(B280="","",IFERROR(INDEX(Students!$B$4:$B$203,MATCH(B280,Students!$A$4:$A$203,0)),""))</f>
        <v/>
      </c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19"/>
    </row>
    <row r="281" customFormat="false" ht="15" hidden="false" customHeight="true" outlineLevel="0" collapsed="false">
      <c r="A281" s="19"/>
      <c r="B281" s="17"/>
      <c r="C281" s="11" t="str">
        <f aca="false">IF(B281="","",IFERROR(INDEX(Students!$B$4:$B$203,MATCH(B281,Students!$A$4:$A$203,0)),""))</f>
        <v/>
      </c>
      <c r="D281" s="17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19"/>
    </row>
    <row r="282" customFormat="false" ht="15" hidden="false" customHeight="true" outlineLevel="0" collapsed="false">
      <c r="A282" s="19"/>
      <c r="B282" s="17"/>
      <c r="C282" s="11" t="str">
        <f aca="false">IF(B282="","",IFERROR(INDEX(Students!$B$4:$B$203,MATCH(B282,Students!$A$4:$A$203,0)),""))</f>
        <v/>
      </c>
      <c r="D282" s="17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19"/>
    </row>
    <row r="283" customFormat="false" ht="15" hidden="false" customHeight="true" outlineLevel="0" collapsed="false">
      <c r="A283" s="19"/>
      <c r="B283" s="17"/>
      <c r="C283" s="11" t="str">
        <f aca="false">IF(B283="","",IFERROR(INDEX(Students!$B$4:$B$203,MATCH(B283,Students!$A$4:$A$203,0)),""))</f>
        <v/>
      </c>
      <c r="D283" s="17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7"/>
      <c r="P283" s="19"/>
    </row>
    <row r="284" customFormat="false" ht="15" hidden="false" customHeight="true" outlineLevel="0" collapsed="false">
      <c r="A284" s="19"/>
      <c r="B284" s="17"/>
      <c r="C284" s="11" t="str">
        <f aca="false">IF(B284="","",IFERROR(INDEX(Students!$B$4:$B$203,MATCH(B284,Students!$A$4:$A$203,0)),""))</f>
        <v/>
      </c>
      <c r="D284" s="17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7"/>
      <c r="P284" s="19"/>
    </row>
    <row r="285" customFormat="false" ht="15" hidden="false" customHeight="true" outlineLevel="0" collapsed="false">
      <c r="A285" s="19"/>
      <c r="B285" s="17"/>
      <c r="C285" s="11" t="str">
        <f aca="false">IF(B285="","",IFERROR(INDEX(Students!$B$4:$B$203,MATCH(B285,Students!$A$4:$A$203,0)),""))</f>
        <v/>
      </c>
      <c r="D285" s="17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7"/>
      <c r="P285" s="19"/>
    </row>
    <row r="286" customFormat="false" ht="15" hidden="false" customHeight="true" outlineLevel="0" collapsed="false">
      <c r="A286" s="19"/>
      <c r="B286" s="17"/>
      <c r="C286" s="11" t="str">
        <f aca="false">IF(B286="","",IFERROR(INDEX(Students!$B$4:$B$203,MATCH(B286,Students!$A$4:$A$203,0)),""))</f>
        <v/>
      </c>
      <c r="D286" s="17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19"/>
    </row>
    <row r="287" customFormat="false" ht="15" hidden="false" customHeight="true" outlineLevel="0" collapsed="false">
      <c r="A287" s="19"/>
      <c r="B287" s="17"/>
      <c r="C287" s="11" t="str">
        <f aca="false">IF(B287="","",IFERROR(INDEX(Students!$B$4:$B$203,MATCH(B287,Students!$A$4:$A$203,0)),""))</f>
        <v/>
      </c>
      <c r="D287" s="17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19"/>
    </row>
    <row r="288" customFormat="false" ht="15" hidden="false" customHeight="true" outlineLevel="0" collapsed="false">
      <c r="A288" s="19"/>
      <c r="B288" s="17"/>
      <c r="C288" s="11" t="str">
        <f aca="false">IF(B288="","",IFERROR(INDEX(Students!$B$4:$B$203,MATCH(B288,Students!$A$4:$A$203,0)),""))</f>
        <v/>
      </c>
      <c r="D288" s="17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19"/>
    </row>
    <row r="289" customFormat="false" ht="15" hidden="false" customHeight="true" outlineLevel="0" collapsed="false">
      <c r="A289" s="19"/>
      <c r="B289" s="17"/>
      <c r="C289" s="11" t="str">
        <f aca="false">IF(B289="","",IFERROR(INDEX(Students!$B$4:$B$203,MATCH(B289,Students!$A$4:$A$203,0)),""))</f>
        <v/>
      </c>
      <c r="D289" s="17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19"/>
    </row>
    <row r="290" customFormat="false" ht="15" hidden="false" customHeight="true" outlineLevel="0" collapsed="false">
      <c r="A290" s="19"/>
      <c r="B290" s="17"/>
      <c r="C290" s="11" t="str">
        <f aca="false">IF(B290="","",IFERROR(INDEX(Students!$B$4:$B$203,MATCH(B290,Students!$A$4:$A$203,0)),""))</f>
        <v/>
      </c>
      <c r="D290" s="17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7"/>
      <c r="P290" s="19"/>
    </row>
    <row r="291" customFormat="false" ht="15" hidden="false" customHeight="true" outlineLevel="0" collapsed="false">
      <c r="A291" s="19"/>
      <c r="B291" s="17"/>
      <c r="C291" s="11" t="str">
        <f aca="false">IF(B291="","",IFERROR(INDEX(Students!$B$4:$B$203,MATCH(B291,Students!$A$4:$A$203,0)),""))</f>
        <v/>
      </c>
      <c r="D291" s="17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7"/>
      <c r="P291" s="19"/>
    </row>
    <row r="292" customFormat="false" ht="15" hidden="false" customHeight="true" outlineLevel="0" collapsed="false">
      <c r="A292" s="19"/>
      <c r="B292" s="17"/>
      <c r="C292" s="11" t="str">
        <f aca="false">IF(B292="","",IFERROR(INDEX(Students!$B$4:$B$203,MATCH(B292,Students!$A$4:$A$203,0)),""))</f>
        <v/>
      </c>
      <c r="D292" s="17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19"/>
    </row>
    <row r="293" customFormat="false" ht="15" hidden="false" customHeight="true" outlineLevel="0" collapsed="false">
      <c r="A293" s="19"/>
      <c r="B293" s="17"/>
      <c r="C293" s="11" t="str">
        <f aca="false">IF(B293="","",IFERROR(INDEX(Students!$B$4:$B$203,MATCH(B293,Students!$A$4:$A$203,0)),""))</f>
        <v/>
      </c>
      <c r="D293" s="17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19"/>
    </row>
    <row r="294" customFormat="false" ht="15" hidden="false" customHeight="true" outlineLevel="0" collapsed="false">
      <c r="A294" s="19"/>
      <c r="B294" s="17"/>
      <c r="C294" s="11" t="str">
        <f aca="false">IF(B294="","",IFERROR(INDEX(Students!$B$4:$B$203,MATCH(B294,Students!$A$4:$A$203,0)),""))</f>
        <v/>
      </c>
      <c r="D294" s="17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19"/>
    </row>
    <row r="295" customFormat="false" ht="15" hidden="false" customHeight="true" outlineLevel="0" collapsed="false">
      <c r="A295" s="19"/>
      <c r="B295" s="17"/>
      <c r="C295" s="11" t="str">
        <f aca="false">IF(B295="","",IFERROR(INDEX(Students!$B$4:$B$203,MATCH(B295,Students!$A$4:$A$203,0)),""))</f>
        <v/>
      </c>
      <c r="D295" s="17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7"/>
      <c r="P295" s="19"/>
    </row>
    <row r="296" customFormat="false" ht="15" hidden="false" customHeight="true" outlineLevel="0" collapsed="false">
      <c r="A296" s="19"/>
      <c r="B296" s="17"/>
      <c r="C296" s="11" t="str">
        <f aca="false">IF(B296="","",IFERROR(INDEX(Students!$B$4:$B$203,MATCH(B296,Students!$A$4:$A$203,0)),""))</f>
        <v/>
      </c>
      <c r="D296" s="17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19"/>
    </row>
    <row r="297" customFormat="false" ht="15" hidden="false" customHeight="true" outlineLevel="0" collapsed="false">
      <c r="A297" s="19"/>
      <c r="B297" s="17"/>
      <c r="C297" s="11" t="str">
        <f aca="false">IF(B297="","",IFERROR(INDEX(Students!$B$4:$B$203,MATCH(B297,Students!$A$4:$A$203,0)),""))</f>
        <v/>
      </c>
      <c r="D297" s="17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19"/>
    </row>
    <row r="298" customFormat="false" ht="15" hidden="false" customHeight="true" outlineLevel="0" collapsed="false">
      <c r="A298" s="19"/>
      <c r="B298" s="17"/>
      <c r="C298" s="11" t="str">
        <f aca="false">IF(B298="","",IFERROR(INDEX(Students!$B$4:$B$203,MATCH(B298,Students!$A$4:$A$203,0)),""))</f>
        <v/>
      </c>
      <c r="D298" s="17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19"/>
    </row>
    <row r="299" customFormat="false" ht="15" hidden="false" customHeight="true" outlineLevel="0" collapsed="false">
      <c r="A299" s="19"/>
      <c r="B299" s="17"/>
      <c r="C299" s="11" t="str">
        <f aca="false">IF(B299="","",IFERROR(INDEX(Students!$B$4:$B$203,MATCH(B299,Students!$A$4:$A$203,0)),""))</f>
        <v/>
      </c>
      <c r="D299" s="17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7"/>
      <c r="P299" s="19"/>
    </row>
    <row r="300" customFormat="false" ht="15" hidden="false" customHeight="true" outlineLevel="0" collapsed="false">
      <c r="A300" s="19"/>
      <c r="B300" s="17"/>
      <c r="C300" s="11" t="str">
        <f aca="false">IF(B300="","",IFERROR(INDEX(Students!$B$4:$B$203,MATCH(B300,Students!$A$4:$A$203,0)),""))</f>
        <v/>
      </c>
      <c r="D300" s="17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19"/>
    </row>
    <row r="301" customFormat="false" ht="15" hidden="false" customHeight="true" outlineLevel="0" collapsed="false">
      <c r="A301" s="19"/>
      <c r="B301" s="17"/>
      <c r="C301" s="11" t="str">
        <f aca="false">IF(B301="","",IFERROR(INDEX(Students!$B$4:$B$203,MATCH(B301,Students!$A$4:$A$203,0)),""))</f>
        <v/>
      </c>
      <c r="D301" s="17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7"/>
      <c r="P301" s="19"/>
    </row>
    <row r="302" customFormat="false" ht="15" hidden="false" customHeight="true" outlineLevel="0" collapsed="false">
      <c r="A302" s="19"/>
      <c r="B302" s="17"/>
      <c r="C302" s="11" t="str">
        <f aca="false">IF(B302="","",IFERROR(INDEX(Students!$B$4:$B$203,MATCH(B302,Students!$A$4:$A$203,0)),""))</f>
        <v/>
      </c>
      <c r="D302" s="17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7"/>
      <c r="P302" s="19"/>
    </row>
    <row r="303" customFormat="false" ht="15" hidden="false" customHeight="true" outlineLevel="0" collapsed="false">
      <c r="A303" s="19"/>
      <c r="B303" s="17"/>
      <c r="C303" s="11" t="str">
        <f aca="false">IF(B303="","",IFERROR(INDEX(Students!$B$4:$B$203,MATCH(B303,Students!$A$4:$A$203,0)),""))</f>
        <v/>
      </c>
      <c r="D303" s="17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19"/>
    </row>
    <row r="304" customFormat="false" ht="15" hidden="false" customHeight="true" outlineLevel="0" collapsed="false">
      <c r="A304" s="19"/>
      <c r="B304" s="17"/>
      <c r="C304" s="11" t="str">
        <f aca="false">IF(B304="","",IFERROR(INDEX(Students!$B$4:$B$203,MATCH(B304,Students!$A$4:$A$203,0)),""))</f>
        <v/>
      </c>
      <c r="D304" s="17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7"/>
      <c r="P304" s="19"/>
    </row>
    <row r="305" customFormat="false" ht="15" hidden="false" customHeight="true" outlineLevel="0" collapsed="false">
      <c r="A305" s="19"/>
      <c r="B305" s="17"/>
      <c r="C305" s="11" t="str">
        <f aca="false">IF(B305="","",IFERROR(INDEX(Students!$B$4:$B$203,MATCH(B305,Students!$A$4:$A$203,0)),""))</f>
        <v/>
      </c>
      <c r="D305" s="17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19"/>
    </row>
    <row r="306" customFormat="false" ht="15" hidden="false" customHeight="true" outlineLevel="0" collapsed="false">
      <c r="A306" s="19"/>
      <c r="B306" s="17"/>
      <c r="C306" s="11" t="str">
        <f aca="false">IF(B306="","",IFERROR(INDEX(Students!$B$4:$B$203,MATCH(B306,Students!$A$4:$A$203,0)),""))</f>
        <v/>
      </c>
      <c r="D306" s="17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7"/>
      <c r="P306" s="19"/>
    </row>
    <row r="307" customFormat="false" ht="15" hidden="false" customHeight="true" outlineLevel="0" collapsed="false">
      <c r="A307" s="19"/>
      <c r="B307" s="17"/>
      <c r="C307" s="11" t="str">
        <f aca="false">IF(B307="","",IFERROR(INDEX(Students!$B$4:$B$203,MATCH(B307,Students!$A$4:$A$203,0)),""))</f>
        <v/>
      </c>
      <c r="D307" s="17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19"/>
    </row>
    <row r="308" customFormat="false" ht="15" hidden="false" customHeight="true" outlineLevel="0" collapsed="false">
      <c r="A308" s="19"/>
      <c r="B308" s="17"/>
      <c r="C308" s="11" t="str">
        <f aca="false">IF(B308="","",IFERROR(INDEX(Students!$B$4:$B$203,MATCH(B308,Students!$A$4:$A$203,0)),""))</f>
        <v/>
      </c>
      <c r="D308" s="17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19"/>
    </row>
    <row r="309" customFormat="false" ht="15" hidden="false" customHeight="true" outlineLevel="0" collapsed="false">
      <c r="A309" s="19"/>
      <c r="B309" s="17"/>
      <c r="C309" s="11" t="str">
        <f aca="false">IF(B309="","",IFERROR(INDEX(Students!$B$4:$B$203,MATCH(B309,Students!$A$4:$A$203,0)),""))</f>
        <v/>
      </c>
      <c r="D309" s="17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19"/>
    </row>
    <row r="310" customFormat="false" ht="15" hidden="false" customHeight="true" outlineLevel="0" collapsed="false">
      <c r="A310" s="19"/>
      <c r="B310" s="17"/>
      <c r="C310" s="11" t="str">
        <f aca="false">IF(B310="","",IFERROR(INDEX(Students!$B$4:$B$203,MATCH(B310,Students!$A$4:$A$203,0)),""))</f>
        <v/>
      </c>
      <c r="D310" s="17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7"/>
      <c r="P310" s="19"/>
    </row>
    <row r="311" customFormat="false" ht="15" hidden="false" customHeight="true" outlineLevel="0" collapsed="false">
      <c r="A311" s="19"/>
      <c r="B311" s="17"/>
      <c r="C311" s="11" t="str">
        <f aca="false">IF(B311="","",IFERROR(INDEX(Students!$B$4:$B$203,MATCH(B311,Students!$A$4:$A$203,0)),""))</f>
        <v/>
      </c>
      <c r="D311" s="17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19"/>
    </row>
    <row r="312" customFormat="false" ht="15" hidden="false" customHeight="true" outlineLevel="0" collapsed="false">
      <c r="A312" s="19"/>
      <c r="B312" s="17"/>
      <c r="C312" s="11" t="str">
        <f aca="false">IF(B312="","",IFERROR(INDEX(Students!$B$4:$B$203,MATCH(B312,Students!$A$4:$A$203,0)),""))</f>
        <v/>
      </c>
      <c r="D312" s="17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7"/>
      <c r="P312" s="19"/>
    </row>
    <row r="313" customFormat="false" ht="15" hidden="false" customHeight="true" outlineLevel="0" collapsed="false">
      <c r="A313" s="19"/>
      <c r="B313" s="17"/>
      <c r="C313" s="11" t="str">
        <f aca="false">IF(B313="","",IFERROR(INDEX(Students!$B$4:$B$203,MATCH(B313,Students!$A$4:$A$203,0)),""))</f>
        <v/>
      </c>
      <c r="D313" s="17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7"/>
      <c r="P313" s="19"/>
    </row>
    <row r="314" customFormat="false" ht="15" hidden="false" customHeight="true" outlineLevel="0" collapsed="false">
      <c r="A314" s="19"/>
      <c r="B314" s="17"/>
      <c r="C314" s="11" t="str">
        <f aca="false">IF(B314="","",IFERROR(INDEX(Students!$B$4:$B$203,MATCH(B314,Students!$A$4:$A$203,0)),""))</f>
        <v/>
      </c>
      <c r="D314" s="17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7"/>
      <c r="P314" s="19"/>
    </row>
    <row r="315" customFormat="false" ht="15" hidden="false" customHeight="true" outlineLevel="0" collapsed="false">
      <c r="A315" s="19"/>
      <c r="B315" s="17"/>
      <c r="C315" s="11" t="str">
        <f aca="false">IF(B315="","",IFERROR(INDEX(Students!$B$4:$B$203,MATCH(B315,Students!$A$4:$A$203,0)),""))</f>
        <v/>
      </c>
      <c r="D315" s="17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7"/>
      <c r="P315" s="19"/>
    </row>
    <row r="316" customFormat="false" ht="15" hidden="false" customHeight="true" outlineLevel="0" collapsed="false">
      <c r="A316" s="19"/>
      <c r="B316" s="17"/>
      <c r="C316" s="11" t="str">
        <f aca="false">IF(B316="","",IFERROR(INDEX(Students!$B$4:$B$203,MATCH(B316,Students!$A$4:$A$203,0)),""))</f>
        <v/>
      </c>
      <c r="D316" s="17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7"/>
      <c r="P316" s="19"/>
    </row>
    <row r="317" customFormat="false" ht="15" hidden="false" customHeight="true" outlineLevel="0" collapsed="false">
      <c r="A317" s="19"/>
      <c r="B317" s="17"/>
      <c r="C317" s="11" t="str">
        <f aca="false">IF(B317="","",IFERROR(INDEX(Students!$B$4:$B$203,MATCH(B317,Students!$A$4:$A$203,0)),""))</f>
        <v/>
      </c>
      <c r="D317" s="17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7"/>
      <c r="P317" s="19"/>
    </row>
    <row r="318" customFormat="false" ht="15" hidden="false" customHeight="true" outlineLevel="0" collapsed="false">
      <c r="A318" s="19"/>
      <c r="B318" s="17"/>
      <c r="C318" s="11" t="str">
        <f aca="false">IF(B318="","",IFERROR(INDEX(Students!$B$4:$B$203,MATCH(B318,Students!$A$4:$A$203,0)),""))</f>
        <v/>
      </c>
      <c r="D318" s="17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19"/>
    </row>
    <row r="319" customFormat="false" ht="15" hidden="false" customHeight="true" outlineLevel="0" collapsed="false">
      <c r="A319" s="19"/>
      <c r="B319" s="17"/>
      <c r="C319" s="11" t="str">
        <f aca="false">IF(B319="","",IFERROR(INDEX(Students!$B$4:$B$203,MATCH(B319,Students!$A$4:$A$203,0)),""))</f>
        <v/>
      </c>
      <c r="D319" s="17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7"/>
      <c r="P319" s="19"/>
    </row>
    <row r="320" customFormat="false" ht="15" hidden="false" customHeight="true" outlineLevel="0" collapsed="false">
      <c r="A320" s="19"/>
      <c r="B320" s="17"/>
      <c r="C320" s="11" t="str">
        <f aca="false">IF(B320="","",IFERROR(INDEX(Students!$B$4:$B$203,MATCH(B320,Students!$A$4:$A$203,0)),""))</f>
        <v/>
      </c>
      <c r="D320" s="17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7"/>
      <c r="P320" s="19"/>
    </row>
    <row r="321" customFormat="false" ht="15" hidden="false" customHeight="true" outlineLevel="0" collapsed="false">
      <c r="A321" s="19"/>
      <c r="B321" s="17"/>
      <c r="C321" s="11" t="str">
        <f aca="false">IF(B321="","",IFERROR(INDEX(Students!$B$4:$B$203,MATCH(B321,Students!$A$4:$A$203,0)),""))</f>
        <v/>
      </c>
      <c r="D321" s="17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7"/>
      <c r="P321" s="19"/>
    </row>
    <row r="322" customFormat="false" ht="15" hidden="false" customHeight="true" outlineLevel="0" collapsed="false">
      <c r="A322" s="19"/>
      <c r="B322" s="17"/>
      <c r="C322" s="11" t="str">
        <f aca="false">IF(B322="","",IFERROR(INDEX(Students!$B$4:$B$203,MATCH(B322,Students!$A$4:$A$203,0)),""))</f>
        <v/>
      </c>
      <c r="D322" s="17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19"/>
    </row>
    <row r="323" customFormat="false" ht="15" hidden="false" customHeight="true" outlineLevel="0" collapsed="false">
      <c r="A323" s="19"/>
      <c r="B323" s="17"/>
      <c r="C323" s="11" t="str">
        <f aca="false">IF(B323="","",IFERROR(INDEX(Students!$B$4:$B$203,MATCH(B323,Students!$A$4:$A$203,0)),""))</f>
        <v/>
      </c>
      <c r="D323" s="17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7"/>
      <c r="P323" s="19"/>
    </row>
    <row r="324" customFormat="false" ht="15" hidden="false" customHeight="true" outlineLevel="0" collapsed="false">
      <c r="A324" s="19"/>
      <c r="B324" s="17"/>
      <c r="C324" s="11" t="str">
        <f aca="false">IF(B324="","",IFERROR(INDEX(Students!$B$4:$B$203,MATCH(B324,Students!$A$4:$A$203,0)),""))</f>
        <v/>
      </c>
      <c r="D324" s="17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7"/>
      <c r="P324" s="19"/>
    </row>
    <row r="325" customFormat="false" ht="15" hidden="false" customHeight="true" outlineLevel="0" collapsed="false">
      <c r="A325" s="19"/>
      <c r="B325" s="17"/>
      <c r="C325" s="11" t="str">
        <f aca="false">IF(B325="","",IFERROR(INDEX(Students!$B$4:$B$203,MATCH(B325,Students!$A$4:$A$203,0)),""))</f>
        <v/>
      </c>
      <c r="D325" s="17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7"/>
      <c r="P325" s="19"/>
    </row>
    <row r="326" customFormat="false" ht="15" hidden="false" customHeight="true" outlineLevel="0" collapsed="false">
      <c r="A326" s="19"/>
      <c r="B326" s="17"/>
      <c r="C326" s="11" t="str">
        <f aca="false">IF(B326="","",IFERROR(INDEX(Students!$B$4:$B$203,MATCH(B326,Students!$A$4:$A$203,0)),""))</f>
        <v/>
      </c>
      <c r="D326" s="17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7"/>
      <c r="P326" s="19"/>
    </row>
    <row r="327" customFormat="false" ht="15" hidden="false" customHeight="true" outlineLevel="0" collapsed="false">
      <c r="A327" s="19"/>
      <c r="B327" s="17"/>
      <c r="C327" s="11" t="str">
        <f aca="false">IF(B327="","",IFERROR(INDEX(Students!$B$4:$B$203,MATCH(B327,Students!$A$4:$A$203,0)),""))</f>
        <v/>
      </c>
      <c r="D327" s="17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7"/>
      <c r="P327" s="19"/>
    </row>
    <row r="328" customFormat="false" ht="15" hidden="false" customHeight="true" outlineLevel="0" collapsed="false">
      <c r="A328" s="19"/>
      <c r="B328" s="17"/>
      <c r="C328" s="11" t="str">
        <f aca="false">IF(B328="","",IFERROR(INDEX(Students!$B$4:$B$203,MATCH(B328,Students!$A$4:$A$203,0)),""))</f>
        <v/>
      </c>
      <c r="D328" s="17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7"/>
      <c r="P328" s="19"/>
    </row>
    <row r="329" customFormat="false" ht="15" hidden="false" customHeight="true" outlineLevel="0" collapsed="false">
      <c r="A329" s="19"/>
      <c r="B329" s="17"/>
      <c r="C329" s="11" t="str">
        <f aca="false">IF(B329="","",IFERROR(INDEX(Students!$B$4:$B$203,MATCH(B329,Students!$A$4:$A$203,0)),""))</f>
        <v/>
      </c>
      <c r="D329" s="17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7"/>
      <c r="P329" s="19"/>
    </row>
    <row r="330" customFormat="false" ht="15" hidden="false" customHeight="true" outlineLevel="0" collapsed="false">
      <c r="A330" s="19"/>
      <c r="B330" s="17"/>
      <c r="C330" s="11" t="str">
        <f aca="false">IF(B330="","",IFERROR(INDEX(Students!$B$4:$B$203,MATCH(B330,Students!$A$4:$A$203,0)),""))</f>
        <v/>
      </c>
      <c r="D330" s="17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7"/>
      <c r="P330" s="19"/>
    </row>
    <row r="331" customFormat="false" ht="15" hidden="false" customHeight="true" outlineLevel="0" collapsed="false">
      <c r="A331" s="19"/>
      <c r="B331" s="17"/>
      <c r="C331" s="11" t="str">
        <f aca="false">IF(B331="","",IFERROR(INDEX(Students!$B$4:$B$203,MATCH(B331,Students!$A$4:$A$203,0)),""))</f>
        <v/>
      </c>
      <c r="D331" s="17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7"/>
      <c r="P331" s="19"/>
    </row>
    <row r="332" customFormat="false" ht="15" hidden="false" customHeight="true" outlineLevel="0" collapsed="false">
      <c r="A332" s="19"/>
      <c r="B332" s="17"/>
      <c r="C332" s="11" t="str">
        <f aca="false">IF(B332="","",IFERROR(INDEX(Students!$B$4:$B$203,MATCH(B332,Students!$A$4:$A$203,0)),""))</f>
        <v/>
      </c>
      <c r="D332" s="17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19"/>
    </row>
    <row r="333" customFormat="false" ht="15" hidden="false" customHeight="true" outlineLevel="0" collapsed="false">
      <c r="A333" s="19"/>
      <c r="B333" s="17"/>
      <c r="C333" s="11" t="str">
        <f aca="false">IF(B333="","",IFERROR(INDEX(Students!$B$4:$B$203,MATCH(B333,Students!$A$4:$A$203,0)),""))</f>
        <v/>
      </c>
      <c r="D333" s="17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7"/>
      <c r="P333" s="19"/>
    </row>
    <row r="334" customFormat="false" ht="15" hidden="false" customHeight="true" outlineLevel="0" collapsed="false">
      <c r="A334" s="19"/>
      <c r="B334" s="17"/>
      <c r="C334" s="11" t="str">
        <f aca="false">IF(B334="","",IFERROR(INDEX(Students!$B$4:$B$203,MATCH(B334,Students!$A$4:$A$203,0)),""))</f>
        <v/>
      </c>
      <c r="D334" s="17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7"/>
      <c r="P334" s="19"/>
    </row>
    <row r="335" customFormat="false" ht="15" hidden="false" customHeight="true" outlineLevel="0" collapsed="false">
      <c r="A335" s="19"/>
      <c r="B335" s="17"/>
      <c r="C335" s="11" t="str">
        <f aca="false">IF(B335="","",IFERROR(INDEX(Students!$B$4:$B$203,MATCH(B335,Students!$A$4:$A$203,0)),""))</f>
        <v/>
      </c>
      <c r="D335" s="17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7"/>
      <c r="P335" s="19"/>
    </row>
    <row r="336" customFormat="false" ht="15" hidden="false" customHeight="true" outlineLevel="0" collapsed="false">
      <c r="A336" s="19"/>
      <c r="B336" s="17"/>
      <c r="C336" s="11" t="str">
        <f aca="false">IF(B336="","",IFERROR(INDEX(Students!$B$4:$B$203,MATCH(B336,Students!$A$4:$A$203,0)),""))</f>
        <v/>
      </c>
      <c r="D336" s="17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19"/>
    </row>
    <row r="337" customFormat="false" ht="15" hidden="false" customHeight="true" outlineLevel="0" collapsed="false">
      <c r="A337" s="19"/>
      <c r="B337" s="17"/>
      <c r="C337" s="11" t="str">
        <f aca="false">IF(B337="","",IFERROR(INDEX(Students!$B$4:$B$203,MATCH(B337,Students!$A$4:$A$203,0)),""))</f>
        <v/>
      </c>
      <c r="D337" s="17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7"/>
      <c r="P337" s="19"/>
    </row>
    <row r="338" customFormat="false" ht="15" hidden="false" customHeight="true" outlineLevel="0" collapsed="false">
      <c r="A338" s="19"/>
      <c r="B338" s="17"/>
      <c r="C338" s="11" t="str">
        <f aca="false">IF(B338="","",IFERROR(INDEX(Students!$B$4:$B$203,MATCH(B338,Students!$A$4:$A$203,0)),""))</f>
        <v/>
      </c>
      <c r="D338" s="17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19"/>
    </row>
    <row r="339" customFormat="false" ht="15" hidden="false" customHeight="true" outlineLevel="0" collapsed="false">
      <c r="A339" s="19"/>
      <c r="B339" s="17"/>
      <c r="C339" s="11" t="str">
        <f aca="false">IF(B339="","",IFERROR(INDEX(Students!$B$4:$B$203,MATCH(B339,Students!$A$4:$A$203,0)),""))</f>
        <v/>
      </c>
      <c r="D339" s="17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7"/>
      <c r="P339" s="19"/>
    </row>
    <row r="340" customFormat="false" ht="15" hidden="false" customHeight="true" outlineLevel="0" collapsed="false">
      <c r="A340" s="19"/>
      <c r="B340" s="17"/>
      <c r="C340" s="11" t="str">
        <f aca="false">IF(B340="","",IFERROR(INDEX(Students!$B$4:$B$203,MATCH(B340,Students!$A$4:$A$203,0)),""))</f>
        <v/>
      </c>
      <c r="D340" s="17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19"/>
    </row>
    <row r="341" customFormat="false" ht="15" hidden="false" customHeight="true" outlineLevel="0" collapsed="false">
      <c r="A341" s="19"/>
      <c r="B341" s="17"/>
      <c r="C341" s="11" t="str">
        <f aca="false">IF(B341="","",IFERROR(INDEX(Students!$B$4:$B$203,MATCH(B341,Students!$A$4:$A$203,0)),""))</f>
        <v/>
      </c>
      <c r="D341" s="17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7"/>
      <c r="P341" s="19"/>
    </row>
    <row r="342" customFormat="false" ht="15" hidden="false" customHeight="true" outlineLevel="0" collapsed="false">
      <c r="A342" s="19"/>
      <c r="B342" s="17"/>
      <c r="C342" s="11" t="str">
        <f aca="false">IF(B342="","",IFERROR(INDEX(Students!$B$4:$B$203,MATCH(B342,Students!$A$4:$A$203,0)),""))</f>
        <v/>
      </c>
      <c r="D342" s="17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7"/>
      <c r="P342" s="19"/>
    </row>
    <row r="343" customFormat="false" ht="15" hidden="false" customHeight="true" outlineLevel="0" collapsed="false">
      <c r="A343" s="19"/>
      <c r="B343" s="17"/>
      <c r="C343" s="11" t="str">
        <f aca="false">IF(B343="","",IFERROR(INDEX(Students!$B$4:$B$203,MATCH(B343,Students!$A$4:$A$203,0)),""))</f>
        <v/>
      </c>
      <c r="D343" s="17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7"/>
      <c r="P343" s="19"/>
    </row>
    <row r="344" customFormat="false" ht="15" hidden="false" customHeight="true" outlineLevel="0" collapsed="false">
      <c r="A344" s="19"/>
      <c r="B344" s="17"/>
      <c r="C344" s="11" t="str">
        <f aca="false">IF(B344="","",IFERROR(INDEX(Students!$B$4:$B$203,MATCH(B344,Students!$A$4:$A$203,0)),""))</f>
        <v/>
      </c>
      <c r="D344" s="17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7"/>
      <c r="P344" s="19"/>
    </row>
    <row r="345" customFormat="false" ht="15" hidden="false" customHeight="true" outlineLevel="0" collapsed="false">
      <c r="A345" s="19"/>
      <c r="B345" s="17"/>
      <c r="C345" s="11" t="str">
        <f aca="false">IF(B345="","",IFERROR(INDEX(Students!$B$4:$B$203,MATCH(B345,Students!$A$4:$A$203,0)),""))</f>
        <v/>
      </c>
      <c r="D345" s="17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7"/>
      <c r="P345" s="19"/>
    </row>
    <row r="346" customFormat="false" ht="15" hidden="false" customHeight="true" outlineLevel="0" collapsed="false">
      <c r="A346" s="19"/>
      <c r="B346" s="17"/>
      <c r="C346" s="11" t="str">
        <f aca="false">IF(B346="","",IFERROR(INDEX(Students!$B$4:$B$203,MATCH(B346,Students!$A$4:$A$203,0)),""))</f>
        <v/>
      </c>
      <c r="D346" s="17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7"/>
      <c r="P346" s="19"/>
    </row>
    <row r="347" customFormat="false" ht="15" hidden="false" customHeight="true" outlineLevel="0" collapsed="false">
      <c r="A347" s="19"/>
      <c r="B347" s="17"/>
      <c r="C347" s="11" t="str">
        <f aca="false">IF(B347="","",IFERROR(INDEX(Students!$B$4:$B$203,MATCH(B347,Students!$A$4:$A$203,0)),""))</f>
        <v/>
      </c>
      <c r="D347" s="17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7"/>
      <c r="P347" s="19"/>
    </row>
    <row r="348" customFormat="false" ht="15" hidden="false" customHeight="true" outlineLevel="0" collapsed="false">
      <c r="A348" s="19"/>
      <c r="B348" s="17"/>
      <c r="C348" s="11" t="str">
        <f aca="false">IF(B348="","",IFERROR(INDEX(Students!$B$4:$B$203,MATCH(B348,Students!$A$4:$A$203,0)),""))</f>
        <v/>
      </c>
      <c r="D348" s="17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7"/>
      <c r="P348" s="19"/>
    </row>
    <row r="349" customFormat="false" ht="15" hidden="false" customHeight="true" outlineLevel="0" collapsed="false">
      <c r="A349" s="19"/>
      <c r="B349" s="17"/>
      <c r="C349" s="11" t="str">
        <f aca="false">IF(B349="","",IFERROR(INDEX(Students!$B$4:$B$203,MATCH(B349,Students!$A$4:$A$203,0)),""))</f>
        <v/>
      </c>
      <c r="D349" s="17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7"/>
      <c r="P349" s="19"/>
    </row>
    <row r="350" customFormat="false" ht="15" hidden="false" customHeight="true" outlineLevel="0" collapsed="false">
      <c r="A350" s="19"/>
      <c r="B350" s="17"/>
      <c r="C350" s="11" t="str">
        <f aca="false">IF(B350="","",IFERROR(INDEX(Students!$B$4:$B$203,MATCH(B350,Students!$A$4:$A$203,0)),""))</f>
        <v/>
      </c>
      <c r="D350" s="17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7"/>
      <c r="P350" s="19"/>
    </row>
    <row r="351" customFormat="false" ht="15" hidden="false" customHeight="true" outlineLevel="0" collapsed="false">
      <c r="A351" s="19"/>
      <c r="B351" s="17"/>
      <c r="C351" s="11" t="str">
        <f aca="false">IF(B351="","",IFERROR(INDEX(Students!$B$4:$B$203,MATCH(B351,Students!$A$4:$A$203,0)),""))</f>
        <v/>
      </c>
      <c r="D351" s="17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7"/>
      <c r="P351" s="19"/>
    </row>
    <row r="352" customFormat="false" ht="15" hidden="false" customHeight="true" outlineLevel="0" collapsed="false">
      <c r="A352" s="19"/>
      <c r="B352" s="17"/>
      <c r="C352" s="11" t="str">
        <f aca="false">IF(B352="","",IFERROR(INDEX(Students!$B$4:$B$203,MATCH(B352,Students!$A$4:$A$203,0)),""))</f>
        <v/>
      </c>
      <c r="D352" s="17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7"/>
      <c r="P352" s="19"/>
    </row>
    <row r="353" customFormat="false" ht="15" hidden="false" customHeight="true" outlineLevel="0" collapsed="false">
      <c r="A353" s="19"/>
      <c r="B353" s="17"/>
      <c r="C353" s="11" t="str">
        <f aca="false">IF(B353="","",IFERROR(INDEX(Students!$B$4:$B$203,MATCH(B353,Students!$A$4:$A$203,0)),""))</f>
        <v/>
      </c>
      <c r="D353" s="17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7"/>
      <c r="P353" s="19"/>
    </row>
    <row r="354" customFormat="false" ht="15" hidden="false" customHeight="true" outlineLevel="0" collapsed="false">
      <c r="A354" s="19"/>
      <c r="B354" s="17"/>
      <c r="C354" s="11" t="str">
        <f aca="false">IF(B354="","",IFERROR(INDEX(Students!$B$4:$B$203,MATCH(B354,Students!$A$4:$A$203,0)),""))</f>
        <v/>
      </c>
      <c r="D354" s="17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7"/>
      <c r="P354" s="19"/>
    </row>
    <row r="355" customFormat="false" ht="15" hidden="false" customHeight="true" outlineLevel="0" collapsed="false">
      <c r="A355" s="19"/>
      <c r="B355" s="17"/>
      <c r="C355" s="11" t="str">
        <f aca="false">IF(B355="","",IFERROR(INDEX(Students!$B$4:$B$203,MATCH(B355,Students!$A$4:$A$203,0)),""))</f>
        <v/>
      </c>
      <c r="D355" s="17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7"/>
      <c r="P355" s="19"/>
    </row>
    <row r="356" customFormat="false" ht="15" hidden="false" customHeight="true" outlineLevel="0" collapsed="false">
      <c r="A356" s="19"/>
      <c r="B356" s="17"/>
      <c r="C356" s="11" t="str">
        <f aca="false">IF(B356="","",IFERROR(INDEX(Students!$B$4:$B$203,MATCH(B356,Students!$A$4:$A$203,0)),""))</f>
        <v/>
      </c>
      <c r="D356" s="17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7"/>
      <c r="P356" s="19"/>
    </row>
    <row r="357" customFormat="false" ht="15" hidden="false" customHeight="true" outlineLevel="0" collapsed="false">
      <c r="A357" s="19"/>
      <c r="B357" s="17"/>
      <c r="C357" s="11" t="str">
        <f aca="false">IF(B357="","",IFERROR(INDEX(Students!$B$4:$B$203,MATCH(B357,Students!$A$4:$A$203,0)),""))</f>
        <v/>
      </c>
      <c r="D357" s="17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7"/>
      <c r="P357" s="19"/>
    </row>
    <row r="358" customFormat="false" ht="15" hidden="false" customHeight="true" outlineLevel="0" collapsed="false">
      <c r="A358" s="19"/>
      <c r="B358" s="17"/>
      <c r="C358" s="11" t="str">
        <f aca="false">IF(B358="","",IFERROR(INDEX(Students!$B$4:$B$203,MATCH(B358,Students!$A$4:$A$203,0)),""))</f>
        <v/>
      </c>
      <c r="D358" s="17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7"/>
      <c r="P358" s="19"/>
    </row>
    <row r="359" customFormat="false" ht="15" hidden="false" customHeight="true" outlineLevel="0" collapsed="false">
      <c r="A359" s="19"/>
      <c r="B359" s="17"/>
      <c r="C359" s="11" t="str">
        <f aca="false">IF(B359="","",IFERROR(INDEX(Students!$B$4:$B$203,MATCH(B359,Students!$A$4:$A$203,0)),""))</f>
        <v/>
      </c>
      <c r="D359" s="17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7"/>
      <c r="P359" s="19"/>
    </row>
    <row r="360" customFormat="false" ht="15" hidden="false" customHeight="true" outlineLevel="0" collapsed="false">
      <c r="A360" s="19"/>
      <c r="B360" s="17"/>
      <c r="C360" s="11" t="str">
        <f aca="false">IF(B360="","",IFERROR(INDEX(Students!$B$4:$B$203,MATCH(B360,Students!$A$4:$A$203,0)),""))</f>
        <v/>
      </c>
      <c r="D360" s="17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7"/>
      <c r="P360" s="19"/>
    </row>
    <row r="361" customFormat="false" ht="15" hidden="false" customHeight="true" outlineLevel="0" collapsed="false">
      <c r="A361" s="19"/>
      <c r="B361" s="17"/>
      <c r="C361" s="11" t="str">
        <f aca="false">IF(B361="","",IFERROR(INDEX(Students!$B$4:$B$203,MATCH(B361,Students!$A$4:$A$203,0)),""))</f>
        <v/>
      </c>
      <c r="D361" s="17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7"/>
      <c r="P361" s="19"/>
    </row>
    <row r="362" customFormat="false" ht="15" hidden="false" customHeight="true" outlineLevel="0" collapsed="false">
      <c r="A362" s="19"/>
      <c r="B362" s="17"/>
      <c r="C362" s="11" t="str">
        <f aca="false">IF(B362="","",IFERROR(INDEX(Students!$B$4:$B$203,MATCH(B362,Students!$A$4:$A$203,0)),""))</f>
        <v/>
      </c>
      <c r="D362" s="17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7"/>
      <c r="P362" s="19"/>
    </row>
    <row r="363" customFormat="false" ht="15" hidden="false" customHeight="true" outlineLevel="0" collapsed="false">
      <c r="A363" s="19"/>
      <c r="B363" s="17"/>
      <c r="C363" s="11" t="str">
        <f aca="false">IF(B363="","",IFERROR(INDEX(Students!$B$4:$B$203,MATCH(B363,Students!$A$4:$A$203,0)),""))</f>
        <v/>
      </c>
      <c r="D363" s="17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7"/>
      <c r="P363" s="19"/>
    </row>
    <row r="364" customFormat="false" ht="15" hidden="false" customHeight="true" outlineLevel="0" collapsed="false">
      <c r="A364" s="19"/>
      <c r="B364" s="17"/>
      <c r="C364" s="11" t="str">
        <f aca="false">IF(B364="","",IFERROR(INDEX(Students!$B$4:$B$203,MATCH(B364,Students!$A$4:$A$203,0)),""))</f>
        <v/>
      </c>
      <c r="D364" s="17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7"/>
      <c r="P364" s="19"/>
    </row>
    <row r="365" customFormat="false" ht="15" hidden="false" customHeight="true" outlineLevel="0" collapsed="false">
      <c r="A365" s="19"/>
      <c r="B365" s="17"/>
      <c r="C365" s="11" t="str">
        <f aca="false">IF(B365="","",IFERROR(INDEX(Students!$B$4:$B$203,MATCH(B365,Students!$A$4:$A$203,0)),""))</f>
        <v/>
      </c>
      <c r="D365" s="17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7"/>
      <c r="P365" s="19"/>
    </row>
    <row r="366" customFormat="false" ht="15" hidden="false" customHeight="true" outlineLevel="0" collapsed="false">
      <c r="A366" s="19"/>
      <c r="B366" s="17"/>
      <c r="C366" s="11" t="str">
        <f aca="false">IF(B366="","",IFERROR(INDEX(Students!$B$4:$B$203,MATCH(B366,Students!$A$4:$A$203,0)),""))</f>
        <v/>
      </c>
      <c r="D366" s="17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7"/>
      <c r="P366" s="19"/>
    </row>
    <row r="367" customFormat="false" ht="15" hidden="false" customHeight="true" outlineLevel="0" collapsed="false">
      <c r="A367" s="19"/>
      <c r="B367" s="17"/>
      <c r="C367" s="11" t="str">
        <f aca="false">IF(B367="","",IFERROR(INDEX(Students!$B$4:$B$203,MATCH(B367,Students!$A$4:$A$203,0)),""))</f>
        <v/>
      </c>
      <c r="D367" s="17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7"/>
      <c r="P367" s="19"/>
    </row>
    <row r="368" customFormat="false" ht="15" hidden="false" customHeight="true" outlineLevel="0" collapsed="false">
      <c r="A368" s="19"/>
      <c r="B368" s="17"/>
      <c r="C368" s="11" t="str">
        <f aca="false">IF(B368="","",IFERROR(INDEX(Students!$B$4:$B$203,MATCH(B368,Students!$A$4:$A$203,0)),""))</f>
        <v/>
      </c>
      <c r="D368" s="17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7"/>
      <c r="P368" s="19"/>
    </row>
    <row r="369" customFormat="false" ht="15" hidden="false" customHeight="true" outlineLevel="0" collapsed="false">
      <c r="A369" s="19"/>
      <c r="B369" s="17"/>
      <c r="C369" s="11" t="str">
        <f aca="false">IF(B369="","",IFERROR(INDEX(Students!$B$4:$B$203,MATCH(B369,Students!$A$4:$A$203,0)),""))</f>
        <v/>
      </c>
      <c r="D369" s="17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7"/>
      <c r="P369" s="19"/>
    </row>
    <row r="370" customFormat="false" ht="15" hidden="false" customHeight="true" outlineLevel="0" collapsed="false">
      <c r="A370" s="19"/>
      <c r="B370" s="17"/>
      <c r="C370" s="11" t="str">
        <f aca="false">IF(B370="","",IFERROR(INDEX(Students!$B$4:$B$203,MATCH(B370,Students!$A$4:$A$203,0)),""))</f>
        <v/>
      </c>
      <c r="D370" s="17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7"/>
      <c r="P370" s="19"/>
    </row>
    <row r="371" customFormat="false" ht="15" hidden="false" customHeight="true" outlineLevel="0" collapsed="false">
      <c r="A371" s="19"/>
      <c r="B371" s="17"/>
      <c r="C371" s="11" t="str">
        <f aca="false">IF(B371="","",IFERROR(INDEX(Students!$B$4:$B$203,MATCH(B371,Students!$A$4:$A$203,0)),""))</f>
        <v/>
      </c>
      <c r="D371" s="17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7"/>
      <c r="P371" s="19"/>
    </row>
    <row r="372" customFormat="false" ht="15" hidden="false" customHeight="true" outlineLevel="0" collapsed="false">
      <c r="A372" s="19"/>
      <c r="B372" s="17"/>
      <c r="C372" s="11" t="str">
        <f aca="false">IF(B372="","",IFERROR(INDEX(Students!$B$4:$B$203,MATCH(B372,Students!$A$4:$A$203,0)),""))</f>
        <v/>
      </c>
      <c r="D372" s="17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7"/>
      <c r="P372" s="19"/>
    </row>
    <row r="373" customFormat="false" ht="15" hidden="false" customHeight="true" outlineLevel="0" collapsed="false">
      <c r="A373" s="19"/>
      <c r="B373" s="17"/>
      <c r="C373" s="11" t="str">
        <f aca="false">IF(B373="","",IFERROR(INDEX(Students!$B$4:$B$203,MATCH(B373,Students!$A$4:$A$203,0)),""))</f>
        <v/>
      </c>
      <c r="D373" s="17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7"/>
      <c r="P373" s="19"/>
    </row>
    <row r="374" customFormat="false" ht="15" hidden="false" customHeight="true" outlineLevel="0" collapsed="false">
      <c r="A374" s="19"/>
      <c r="B374" s="17"/>
      <c r="C374" s="11" t="str">
        <f aca="false">IF(B374="","",IFERROR(INDEX(Students!$B$4:$B$203,MATCH(B374,Students!$A$4:$A$203,0)),""))</f>
        <v/>
      </c>
      <c r="D374" s="17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7"/>
      <c r="P374" s="19"/>
    </row>
    <row r="375" customFormat="false" ht="15" hidden="false" customHeight="true" outlineLevel="0" collapsed="false">
      <c r="A375" s="19"/>
      <c r="B375" s="17"/>
      <c r="C375" s="11" t="str">
        <f aca="false">IF(B375="","",IFERROR(INDEX(Students!$B$4:$B$203,MATCH(B375,Students!$A$4:$A$203,0)),""))</f>
        <v/>
      </c>
      <c r="D375" s="17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7"/>
      <c r="P375" s="19"/>
    </row>
    <row r="376" customFormat="false" ht="15" hidden="false" customHeight="true" outlineLevel="0" collapsed="false">
      <c r="A376" s="19"/>
      <c r="B376" s="17"/>
      <c r="C376" s="11" t="str">
        <f aca="false">IF(B376="","",IFERROR(INDEX(Students!$B$4:$B$203,MATCH(B376,Students!$A$4:$A$203,0)),""))</f>
        <v/>
      </c>
      <c r="D376" s="17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7"/>
      <c r="P376" s="19"/>
    </row>
    <row r="377" customFormat="false" ht="15" hidden="false" customHeight="true" outlineLevel="0" collapsed="false">
      <c r="A377" s="19"/>
      <c r="B377" s="17"/>
      <c r="C377" s="11" t="str">
        <f aca="false">IF(B377="","",IFERROR(INDEX(Students!$B$4:$B$203,MATCH(B377,Students!$A$4:$A$203,0)),""))</f>
        <v/>
      </c>
      <c r="D377" s="17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7"/>
      <c r="P377" s="19"/>
    </row>
    <row r="378" customFormat="false" ht="15" hidden="false" customHeight="true" outlineLevel="0" collapsed="false">
      <c r="A378" s="19"/>
      <c r="B378" s="17"/>
      <c r="C378" s="11" t="str">
        <f aca="false">IF(B378="","",IFERROR(INDEX(Students!$B$4:$B$203,MATCH(B378,Students!$A$4:$A$203,0)),""))</f>
        <v/>
      </c>
      <c r="D378" s="17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7"/>
      <c r="P378" s="19"/>
    </row>
    <row r="379" customFormat="false" ht="15" hidden="false" customHeight="true" outlineLevel="0" collapsed="false">
      <c r="A379" s="19"/>
      <c r="B379" s="17"/>
      <c r="C379" s="11" t="str">
        <f aca="false">IF(B379="","",IFERROR(INDEX(Students!$B$4:$B$203,MATCH(B379,Students!$A$4:$A$203,0)),""))</f>
        <v/>
      </c>
      <c r="D379" s="17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7"/>
      <c r="P379" s="19"/>
    </row>
    <row r="380" customFormat="false" ht="15" hidden="false" customHeight="true" outlineLevel="0" collapsed="false">
      <c r="A380" s="19"/>
      <c r="B380" s="17"/>
      <c r="C380" s="11" t="str">
        <f aca="false">IF(B380="","",IFERROR(INDEX(Students!$B$4:$B$203,MATCH(B380,Students!$A$4:$A$203,0)),""))</f>
        <v/>
      </c>
      <c r="D380" s="17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7"/>
      <c r="P380" s="19"/>
    </row>
    <row r="381" customFormat="false" ht="15" hidden="false" customHeight="true" outlineLevel="0" collapsed="false">
      <c r="A381" s="19"/>
      <c r="B381" s="17"/>
      <c r="C381" s="11" t="str">
        <f aca="false">IF(B381="","",IFERROR(INDEX(Students!$B$4:$B$203,MATCH(B381,Students!$A$4:$A$203,0)),""))</f>
        <v/>
      </c>
      <c r="D381" s="17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7"/>
      <c r="P381" s="19"/>
    </row>
    <row r="382" customFormat="false" ht="15" hidden="false" customHeight="true" outlineLevel="0" collapsed="false">
      <c r="A382" s="19"/>
      <c r="B382" s="17"/>
      <c r="C382" s="11" t="str">
        <f aca="false">IF(B382="","",IFERROR(INDEX(Students!$B$4:$B$203,MATCH(B382,Students!$A$4:$A$203,0)),""))</f>
        <v/>
      </c>
      <c r="D382" s="17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7"/>
      <c r="P382" s="19"/>
    </row>
    <row r="383" customFormat="false" ht="15" hidden="false" customHeight="true" outlineLevel="0" collapsed="false">
      <c r="A383" s="19"/>
      <c r="B383" s="17"/>
      <c r="C383" s="11" t="str">
        <f aca="false">IF(B383="","",IFERROR(INDEX(Students!$B$4:$B$203,MATCH(B383,Students!$A$4:$A$203,0)),""))</f>
        <v/>
      </c>
      <c r="D383" s="17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7"/>
      <c r="P383" s="19"/>
    </row>
    <row r="384" customFormat="false" ht="15" hidden="false" customHeight="true" outlineLevel="0" collapsed="false">
      <c r="A384" s="19"/>
      <c r="B384" s="17"/>
      <c r="C384" s="11" t="str">
        <f aca="false">IF(B384="","",IFERROR(INDEX(Students!$B$4:$B$203,MATCH(B384,Students!$A$4:$A$203,0)),""))</f>
        <v/>
      </c>
      <c r="D384" s="17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7"/>
      <c r="P384" s="19"/>
    </row>
    <row r="385" customFormat="false" ht="15" hidden="false" customHeight="true" outlineLevel="0" collapsed="false">
      <c r="A385" s="19"/>
      <c r="B385" s="17"/>
      <c r="C385" s="11" t="str">
        <f aca="false">IF(B385="","",IFERROR(INDEX(Students!$B$4:$B$203,MATCH(B385,Students!$A$4:$A$203,0)),""))</f>
        <v/>
      </c>
      <c r="D385" s="17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7"/>
      <c r="P385" s="19"/>
    </row>
    <row r="386" customFormat="false" ht="15" hidden="false" customHeight="true" outlineLevel="0" collapsed="false">
      <c r="A386" s="19"/>
      <c r="B386" s="17"/>
      <c r="C386" s="11" t="str">
        <f aca="false">IF(B386="","",IFERROR(INDEX(Students!$B$4:$B$203,MATCH(B386,Students!$A$4:$A$203,0)),""))</f>
        <v/>
      </c>
      <c r="D386" s="17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7"/>
      <c r="P386" s="19"/>
    </row>
    <row r="387" customFormat="false" ht="15" hidden="false" customHeight="true" outlineLevel="0" collapsed="false">
      <c r="A387" s="19"/>
      <c r="B387" s="17"/>
      <c r="C387" s="11" t="str">
        <f aca="false">IF(B387="","",IFERROR(INDEX(Students!$B$4:$B$203,MATCH(B387,Students!$A$4:$A$203,0)),""))</f>
        <v/>
      </c>
      <c r="D387" s="17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7"/>
      <c r="P387" s="19"/>
    </row>
    <row r="388" customFormat="false" ht="15" hidden="false" customHeight="true" outlineLevel="0" collapsed="false">
      <c r="A388" s="19"/>
      <c r="B388" s="17"/>
      <c r="C388" s="11" t="str">
        <f aca="false">IF(B388="","",IFERROR(INDEX(Students!$B$4:$B$203,MATCH(B388,Students!$A$4:$A$203,0)),""))</f>
        <v/>
      </c>
      <c r="D388" s="17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7"/>
      <c r="P388" s="19"/>
    </row>
    <row r="389" customFormat="false" ht="15" hidden="false" customHeight="true" outlineLevel="0" collapsed="false">
      <c r="A389" s="19"/>
      <c r="B389" s="17"/>
      <c r="C389" s="11" t="str">
        <f aca="false">IF(B389="","",IFERROR(INDEX(Students!$B$4:$B$203,MATCH(B389,Students!$A$4:$A$203,0)),""))</f>
        <v/>
      </c>
      <c r="D389" s="17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7"/>
      <c r="P389" s="19"/>
    </row>
    <row r="390" customFormat="false" ht="15" hidden="false" customHeight="true" outlineLevel="0" collapsed="false">
      <c r="A390" s="19"/>
      <c r="B390" s="17"/>
      <c r="C390" s="11" t="str">
        <f aca="false">IF(B390="","",IFERROR(INDEX(Students!$B$4:$B$203,MATCH(B390,Students!$A$4:$A$203,0)),""))</f>
        <v/>
      </c>
      <c r="D390" s="17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7"/>
      <c r="P390" s="19"/>
    </row>
    <row r="391" customFormat="false" ht="15" hidden="false" customHeight="true" outlineLevel="0" collapsed="false">
      <c r="A391" s="19"/>
      <c r="B391" s="17"/>
      <c r="C391" s="11" t="str">
        <f aca="false">IF(B391="","",IFERROR(INDEX(Students!$B$4:$B$203,MATCH(B391,Students!$A$4:$A$203,0)),""))</f>
        <v/>
      </c>
      <c r="D391" s="17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7"/>
      <c r="P391" s="19"/>
    </row>
    <row r="392" customFormat="false" ht="15" hidden="false" customHeight="true" outlineLevel="0" collapsed="false">
      <c r="A392" s="19"/>
      <c r="B392" s="17"/>
      <c r="C392" s="11" t="str">
        <f aca="false">IF(B392="","",IFERROR(INDEX(Students!$B$4:$B$203,MATCH(B392,Students!$A$4:$A$203,0)),""))</f>
        <v/>
      </c>
      <c r="D392" s="17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7"/>
      <c r="P392" s="19"/>
    </row>
    <row r="393" customFormat="false" ht="15" hidden="false" customHeight="true" outlineLevel="0" collapsed="false">
      <c r="A393" s="19"/>
      <c r="B393" s="17"/>
      <c r="C393" s="11" t="str">
        <f aca="false">IF(B393="","",IFERROR(INDEX(Students!$B$4:$B$203,MATCH(B393,Students!$A$4:$A$203,0)),""))</f>
        <v/>
      </c>
      <c r="D393" s="17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7"/>
      <c r="P393" s="19"/>
    </row>
    <row r="394" customFormat="false" ht="15" hidden="false" customHeight="true" outlineLevel="0" collapsed="false">
      <c r="A394" s="19"/>
      <c r="B394" s="17"/>
      <c r="C394" s="11" t="str">
        <f aca="false">IF(B394="","",IFERROR(INDEX(Students!$B$4:$B$203,MATCH(B394,Students!$A$4:$A$203,0)),""))</f>
        <v/>
      </c>
      <c r="D394" s="17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7"/>
      <c r="P394" s="19"/>
    </row>
    <row r="395" customFormat="false" ht="15" hidden="false" customHeight="true" outlineLevel="0" collapsed="false">
      <c r="A395" s="19"/>
      <c r="B395" s="17"/>
      <c r="C395" s="11" t="str">
        <f aca="false">IF(B395="","",IFERROR(INDEX(Students!$B$4:$B$203,MATCH(B395,Students!$A$4:$A$203,0)),""))</f>
        <v/>
      </c>
      <c r="D395" s="17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7"/>
      <c r="P395" s="19"/>
    </row>
    <row r="396" customFormat="false" ht="15" hidden="false" customHeight="true" outlineLevel="0" collapsed="false">
      <c r="A396" s="19"/>
      <c r="B396" s="17"/>
      <c r="C396" s="11" t="str">
        <f aca="false">IF(B396="","",IFERROR(INDEX(Students!$B$4:$B$203,MATCH(B396,Students!$A$4:$A$203,0)),""))</f>
        <v/>
      </c>
      <c r="D396" s="17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7"/>
      <c r="P396" s="19"/>
    </row>
    <row r="397" customFormat="false" ht="15" hidden="false" customHeight="true" outlineLevel="0" collapsed="false">
      <c r="A397" s="19"/>
      <c r="B397" s="17"/>
      <c r="C397" s="11" t="str">
        <f aca="false">IF(B397="","",IFERROR(INDEX(Students!$B$4:$B$203,MATCH(B397,Students!$A$4:$A$203,0)),""))</f>
        <v/>
      </c>
      <c r="D397" s="17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7"/>
      <c r="P397" s="19"/>
    </row>
    <row r="398" customFormat="false" ht="15" hidden="false" customHeight="true" outlineLevel="0" collapsed="false">
      <c r="A398" s="19"/>
      <c r="B398" s="17"/>
      <c r="C398" s="11" t="str">
        <f aca="false">IF(B398="","",IFERROR(INDEX(Students!$B$4:$B$203,MATCH(B398,Students!$A$4:$A$203,0)),""))</f>
        <v/>
      </c>
      <c r="D398" s="17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7"/>
      <c r="P398" s="19"/>
    </row>
    <row r="399" customFormat="false" ht="15" hidden="false" customHeight="true" outlineLevel="0" collapsed="false">
      <c r="A399" s="19"/>
      <c r="B399" s="17"/>
      <c r="C399" s="11" t="str">
        <f aca="false">IF(B399="","",IFERROR(INDEX(Students!$B$4:$B$203,MATCH(B399,Students!$A$4:$A$203,0)),""))</f>
        <v/>
      </c>
      <c r="D399" s="17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7"/>
      <c r="P399" s="19"/>
    </row>
    <row r="400" customFormat="false" ht="15" hidden="false" customHeight="true" outlineLevel="0" collapsed="false">
      <c r="A400" s="19"/>
      <c r="B400" s="17"/>
      <c r="C400" s="11" t="str">
        <f aca="false">IF(B400="","",IFERROR(INDEX(Students!$B$4:$B$203,MATCH(B400,Students!$A$4:$A$203,0)),""))</f>
        <v/>
      </c>
      <c r="D400" s="17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7"/>
      <c r="P400" s="19"/>
    </row>
    <row r="401" customFormat="false" ht="15" hidden="false" customHeight="true" outlineLevel="0" collapsed="false">
      <c r="A401" s="19"/>
      <c r="B401" s="17"/>
      <c r="C401" s="11" t="str">
        <f aca="false">IF(B401="","",IFERROR(INDEX(Students!$B$4:$B$203,MATCH(B401,Students!$A$4:$A$203,0)),""))</f>
        <v/>
      </c>
      <c r="D401" s="17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7"/>
      <c r="P401" s="19"/>
    </row>
    <row r="402" customFormat="false" ht="15" hidden="false" customHeight="true" outlineLevel="0" collapsed="false">
      <c r="A402" s="19"/>
      <c r="B402" s="17"/>
      <c r="C402" s="11" t="str">
        <f aca="false">IF(B402="","",IFERROR(INDEX(Students!$B$4:$B$203,MATCH(B402,Students!$A$4:$A$203,0)),""))</f>
        <v/>
      </c>
      <c r="D402" s="17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7"/>
      <c r="P402" s="19"/>
    </row>
    <row r="403" customFormat="false" ht="15" hidden="false" customHeight="true" outlineLevel="0" collapsed="false">
      <c r="A403" s="19"/>
      <c r="B403" s="17"/>
      <c r="C403" s="11" t="str">
        <f aca="false">IF(B403="","",IFERROR(INDEX(Students!$B$4:$B$203,MATCH(B403,Students!$A$4:$A$203,0)),""))</f>
        <v/>
      </c>
      <c r="D403" s="17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7"/>
      <c r="P403" s="19"/>
    </row>
    <row r="404" customFormat="false" ht="15" hidden="false" customHeight="true" outlineLevel="0" collapsed="false">
      <c r="A404" s="19"/>
      <c r="B404" s="17"/>
      <c r="C404" s="11" t="str">
        <f aca="false">IF(B404="","",IFERROR(INDEX(Students!$B$4:$B$203,MATCH(B404,Students!$A$4:$A$203,0)),""))</f>
        <v/>
      </c>
      <c r="D404" s="17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7"/>
      <c r="P404" s="19"/>
    </row>
    <row r="405" customFormat="false" ht="15" hidden="false" customHeight="true" outlineLevel="0" collapsed="false">
      <c r="A405" s="19"/>
      <c r="B405" s="17"/>
      <c r="C405" s="11" t="str">
        <f aca="false">IF(B405="","",IFERROR(INDEX(Students!$B$4:$B$203,MATCH(B405,Students!$A$4:$A$203,0)),""))</f>
        <v/>
      </c>
      <c r="D405" s="17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7"/>
      <c r="P405" s="19"/>
    </row>
    <row r="406" customFormat="false" ht="15" hidden="false" customHeight="true" outlineLevel="0" collapsed="false">
      <c r="A406" s="19"/>
      <c r="B406" s="17"/>
      <c r="C406" s="11" t="str">
        <f aca="false">IF(B406="","",IFERROR(INDEX(Students!$B$4:$B$203,MATCH(B406,Students!$A$4:$A$203,0)),""))</f>
        <v/>
      </c>
      <c r="D406" s="17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7"/>
      <c r="P406" s="19"/>
    </row>
    <row r="407" customFormat="false" ht="15" hidden="false" customHeight="true" outlineLevel="0" collapsed="false">
      <c r="A407" s="19"/>
      <c r="B407" s="17"/>
      <c r="C407" s="11" t="str">
        <f aca="false">IF(B407="","",IFERROR(INDEX(Students!$B$4:$B$203,MATCH(B407,Students!$A$4:$A$203,0)),""))</f>
        <v/>
      </c>
      <c r="D407" s="17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7"/>
      <c r="P407" s="19"/>
    </row>
    <row r="408" customFormat="false" ht="15" hidden="false" customHeight="true" outlineLevel="0" collapsed="false">
      <c r="A408" s="19"/>
      <c r="B408" s="17"/>
      <c r="C408" s="11" t="str">
        <f aca="false">IF(B408="","",IFERROR(INDEX(Students!$B$4:$B$203,MATCH(B408,Students!$A$4:$A$203,0)),""))</f>
        <v/>
      </c>
      <c r="D408" s="17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7"/>
      <c r="P408" s="19"/>
    </row>
    <row r="409" customFormat="false" ht="15" hidden="false" customHeight="true" outlineLevel="0" collapsed="false">
      <c r="A409" s="19"/>
      <c r="B409" s="17"/>
      <c r="C409" s="11" t="str">
        <f aca="false">IF(B409="","",IFERROR(INDEX(Students!$B$4:$B$203,MATCH(B409,Students!$A$4:$A$203,0)),""))</f>
        <v/>
      </c>
      <c r="D409" s="17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7"/>
      <c r="P409" s="19"/>
    </row>
    <row r="410" customFormat="false" ht="15" hidden="false" customHeight="true" outlineLevel="0" collapsed="false">
      <c r="A410" s="19"/>
      <c r="B410" s="17"/>
      <c r="C410" s="11" t="str">
        <f aca="false">IF(B410="","",IFERROR(INDEX(Students!$B$4:$B$203,MATCH(B410,Students!$A$4:$A$203,0)),""))</f>
        <v/>
      </c>
      <c r="D410" s="17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7"/>
      <c r="P410" s="19"/>
    </row>
    <row r="411" customFormat="false" ht="15" hidden="false" customHeight="true" outlineLevel="0" collapsed="false">
      <c r="A411" s="19"/>
      <c r="B411" s="17"/>
      <c r="C411" s="11" t="str">
        <f aca="false">IF(B411="","",IFERROR(INDEX(Students!$B$4:$B$203,MATCH(B411,Students!$A$4:$A$203,0)),""))</f>
        <v/>
      </c>
      <c r="D411" s="17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7"/>
      <c r="P411" s="19"/>
    </row>
    <row r="412" customFormat="false" ht="15" hidden="false" customHeight="true" outlineLevel="0" collapsed="false">
      <c r="A412" s="19"/>
      <c r="B412" s="17"/>
      <c r="C412" s="11" t="str">
        <f aca="false">IF(B412="","",IFERROR(INDEX(Students!$B$4:$B$203,MATCH(B412,Students!$A$4:$A$203,0)),""))</f>
        <v/>
      </c>
      <c r="D412" s="17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7"/>
      <c r="P412" s="19"/>
    </row>
    <row r="413" customFormat="false" ht="15" hidden="false" customHeight="true" outlineLevel="0" collapsed="false">
      <c r="A413" s="19"/>
      <c r="B413" s="17"/>
      <c r="C413" s="11" t="str">
        <f aca="false">IF(B413="","",IFERROR(INDEX(Students!$B$4:$B$203,MATCH(B413,Students!$A$4:$A$203,0)),""))</f>
        <v/>
      </c>
      <c r="D413" s="17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7"/>
      <c r="P413" s="19"/>
    </row>
    <row r="414" customFormat="false" ht="15" hidden="false" customHeight="true" outlineLevel="0" collapsed="false">
      <c r="A414" s="19"/>
      <c r="B414" s="17"/>
      <c r="C414" s="11" t="str">
        <f aca="false">IF(B414="","",IFERROR(INDEX(Students!$B$4:$B$203,MATCH(B414,Students!$A$4:$A$203,0)),""))</f>
        <v/>
      </c>
      <c r="D414" s="17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7"/>
      <c r="P414" s="19"/>
    </row>
    <row r="415" customFormat="false" ht="15" hidden="false" customHeight="true" outlineLevel="0" collapsed="false">
      <c r="A415" s="19"/>
      <c r="B415" s="17"/>
      <c r="C415" s="11" t="str">
        <f aca="false">IF(B415="","",IFERROR(INDEX(Students!$B$4:$B$203,MATCH(B415,Students!$A$4:$A$203,0)),""))</f>
        <v/>
      </c>
      <c r="D415" s="17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7"/>
      <c r="P415" s="19"/>
    </row>
    <row r="416" customFormat="false" ht="15" hidden="false" customHeight="true" outlineLevel="0" collapsed="false">
      <c r="A416" s="19"/>
      <c r="B416" s="17"/>
      <c r="C416" s="11" t="str">
        <f aca="false">IF(B416="","",IFERROR(INDEX(Students!$B$4:$B$203,MATCH(B416,Students!$A$4:$A$203,0)),""))</f>
        <v/>
      </c>
      <c r="D416" s="17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7"/>
      <c r="P416" s="19"/>
    </row>
    <row r="417" customFormat="false" ht="15" hidden="false" customHeight="true" outlineLevel="0" collapsed="false">
      <c r="A417" s="19"/>
      <c r="B417" s="17"/>
      <c r="C417" s="11" t="str">
        <f aca="false">IF(B417="","",IFERROR(INDEX(Students!$B$4:$B$203,MATCH(B417,Students!$A$4:$A$203,0)),""))</f>
        <v/>
      </c>
      <c r="D417" s="17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7"/>
      <c r="P417" s="19"/>
    </row>
    <row r="418" customFormat="false" ht="15" hidden="false" customHeight="true" outlineLevel="0" collapsed="false">
      <c r="A418" s="19"/>
      <c r="B418" s="17"/>
      <c r="C418" s="11" t="str">
        <f aca="false">IF(B418="","",IFERROR(INDEX(Students!$B$4:$B$203,MATCH(B418,Students!$A$4:$A$203,0)),""))</f>
        <v/>
      </c>
      <c r="D418" s="17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7"/>
      <c r="P418" s="19"/>
    </row>
    <row r="419" customFormat="false" ht="15" hidden="false" customHeight="true" outlineLevel="0" collapsed="false">
      <c r="A419" s="19"/>
      <c r="B419" s="17"/>
      <c r="C419" s="11" t="str">
        <f aca="false">IF(B419="","",IFERROR(INDEX(Students!$B$4:$B$203,MATCH(B419,Students!$A$4:$A$203,0)),""))</f>
        <v/>
      </c>
      <c r="D419" s="17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7"/>
      <c r="P419" s="19"/>
    </row>
    <row r="420" customFormat="false" ht="15" hidden="false" customHeight="true" outlineLevel="0" collapsed="false">
      <c r="A420" s="19"/>
      <c r="B420" s="17"/>
      <c r="C420" s="11" t="str">
        <f aca="false">IF(B420="","",IFERROR(INDEX(Students!$B$4:$B$203,MATCH(B420,Students!$A$4:$A$203,0)),""))</f>
        <v/>
      </c>
      <c r="D420" s="17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7"/>
      <c r="P420" s="19"/>
    </row>
    <row r="421" customFormat="false" ht="15" hidden="false" customHeight="true" outlineLevel="0" collapsed="false">
      <c r="A421" s="19"/>
      <c r="B421" s="17"/>
      <c r="C421" s="11" t="str">
        <f aca="false">IF(B421="","",IFERROR(INDEX(Students!$B$4:$B$203,MATCH(B421,Students!$A$4:$A$203,0)),""))</f>
        <v/>
      </c>
      <c r="D421" s="17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7"/>
      <c r="P421" s="19"/>
    </row>
    <row r="422" customFormat="false" ht="15" hidden="false" customHeight="true" outlineLevel="0" collapsed="false">
      <c r="A422" s="19"/>
      <c r="B422" s="17"/>
      <c r="C422" s="11" t="str">
        <f aca="false">IF(B422="","",IFERROR(INDEX(Students!$B$4:$B$203,MATCH(B422,Students!$A$4:$A$203,0)),""))</f>
        <v/>
      </c>
      <c r="D422" s="17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7"/>
      <c r="P422" s="19"/>
    </row>
    <row r="423" customFormat="false" ht="15" hidden="false" customHeight="true" outlineLevel="0" collapsed="false">
      <c r="A423" s="19"/>
      <c r="B423" s="17"/>
      <c r="C423" s="11" t="str">
        <f aca="false">IF(B423="","",IFERROR(INDEX(Students!$B$4:$B$203,MATCH(B423,Students!$A$4:$A$203,0)),""))</f>
        <v/>
      </c>
      <c r="D423" s="17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7"/>
      <c r="P423" s="19"/>
    </row>
    <row r="424" customFormat="false" ht="15" hidden="false" customHeight="true" outlineLevel="0" collapsed="false">
      <c r="A424" s="19"/>
      <c r="B424" s="17"/>
      <c r="C424" s="11" t="str">
        <f aca="false">IF(B424="","",IFERROR(INDEX(Students!$B$4:$B$203,MATCH(B424,Students!$A$4:$A$203,0)),""))</f>
        <v/>
      </c>
      <c r="D424" s="17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7"/>
      <c r="P424" s="19"/>
    </row>
    <row r="425" customFormat="false" ht="15" hidden="false" customHeight="true" outlineLevel="0" collapsed="false">
      <c r="A425" s="19"/>
      <c r="B425" s="17"/>
      <c r="C425" s="11" t="str">
        <f aca="false">IF(B425="","",IFERROR(INDEX(Students!$B$4:$B$203,MATCH(B425,Students!$A$4:$A$203,0)),""))</f>
        <v/>
      </c>
      <c r="D425" s="17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7"/>
      <c r="P425" s="19"/>
    </row>
    <row r="426" customFormat="false" ht="15" hidden="false" customHeight="true" outlineLevel="0" collapsed="false">
      <c r="A426" s="19"/>
      <c r="B426" s="17"/>
      <c r="C426" s="11" t="str">
        <f aca="false">IF(B426="","",IFERROR(INDEX(Students!$B$4:$B$203,MATCH(B426,Students!$A$4:$A$203,0)),""))</f>
        <v/>
      </c>
      <c r="D426" s="17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7"/>
      <c r="P426" s="19"/>
    </row>
    <row r="427" customFormat="false" ht="15" hidden="false" customHeight="true" outlineLevel="0" collapsed="false">
      <c r="A427" s="19"/>
      <c r="B427" s="17"/>
      <c r="C427" s="11" t="str">
        <f aca="false">IF(B427="","",IFERROR(INDEX(Students!$B$4:$B$203,MATCH(B427,Students!$A$4:$A$203,0)),""))</f>
        <v/>
      </c>
      <c r="D427" s="17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7"/>
      <c r="P427" s="19"/>
    </row>
    <row r="428" customFormat="false" ht="15" hidden="false" customHeight="true" outlineLevel="0" collapsed="false">
      <c r="A428" s="19"/>
      <c r="B428" s="17"/>
      <c r="C428" s="11" t="str">
        <f aca="false">IF(B428="","",IFERROR(INDEX(Students!$B$4:$B$203,MATCH(B428,Students!$A$4:$A$203,0)),""))</f>
        <v/>
      </c>
      <c r="D428" s="17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7"/>
      <c r="P428" s="19"/>
    </row>
    <row r="429" customFormat="false" ht="15" hidden="false" customHeight="true" outlineLevel="0" collapsed="false">
      <c r="A429" s="19"/>
      <c r="B429" s="17"/>
      <c r="C429" s="11" t="str">
        <f aca="false">IF(B429="","",IFERROR(INDEX(Students!$B$4:$B$203,MATCH(B429,Students!$A$4:$A$203,0)),""))</f>
        <v/>
      </c>
      <c r="D429" s="17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7"/>
      <c r="P429" s="19"/>
    </row>
    <row r="430" customFormat="false" ht="15" hidden="false" customHeight="true" outlineLevel="0" collapsed="false">
      <c r="A430" s="19"/>
      <c r="B430" s="17"/>
      <c r="C430" s="11" t="str">
        <f aca="false">IF(B430="","",IFERROR(INDEX(Students!$B$4:$B$203,MATCH(B430,Students!$A$4:$A$203,0)),""))</f>
        <v/>
      </c>
      <c r="D430" s="17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7"/>
      <c r="P430" s="19"/>
    </row>
    <row r="431" customFormat="false" ht="15" hidden="false" customHeight="true" outlineLevel="0" collapsed="false">
      <c r="A431" s="19"/>
      <c r="B431" s="17"/>
      <c r="C431" s="11" t="str">
        <f aca="false">IF(B431="","",IFERROR(INDEX(Students!$B$4:$B$203,MATCH(B431,Students!$A$4:$A$203,0)),""))</f>
        <v/>
      </c>
      <c r="D431" s="17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7"/>
      <c r="P431" s="19"/>
    </row>
    <row r="432" customFormat="false" ht="15" hidden="false" customHeight="true" outlineLevel="0" collapsed="false">
      <c r="A432" s="19"/>
      <c r="B432" s="17"/>
      <c r="C432" s="11" t="str">
        <f aca="false">IF(B432="","",IFERROR(INDEX(Students!$B$4:$B$203,MATCH(B432,Students!$A$4:$A$203,0)),""))</f>
        <v/>
      </c>
      <c r="D432" s="17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7"/>
      <c r="P432" s="19"/>
    </row>
    <row r="433" customFormat="false" ht="15" hidden="false" customHeight="true" outlineLevel="0" collapsed="false">
      <c r="A433" s="19"/>
      <c r="B433" s="17"/>
      <c r="C433" s="11" t="str">
        <f aca="false">IF(B433="","",IFERROR(INDEX(Students!$B$4:$B$203,MATCH(B433,Students!$A$4:$A$203,0)),""))</f>
        <v/>
      </c>
      <c r="D433" s="17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7"/>
      <c r="P433" s="19"/>
    </row>
    <row r="434" customFormat="false" ht="15" hidden="false" customHeight="true" outlineLevel="0" collapsed="false">
      <c r="A434" s="19"/>
      <c r="B434" s="17"/>
      <c r="C434" s="11" t="str">
        <f aca="false">IF(B434="","",IFERROR(INDEX(Students!$B$4:$B$203,MATCH(B434,Students!$A$4:$A$203,0)),""))</f>
        <v/>
      </c>
      <c r="D434" s="17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7"/>
      <c r="P434" s="19"/>
    </row>
    <row r="435" customFormat="false" ht="15" hidden="false" customHeight="true" outlineLevel="0" collapsed="false">
      <c r="A435" s="19"/>
      <c r="B435" s="17"/>
      <c r="C435" s="11" t="str">
        <f aca="false">IF(B435="","",IFERROR(INDEX(Students!$B$4:$B$203,MATCH(B435,Students!$A$4:$A$203,0)),""))</f>
        <v/>
      </c>
      <c r="D435" s="17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7"/>
      <c r="P435" s="19"/>
    </row>
    <row r="436" customFormat="false" ht="15" hidden="false" customHeight="true" outlineLevel="0" collapsed="false">
      <c r="A436" s="19"/>
      <c r="B436" s="17"/>
      <c r="C436" s="11" t="str">
        <f aca="false">IF(B436="","",IFERROR(INDEX(Students!$B$4:$B$203,MATCH(B436,Students!$A$4:$A$203,0)),""))</f>
        <v/>
      </c>
      <c r="D436" s="17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7"/>
      <c r="P436" s="19"/>
    </row>
    <row r="437" customFormat="false" ht="15" hidden="false" customHeight="true" outlineLevel="0" collapsed="false">
      <c r="A437" s="19"/>
      <c r="B437" s="17"/>
      <c r="C437" s="11" t="str">
        <f aca="false">IF(B437="","",IFERROR(INDEX(Students!$B$4:$B$203,MATCH(B437,Students!$A$4:$A$203,0)),""))</f>
        <v/>
      </c>
      <c r="D437" s="17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7"/>
      <c r="P437" s="19"/>
    </row>
    <row r="438" customFormat="false" ht="15" hidden="false" customHeight="true" outlineLevel="0" collapsed="false">
      <c r="A438" s="19"/>
      <c r="B438" s="17"/>
      <c r="C438" s="11" t="str">
        <f aca="false">IF(B438="","",IFERROR(INDEX(Students!$B$4:$B$203,MATCH(B438,Students!$A$4:$A$203,0)),""))</f>
        <v/>
      </c>
      <c r="D438" s="17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7"/>
      <c r="P438" s="19"/>
    </row>
    <row r="439" customFormat="false" ht="15" hidden="false" customHeight="true" outlineLevel="0" collapsed="false">
      <c r="A439" s="19"/>
      <c r="B439" s="17"/>
      <c r="C439" s="11" t="str">
        <f aca="false">IF(B439="","",IFERROR(INDEX(Students!$B$4:$B$203,MATCH(B439,Students!$A$4:$A$203,0)),""))</f>
        <v/>
      </c>
      <c r="D439" s="17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7"/>
      <c r="P439" s="19"/>
    </row>
    <row r="440" customFormat="false" ht="15" hidden="false" customHeight="true" outlineLevel="0" collapsed="false">
      <c r="A440" s="19"/>
      <c r="B440" s="17"/>
      <c r="C440" s="11" t="str">
        <f aca="false">IF(B440="","",IFERROR(INDEX(Students!$B$4:$B$203,MATCH(B440,Students!$A$4:$A$203,0)),""))</f>
        <v/>
      </c>
      <c r="D440" s="17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7"/>
      <c r="P440" s="19"/>
    </row>
    <row r="441" customFormat="false" ht="15" hidden="false" customHeight="true" outlineLevel="0" collapsed="false">
      <c r="A441" s="19"/>
      <c r="B441" s="17"/>
      <c r="C441" s="11" t="str">
        <f aca="false">IF(B441="","",IFERROR(INDEX(Students!$B$4:$B$203,MATCH(B441,Students!$A$4:$A$203,0)),""))</f>
        <v/>
      </c>
      <c r="D441" s="17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7"/>
      <c r="P441" s="19"/>
    </row>
    <row r="442" customFormat="false" ht="15" hidden="false" customHeight="true" outlineLevel="0" collapsed="false">
      <c r="A442" s="19"/>
      <c r="B442" s="17"/>
      <c r="C442" s="11" t="str">
        <f aca="false">IF(B442="","",IFERROR(INDEX(Students!$B$4:$B$203,MATCH(B442,Students!$A$4:$A$203,0)),""))</f>
        <v/>
      </c>
      <c r="D442" s="17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7"/>
      <c r="P442" s="19"/>
    </row>
    <row r="443" customFormat="false" ht="15" hidden="false" customHeight="true" outlineLevel="0" collapsed="false">
      <c r="A443" s="19"/>
      <c r="B443" s="17"/>
      <c r="C443" s="11" t="str">
        <f aca="false">IF(B443="","",IFERROR(INDEX(Students!$B$4:$B$203,MATCH(B443,Students!$A$4:$A$203,0)),""))</f>
        <v/>
      </c>
      <c r="D443" s="17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7"/>
      <c r="P443" s="19"/>
    </row>
    <row r="444" customFormat="false" ht="15" hidden="false" customHeight="true" outlineLevel="0" collapsed="false">
      <c r="A444" s="19"/>
      <c r="B444" s="17"/>
      <c r="C444" s="11" t="str">
        <f aca="false">IF(B444="","",IFERROR(INDEX(Students!$B$4:$B$203,MATCH(B444,Students!$A$4:$A$203,0)),""))</f>
        <v/>
      </c>
      <c r="D444" s="17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7"/>
      <c r="P444" s="19"/>
    </row>
    <row r="445" customFormat="false" ht="15" hidden="false" customHeight="true" outlineLevel="0" collapsed="false">
      <c r="A445" s="19"/>
      <c r="B445" s="17"/>
      <c r="C445" s="11" t="str">
        <f aca="false">IF(B445="","",IFERROR(INDEX(Students!$B$4:$B$203,MATCH(B445,Students!$A$4:$A$203,0)),""))</f>
        <v/>
      </c>
      <c r="D445" s="17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7"/>
      <c r="P445" s="19"/>
    </row>
    <row r="446" customFormat="false" ht="15" hidden="false" customHeight="true" outlineLevel="0" collapsed="false">
      <c r="A446" s="19"/>
      <c r="B446" s="17"/>
      <c r="C446" s="11" t="str">
        <f aca="false">IF(B446="","",IFERROR(INDEX(Students!$B$4:$B$203,MATCH(B446,Students!$A$4:$A$203,0)),""))</f>
        <v/>
      </c>
      <c r="D446" s="17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7"/>
      <c r="P446" s="19"/>
    </row>
    <row r="447" customFormat="false" ht="15" hidden="false" customHeight="true" outlineLevel="0" collapsed="false">
      <c r="A447" s="19"/>
      <c r="B447" s="17"/>
      <c r="C447" s="11" t="str">
        <f aca="false">IF(B447="","",IFERROR(INDEX(Students!$B$4:$B$203,MATCH(B447,Students!$A$4:$A$203,0)),""))</f>
        <v/>
      </c>
      <c r="D447" s="17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7"/>
      <c r="P447" s="19"/>
    </row>
    <row r="448" customFormat="false" ht="15" hidden="false" customHeight="true" outlineLevel="0" collapsed="false">
      <c r="A448" s="19"/>
      <c r="B448" s="17"/>
      <c r="C448" s="11" t="str">
        <f aca="false">IF(B448="","",IFERROR(INDEX(Students!$B$4:$B$203,MATCH(B448,Students!$A$4:$A$203,0)),""))</f>
        <v/>
      </c>
      <c r="D448" s="17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7"/>
      <c r="P448" s="19"/>
    </row>
    <row r="449" customFormat="false" ht="15" hidden="false" customHeight="true" outlineLevel="0" collapsed="false">
      <c r="A449" s="19"/>
      <c r="B449" s="17"/>
      <c r="C449" s="11" t="str">
        <f aca="false">IF(B449="","",IFERROR(INDEX(Students!$B$4:$B$203,MATCH(B449,Students!$A$4:$A$203,0)),""))</f>
        <v/>
      </c>
      <c r="D449" s="17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7"/>
      <c r="P449" s="19"/>
    </row>
    <row r="450" customFormat="false" ht="15" hidden="false" customHeight="true" outlineLevel="0" collapsed="false">
      <c r="A450" s="19"/>
      <c r="B450" s="17"/>
      <c r="C450" s="11" t="str">
        <f aca="false">IF(B450="","",IFERROR(INDEX(Students!$B$4:$B$203,MATCH(B450,Students!$A$4:$A$203,0)),""))</f>
        <v/>
      </c>
      <c r="D450" s="17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7"/>
      <c r="P450" s="19"/>
    </row>
    <row r="451" customFormat="false" ht="15" hidden="false" customHeight="true" outlineLevel="0" collapsed="false">
      <c r="A451" s="19"/>
      <c r="B451" s="17"/>
      <c r="C451" s="11" t="str">
        <f aca="false">IF(B451="","",IFERROR(INDEX(Students!$B$4:$B$203,MATCH(B451,Students!$A$4:$A$203,0)),""))</f>
        <v/>
      </c>
      <c r="D451" s="17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7"/>
      <c r="P451" s="19"/>
    </row>
    <row r="452" customFormat="false" ht="15" hidden="false" customHeight="true" outlineLevel="0" collapsed="false">
      <c r="A452" s="19"/>
      <c r="B452" s="17"/>
      <c r="C452" s="11" t="str">
        <f aca="false">IF(B452="","",IFERROR(INDEX(Students!$B$4:$B$203,MATCH(B452,Students!$A$4:$A$203,0)),""))</f>
        <v/>
      </c>
      <c r="D452" s="17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7"/>
      <c r="P452" s="19"/>
    </row>
    <row r="453" customFormat="false" ht="15" hidden="false" customHeight="true" outlineLevel="0" collapsed="false">
      <c r="A453" s="19"/>
      <c r="B453" s="17"/>
      <c r="C453" s="11" t="str">
        <f aca="false">IF(B453="","",IFERROR(INDEX(Students!$B$4:$B$203,MATCH(B453,Students!$A$4:$A$203,0)),""))</f>
        <v/>
      </c>
      <c r="D453" s="17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7"/>
      <c r="P453" s="19"/>
    </row>
    <row r="454" customFormat="false" ht="15" hidden="false" customHeight="true" outlineLevel="0" collapsed="false">
      <c r="A454" s="19"/>
      <c r="B454" s="17"/>
      <c r="C454" s="11" t="str">
        <f aca="false">IF(B454="","",IFERROR(INDEX(Students!$B$4:$B$203,MATCH(B454,Students!$A$4:$A$203,0)),""))</f>
        <v/>
      </c>
      <c r="D454" s="17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7"/>
      <c r="P454" s="19"/>
    </row>
    <row r="455" customFormat="false" ht="15" hidden="false" customHeight="true" outlineLevel="0" collapsed="false">
      <c r="A455" s="19"/>
      <c r="B455" s="17"/>
      <c r="C455" s="11" t="str">
        <f aca="false">IF(B455="","",IFERROR(INDEX(Students!$B$4:$B$203,MATCH(B455,Students!$A$4:$A$203,0)),""))</f>
        <v/>
      </c>
      <c r="D455" s="17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7"/>
      <c r="P455" s="19"/>
    </row>
    <row r="456" customFormat="false" ht="15" hidden="false" customHeight="true" outlineLevel="0" collapsed="false">
      <c r="A456" s="19"/>
      <c r="B456" s="17"/>
      <c r="C456" s="11" t="str">
        <f aca="false">IF(B456="","",IFERROR(INDEX(Students!$B$4:$B$203,MATCH(B456,Students!$A$4:$A$203,0)),""))</f>
        <v/>
      </c>
      <c r="D456" s="17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7"/>
      <c r="P456" s="19"/>
    </row>
    <row r="457" customFormat="false" ht="15" hidden="false" customHeight="true" outlineLevel="0" collapsed="false">
      <c r="A457" s="19"/>
      <c r="B457" s="17"/>
      <c r="C457" s="11" t="str">
        <f aca="false">IF(B457="","",IFERROR(INDEX(Students!$B$4:$B$203,MATCH(B457,Students!$A$4:$A$203,0)),""))</f>
        <v/>
      </c>
      <c r="D457" s="17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7"/>
      <c r="P457" s="19"/>
    </row>
    <row r="458" customFormat="false" ht="15" hidden="false" customHeight="true" outlineLevel="0" collapsed="false">
      <c r="A458" s="19"/>
      <c r="B458" s="17"/>
      <c r="C458" s="11" t="str">
        <f aca="false">IF(B458="","",IFERROR(INDEX(Students!$B$4:$B$203,MATCH(B458,Students!$A$4:$A$203,0)),""))</f>
        <v/>
      </c>
      <c r="D458" s="17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7"/>
      <c r="P458" s="19"/>
    </row>
    <row r="459" customFormat="false" ht="15" hidden="false" customHeight="true" outlineLevel="0" collapsed="false">
      <c r="A459" s="19"/>
      <c r="B459" s="17"/>
      <c r="C459" s="11" t="str">
        <f aca="false">IF(B459="","",IFERROR(INDEX(Students!$B$4:$B$203,MATCH(B459,Students!$A$4:$A$203,0)),""))</f>
        <v/>
      </c>
      <c r="D459" s="17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7"/>
      <c r="P459" s="19"/>
    </row>
    <row r="460" customFormat="false" ht="15" hidden="false" customHeight="true" outlineLevel="0" collapsed="false">
      <c r="A460" s="19"/>
      <c r="B460" s="17"/>
      <c r="C460" s="11" t="str">
        <f aca="false">IF(B460="","",IFERROR(INDEX(Students!$B$4:$B$203,MATCH(B460,Students!$A$4:$A$203,0)),""))</f>
        <v/>
      </c>
      <c r="D460" s="17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7"/>
      <c r="P460" s="19"/>
    </row>
    <row r="461" customFormat="false" ht="15" hidden="false" customHeight="true" outlineLevel="0" collapsed="false">
      <c r="A461" s="19"/>
      <c r="B461" s="17"/>
      <c r="C461" s="11" t="str">
        <f aca="false">IF(B461="","",IFERROR(INDEX(Students!$B$4:$B$203,MATCH(B461,Students!$A$4:$A$203,0)),""))</f>
        <v/>
      </c>
      <c r="D461" s="17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7"/>
      <c r="P461" s="19"/>
    </row>
    <row r="462" customFormat="false" ht="15" hidden="false" customHeight="true" outlineLevel="0" collapsed="false">
      <c r="A462" s="19"/>
      <c r="B462" s="17"/>
      <c r="C462" s="11" t="str">
        <f aca="false">IF(B462="","",IFERROR(INDEX(Students!$B$4:$B$203,MATCH(B462,Students!$A$4:$A$203,0)),""))</f>
        <v/>
      </c>
      <c r="D462" s="17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7"/>
      <c r="P462" s="19"/>
    </row>
    <row r="463" customFormat="false" ht="15" hidden="false" customHeight="true" outlineLevel="0" collapsed="false">
      <c r="A463" s="19"/>
      <c r="B463" s="17"/>
      <c r="C463" s="11" t="str">
        <f aca="false">IF(B463="","",IFERROR(INDEX(Students!$B$4:$B$203,MATCH(B463,Students!$A$4:$A$203,0)),""))</f>
        <v/>
      </c>
      <c r="D463" s="17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7"/>
      <c r="P463" s="19"/>
    </row>
    <row r="464" customFormat="false" ht="15" hidden="false" customHeight="true" outlineLevel="0" collapsed="false">
      <c r="A464" s="19"/>
      <c r="B464" s="17"/>
      <c r="C464" s="11" t="str">
        <f aca="false">IF(B464="","",IFERROR(INDEX(Students!$B$4:$B$203,MATCH(B464,Students!$A$4:$A$203,0)),""))</f>
        <v/>
      </c>
      <c r="D464" s="17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7"/>
      <c r="P464" s="19"/>
    </row>
    <row r="465" customFormat="false" ht="15" hidden="false" customHeight="true" outlineLevel="0" collapsed="false">
      <c r="A465" s="19"/>
      <c r="B465" s="17"/>
      <c r="C465" s="11" t="str">
        <f aca="false">IF(B465="","",IFERROR(INDEX(Students!$B$4:$B$203,MATCH(B465,Students!$A$4:$A$203,0)),""))</f>
        <v/>
      </c>
      <c r="D465" s="17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7"/>
      <c r="P465" s="19"/>
    </row>
    <row r="466" customFormat="false" ht="15" hidden="false" customHeight="true" outlineLevel="0" collapsed="false">
      <c r="A466" s="19"/>
      <c r="B466" s="17"/>
      <c r="C466" s="11" t="str">
        <f aca="false">IF(B466="","",IFERROR(INDEX(Students!$B$4:$B$203,MATCH(B466,Students!$A$4:$A$203,0)),""))</f>
        <v/>
      </c>
      <c r="D466" s="17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7"/>
      <c r="P466" s="19"/>
    </row>
    <row r="467" customFormat="false" ht="15" hidden="false" customHeight="true" outlineLevel="0" collapsed="false">
      <c r="A467" s="19"/>
      <c r="B467" s="17"/>
      <c r="C467" s="11" t="str">
        <f aca="false">IF(B467="","",IFERROR(INDEX(Students!$B$4:$B$203,MATCH(B467,Students!$A$4:$A$203,0)),""))</f>
        <v/>
      </c>
      <c r="D467" s="17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7"/>
      <c r="P467" s="19"/>
    </row>
    <row r="468" customFormat="false" ht="15" hidden="false" customHeight="true" outlineLevel="0" collapsed="false">
      <c r="A468" s="19"/>
      <c r="B468" s="17"/>
      <c r="C468" s="11" t="str">
        <f aca="false">IF(B468="","",IFERROR(INDEX(Students!$B$4:$B$203,MATCH(B468,Students!$A$4:$A$203,0)),""))</f>
        <v/>
      </c>
      <c r="D468" s="17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7"/>
      <c r="P468" s="19"/>
    </row>
    <row r="469" customFormat="false" ht="15" hidden="false" customHeight="true" outlineLevel="0" collapsed="false">
      <c r="A469" s="19"/>
      <c r="B469" s="17"/>
      <c r="C469" s="11" t="str">
        <f aca="false">IF(B469="","",IFERROR(INDEX(Students!$B$4:$B$203,MATCH(B469,Students!$A$4:$A$203,0)),""))</f>
        <v/>
      </c>
      <c r="D469" s="17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7"/>
      <c r="P469" s="19"/>
    </row>
    <row r="470" customFormat="false" ht="15" hidden="false" customHeight="true" outlineLevel="0" collapsed="false">
      <c r="A470" s="19"/>
      <c r="B470" s="17"/>
      <c r="C470" s="11" t="str">
        <f aca="false">IF(B470="","",IFERROR(INDEX(Students!$B$4:$B$203,MATCH(B470,Students!$A$4:$A$203,0)),""))</f>
        <v/>
      </c>
      <c r="D470" s="17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7"/>
      <c r="P470" s="19"/>
    </row>
    <row r="471" customFormat="false" ht="15" hidden="false" customHeight="true" outlineLevel="0" collapsed="false">
      <c r="A471" s="19"/>
      <c r="B471" s="17"/>
      <c r="C471" s="11" t="str">
        <f aca="false">IF(B471="","",IFERROR(INDEX(Students!$B$4:$B$203,MATCH(B471,Students!$A$4:$A$203,0)),""))</f>
        <v/>
      </c>
      <c r="D471" s="17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7"/>
      <c r="P471" s="19"/>
    </row>
    <row r="472" customFormat="false" ht="15" hidden="false" customHeight="true" outlineLevel="0" collapsed="false">
      <c r="A472" s="19"/>
      <c r="B472" s="17"/>
      <c r="C472" s="11" t="str">
        <f aca="false">IF(B472="","",IFERROR(INDEX(Students!$B$4:$B$203,MATCH(B472,Students!$A$4:$A$203,0)),""))</f>
        <v/>
      </c>
      <c r="D472" s="17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7"/>
      <c r="P472" s="19"/>
    </row>
    <row r="473" customFormat="false" ht="15" hidden="false" customHeight="true" outlineLevel="0" collapsed="false">
      <c r="A473" s="19"/>
      <c r="B473" s="17"/>
      <c r="C473" s="11" t="str">
        <f aca="false">IF(B473="","",IFERROR(INDEX(Students!$B$4:$B$203,MATCH(B473,Students!$A$4:$A$203,0)),""))</f>
        <v/>
      </c>
      <c r="D473" s="17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7"/>
      <c r="P473" s="19"/>
    </row>
    <row r="474" customFormat="false" ht="15" hidden="false" customHeight="true" outlineLevel="0" collapsed="false">
      <c r="A474" s="19"/>
      <c r="B474" s="17"/>
      <c r="C474" s="11" t="str">
        <f aca="false">IF(B474="","",IFERROR(INDEX(Students!$B$4:$B$203,MATCH(B474,Students!$A$4:$A$203,0)),""))</f>
        <v/>
      </c>
      <c r="D474" s="17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7"/>
      <c r="P474" s="19"/>
    </row>
    <row r="475" customFormat="false" ht="15" hidden="false" customHeight="true" outlineLevel="0" collapsed="false">
      <c r="A475" s="19"/>
      <c r="B475" s="17"/>
      <c r="C475" s="11" t="str">
        <f aca="false">IF(B475="","",IFERROR(INDEX(Students!$B$4:$B$203,MATCH(B475,Students!$A$4:$A$203,0)),""))</f>
        <v/>
      </c>
      <c r="D475" s="17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7"/>
      <c r="P475" s="19"/>
    </row>
    <row r="476" customFormat="false" ht="15" hidden="false" customHeight="true" outlineLevel="0" collapsed="false">
      <c r="A476" s="19"/>
      <c r="B476" s="17"/>
      <c r="C476" s="11" t="str">
        <f aca="false">IF(B476="","",IFERROR(INDEX(Students!$B$4:$B$203,MATCH(B476,Students!$A$4:$A$203,0)),""))</f>
        <v/>
      </c>
      <c r="D476" s="17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7"/>
      <c r="P476" s="19"/>
    </row>
    <row r="477" customFormat="false" ht="15" hidden="false" customHeight="true" outlineLevel="0" collapsed="false">
      <c r="A477" s="19"/>
      <c r="B477" s="17"/>
      <c r="C477" s="11" t="str">
        <f aca="false">IF(B477="","",IFERROR(INDEX(Students!$B$4:$B$203,MATCH(B477,Students!$A$4:$A$203,0)),""))</f>
        <v/>
      </c>
      <c r="D477" s="17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7"/>
      <c r="P477" s="19"/>
    </row>
    <row r="478" customFormat="false" ht="15" hidden="false" customHeight="true" outlineLevel="0" collapsed="false">
      <c r="A478" s="19"/>
      <c r="B478" s="17"/>
      <c r="C478" s="11" t="str">
        <f aca="false">IF(B478="","",IFERROR(INDEX(Students!$B$4:$B$203,MATCH(B478,Students!$A$4:$A$203,0)),""))</f>
        <v/>
      </c>
      <c r="D478" s="17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7"/>
      <c r="P478" s="19"/>
    </row>
    <row r="479" customFormat="false" ht="15" hidden="false" customHeight="true" outlineLevel="0" collapsed="false">
      <c r="A479" s="19"/>
      <c r="B479" s="17"/>
      <c r="C479" s="11" t="str">
        <f aca="false">IF(B479="","",IFERROR(INDEX(Students!$B$4:$B$203,MATCH(B479,Students!$A$4:$A$203,0)),""))</f>
        <v/>
      </c>
      <c r="D479" s="17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7"/>
      <c r="P479" s="19"/>
    </row>
    <row r="480" customFormat="false" ht="15" hidden="false" customHeight="true" outlineLevel="0" collapsed="false">
      <c r="A480" s="19"/>
      <c r="B480" s="17"/>
      <c r="C480" s="11" t="str">
        <f aca="false">IF(B480="","",IFERROR(INDEX(Students!$B$4:$B$203,MATCH(B480,Students!$A$4:$A$203,0)),""))</f>
        <v/>
      </c>
      <c r="D480" s="17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7"/>
      <c r="P480" s="19"/>
    </row>
    <row r="481" customFormat="false" ht="15" hidden="false" customHeight="true" outlineLevel="0" collapsed="false">
      <c r="A481" s="19"/>
      <c r="B481" s="17"/>
      <c r="C481" s="11" t="str">
        <f aca="false">IF(B481="","",IFERROR(INDEX(Students!$B$4:$B$203,MATCH(B481,Students!$A$4:$A$203,0)),""))</f>
        <v/>
      </c>
      <c r="D481" s="17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7"/>
      <c r="P481" s="19"/>
    </row>
    <row r="482" customFormat="false" ht="15" hidden="false" customHeight="true" outlineLevel="0" collapsed="false">
      <c r="A482" s="19"/>
      <c r="B482" s="17"/>
      <c r="C482" s="11" t="str">
        <f aca="false">IF(B482="","",IFERROR(INDEX(Students!$B$4:$B$203,MATCH(B482,Students!$A$4:$A$203,0)),""))</f>
        <v/>
      </c>
      <c r="D482" s="17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7"/>
      <c r="P482" s="19"/>
    </row>
    <row r="483" customFormat="false" ht="15" hidden="false" customHeight="true" outlineLevel="0" collapsed="false">
      <c r="A483" s="19"/>
      <c r="B483" s="17"/>
      <c r="C483" s="11" t="str">
        <f aca="false">IF(B483="","",IFERROR(INDEX(Students!$B$4:$B$203,MATCH(B483,Students!$A$4:$A$203,0)),""))</f>
        <v/>
      </c>
      <c r="D483" s="17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7"/>
      <c r="P483" s="19"/>
    </row>
    <row r="484" customFormat="false" ht="15" hidden="false" customHeight="true" outlineLevel="0" collapsed="false">
      <c r="A484" s="19"/>
      <c r="B484" s="17"/>
      <c r="C484" s="11" t="str">
        <f aca="false">IF(B484="","",IFERROR(INDEX(Students!$B$4:$B$203,MATCH(B484,Students!$A$4:$A$203,0)),""))</f>
        <v/>
      </c>
      <c r="D484" s="17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7"/>
      <c r="P484" s="19"/>
    </row>
    <row r="485" customFormat="false" ht="15" hidden="false" customHeight="true" outlineLevel="0" collapsed="false">
      <c r="A485" s="19"/>
      <c r="B485" s="17"/>
      <c r="C485" s="11" t="str">
        <f aca="false">IF(B485="","",IFERROR(INDEX(Students!$B$4:$B$203,MATCH(B485,Students!$A$4:$A$203,0)),""))</f>
        <v/>
      </c>
      <c r="D485" s="17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7"/>
      <c r="P485" s="19"/>
    </row>
    <row r="486" customFormat="false" ht="15" hidden="false" customHeight="true" outlineLevel="0" collapsed="false">
      <c r="A486" s="19"/>
      <c r="B486" s="17"/>
      <c r="C486" s="11" t="str">
        <f aca="false">IF(B486="","",IFERROR(INDEX(Students!$B$4:$B$203,MATCH(B486,Students!$A$4:$A$203,0)),""))</f>
        <v/>
      </c>
      <c r="D486" s="17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7"/>
      <c r="P486" s="19"/>
    </row>
    <row r="487" customFormat="false" ht="15" hidden="false" customHeight="true" outlineLevel="0" collapsed="false">
      <c r="A487" s="19"/>
      <c r="B487" s="17"/>
      <c r="C487" s="11" t="str">
        <f aca="false">IF(B487="","",IFERROR(INDEX(Students!$B$4:$B$203,MATCH(B487,Students!$A$4:$A$203,0)),""))</f>
        <v/>
      </c>
      <c r="D487" s="17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7"/>
      <c r="P487" s="19"/>
    </row>
    <row r="488" customFormat="false" ht="15" hidden="false" customHeight="true" outlineLevel="0" collapsed="false">
      <c r="A488" s="19"/>
      <c r="B488" s="17"/>
      <c r="C488" s="11" t="str">
        <f aca="false">IF(B488="","",IFERROR(INDEX(Students!$B$4:$B$203,MATCH(B488,Students!$A$4:$A$203,0)),""))</f>
        <v/>
      </c>
      <c r="D488" s="17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7"/>
      <c r="P488" s="19"/>
    </row>
    <row r="489" customFormat="false" ht="15" hidden="false" customHeight="true" outlineLevel="0" collapsed="false">
      <c r="A489" s="19"/>
      <c r="B489" s="17"/>
      <c r="C489" s="11" t="str">
        <f aca="false">IF(B489="","",IFERROR(INDEX(Students!$B$4:$B$203,MATCH(B489,Students!$A$4:$A$203,0)),""))</f>
        <v/>
      </c>
      <c r="D489" s="17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7"/>
      <c r="P489" s="19"/>
    </row>
    <row r="490" customFormat="false" ht="15" hidden="false" customHeight="true" outlineLevel="0" collapsed="false">
      <c r="A490" s="19"/>
      <c r="B490" s="17"/>
      <c r="C490" s="11" t="str">
        <f aca="false">IF(B490="","",IFERROR(INDEX(Students!$B$4:$B$203,MATCH(B490,Students!$A$4:$A$203,0)),""))</f>
        <v/>
      </c>
      <c r="D490" s="17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7"/>
      <c r="P490" s="19"/>
    </row>
    <row r="491" customFormat="false" ht="15" hidden="false" customHeight="true" outlineLevel="0" collapsed="false">
      <c r="A491" s="19"/>
      <c r="B491" s="17"/>
      <c r="C491" s="11" t="str">
        <f aca="false">IF(B491="","",IFERROR(INDEX(Students!$B$4:$B$203,MATCH(B491,Students!$A$4:$A$203,0)),""))</f>
        <v/>
      </c>
      <c r="D491" s="17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7"/>
      <c r="P491" s="19"/>
    </row>
    <row r="492" customFormat="false" ht="15" hidden="false" customHeight="true" outlineLevel="0" collapsed="false">
      <c r="A492" s="19"/>
      <c r="B492" s="17"/>
      <c r="C492" s="11" t="str">
        <f aca="false">IF(B492="","",IFERROR(INDEX(Students!$B$4:$B$203,MATCH(B492,Students!$A$4:$A$203,0)),""))</f>
        <v/>
      </c>
      <c r="D492" s="17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7"/>
      <c r="P492" s="19"/>
    </row>
    <row r="493" customFormat="false" ht="15" hidden="false" customHeight="true" outlineLevel="0" collapsed="false">
      <c r="A493" s="19"/>
      <c r="B493" s="17"/>
      <c r="C493" s="11" t="str">
        <f aca="false">IF(B493="","",IFERROR(INDEX(Students!$B$4:$B$203,MATCH(B493,Students!$A$4:$A$203,0)),""))</f>
        <v/>
      </c>
      <c r="D493" s="17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7"/>
      <c r="P493" s="19"/>
    </row>
    <row r="494" customFormat="false" ht="15" hidden="false" customHeight="true" outlineLevel="0" collapsed="false">
      <c r="A494" s="19"/>
      <c r="B494" s="17"/>
      <c r="C494" s="11" t="str">
        <f aca="false">IF(B494="","",IFERROR(INDEX(Students!$B$4:$B$203,MATCH(B494,Students!$A$4:$A$203,0)),""))</f>
        <v/>
      </c>
      <c r="D494" s="17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7"/>
      <c r="P494" s="19"/>
    </row>
    <row r="495" customFormat="false" ht="15" hidden="false" customHeight="true" outlineLevel="0" collapsed="false">
      <c r="A495" s="19"/>
      <c r="B495" s="17"/>
      <c r="C495" s="11" t="str">
        <f aca="false">IF(B495="","",IFERROR(INDEX(Students!$B$4:$B$203,MATCH(B495,Students!$A$4:$A$203,0)),""))</f>
        <v/>
      </c>
      <c r="D495" s="17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7"/>
      <c r="P495" s="19"/>
    </row>
    <row r="496" customFormat="false" ht="15" hidden="false" customHeight="true" outlineLevel="0" collapsed="false">
      <c r="A496" s="19"/>
      <c r="B496" s="17"/>
      <c r="C496" s="11" t="str">
        <f aca="false">IF(B496="","",IFERROR(INDEX(Students!$B$4:$B$203,MATCH(B496,Students!$A$4:$A$203,0)),""))</f>
        <v/>
      </c>
      <c r="D496" s="17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7"/>
      <c r="P496" s="19"/>
    </row>
    <row r="497" customFormat="false" ht="15" hidden="false" customHeight="true" outlineLevel="0" collapsed="false">
      <c r="A497" s="19"/>
      <c r="B497" s="17"/>
      <c r="C497" s="11" t="str">
        <f aca="false">IF(B497="","",IFERROR(INDEX(Students!$B$4:$B$203,MATCH(B497,Students!$A$4:$A$203,0)),""))</f>
        <v/>
      </c>
      <c r="D497" s="17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7"/>
      <c r="P497" s="19"/>
    </row>
    <row r="498" customFormat="false" ht="15" hidden="false" customHeight="true" outlineLevel="0" collapsed="false">
      <c r="A498" s="19"/>
      <c r="B498" s="17"/>
      <c r="C498" s="11" t="str">
        <f aca="false">IF(B498="","",IFERROR(INDEX(Students!$B$4:$B$203,MATCH(B498,Students!$A$4:$A$203,0)),""))</f>
        <v/>
      </c>
      <c r="D498" s="17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7"/>
      <c r="P498" s="19"/>
    </row>
    <row r="499" customFormat="false" ht="15" hidden="false" customHeight="true" outlineLevel="0" collapsed="false">
      <c r="A499" s="19"/>
      <c r="B499" s="17"/>
      <c r="C499" s="11" t="str">
        <f aca="false">IF(B499="","",IFERROR(INDEX(Students!$B$4:$B$203,MATCH(B499,Students!$A$4:$A$203,0)),""))</f>
        <v/>
      </c>
      <c r="D499" s="17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7"/>
      <c r="P499" s="19"/>
    </row>
    <row r="500" customFormat="false" ht="15" hidden="false" customHeight="true" outlineLevel="0" collapsed="false">
      <c r="A500" s="19"/>
      <c r="B500" s="17"/>
      <c r="C500" s="11" t="str">
        <f aca="false">IF(B500="","",IFERROR(INDEX(Students!$B$4:$B$203,MATCH(B500,Students!$A$4:$A$203,0)),""))</f>
        <v/>
      </c>
      <c r="D500" s="17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7"/>
      <c r="P500" s="19"/>
    </row>
    <row r="501" customFormat="false" ht="15" hidden="false" customHeight="true" outlineLevel="0" collapsed="false">
      <c r="A501" s="19"/>
      <c r="B501" s="17"/>
      <c r="C501" s="11" t="str">
        <f aca="false">IF(B501="","",IFERROR(INDEX(Students!$B$4:$B$203,MATCH(B501,Students!$A$4:$A$203,0)),""))</f>
        <v/>
      </c>
      <c r="D501" s="17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7"/>
      <c r="P501" s="19"/>
    </row>
    <row r="502" customFormat="false" ht="15" hidden="false" customHeight="true" outlineLevel="0" collapsed="false">
      <c r="A502" s="19"/>
      <c r="B502" s="17"/>
      <c r="C502" s="11" t="str">
        <f aca="false">IF(B502="","",IFERROR(INDEX(Students!$B$4:$B$203,MATCH(B502,Students!$A$4:$A$203,0)),""))</f>
        <v/>
      </c>
      <c r="D502" s="17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7"/>
      <c r="P502" s="19"/>
    </row>
    <row r="503" customFormat="false" ht="15" hidden="false" customHeight="true" outlineLevel="0" collapsed="false">
      <c r="A503" s="19"/>
      <c r="B503" s="17"/>
      <c r="C503" s="11" t="str">
        <f aca="false">IF(B503="","",IFERROR(INDEX(Students!$B$4:$B$203,MATCH(B503,Students!$A$4:$A$203,0)),""))</f>
        <v/>
      </c>
      <c r="D503" s="17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7"/>
      <c r="P503" s="19"/>
    </row>
    <row r="504" customFormat="false" ht="15" hidden="false" customHeight="true" outlineLevel="0" collapsed="false">
      <c r="A504" s="19"/>
      <c r="B504" s="17"/>
      <c r="C504" s="11" t="str">
        <f aca="false">IF(B504="","",IFERROR(INDEX(Students!$B$4:$B$203,MATCH(B504,Students!$A$4:$A$203,0)),""))</f>
        <v/>
      </c>
      <c r="D504" s="17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7"/>
      <c r="P504" s="19"/>
    </row>
    <row r="505" customFormat="false" ht="15" hidden="false" customHeight="true" outlineLevel="0" collapsed="false">
      <c r="A505" s="19"/>
      <c r="B505" s="17"/>
      <c r="C505" s="11" t="str">
        <f aca="false">IF(B505="","",IFERROR(INDEX(Students!$B$4:$B$203,MATCH(B505,Students!$A$4:$A$203,0)),""))</f>
        <v/>
      </c>
      <c r="D505" s="17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7"/>
      <c r="P505" s="19"/>
    </row>
    <row r="506" customFormat="false" ht="15" hidden="false" customHeight="true" outlineLevel="0" collapsed="false">
      <c r="A506" s="19"/>
      <c r="B506" s="17"/>
      <c r="C506" s="11" t="str">
        <f aca="false">IF(B506="","",IFERROR(INDEX(Students!$B$4:$B$203,MATCH(B506,Students!$A$4:$A$203,0)),""))</f>
        <v/>
      </c>
      <c r="D506" s="17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7"/>
      <c r="P506" s="19"/>
    </row>
    <row r="507" customFormat="false" ht="15" hidden="false" customHeight="true" outlineLevel="0" collapsed="false">
      <c r="A507" s="19"/>
      <c r="B507" s="17"/>
      <c r="C507" s="11" t="str">
        <f aca="false">IF(B507="","",IFERROR(INDEX(Students!$B$4:$B$203,MATCH(B507,Students!$A$4:$A$203,0)),""))</f>
        <v/>
      </c>
      <c r="D507" s="17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7"/>
      <c r="P507" s="19"/>
    </row>
    <row r="508" customFormat="false" ht="15" hidden="false" customHeight="true" outlineLevel="0" collapsed="false">
      <c r="A508" s="19"/>
      <c r="B508" s="17"/>
      <c r="C508" s="11" t="str">
        <f aca="false">IF(B508="","",IFERROR(INDEX(Students!$B$4:$B$203,MATCH(B508,Students!$A$4:$A$203,0)),""))</f>
        <v/>
      </c>
      <c r="D508" s="17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7"/>
      <c r="P508" s="19"/>
    </row>
    <row r="509" customFormat="false" ht="15" hidden="false" customHeight="true" outlineLevel="0" collapsed="false">
      <c r="A509" s="19"/>
      <c r="B509" s="17"/>
      <c r="C509" s="11" t="str">
        <f aca="false">IF(B509="","",IFERROR(INDEX(Students!$B$4:$B$203,MATCH(B509,Students!$A$4:$A$203,0)),""))</f>
        <v/>
      </c>
      <c r="D509" s="17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7"/>
      <c r="P509" s="19"/>
    </row>
    <row r="510" customFormat="false" ht="15" hidden="false" customHeight="true" outlineLevel="0" collapsed="false">
      <c r="A510" s="19"/>
      <c r="B510" s="17"/>
      <c r="C510" s="11" t="str">
        <f aca="false">IF(B510="","",IFERROR(INDEX(Students!$B$4:$B$203,MATCH(B510,Students!$A$4:$A$203,0)),""))</f>
        <v/>
      </c>
      <c r="D510" s="17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7"/>
      <c r="P510" s="19"/>
    </row>
    <row r="511" customFormat="false" ht="15" hidden="false" customHeight="true" outlineLevel="0" collapsed="false">
      <c r="A511" s="19"/>
      <c r="B511" s="17"/>
      <c r="C511" s="11" t="str">
        <f aca="false">IF(B511="","",IFERROR(INDEX(Students!$B$4:$B$203,MATCH(B511,Students!$A$4:$A$203,0)),""))</f>
        <v/>
      </c>
      <c r="D511" s="17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7"/>
      <c r="P511" s="19"/>
    </row>
    <row r="512" customFormat="false" ht="15" hidden="false" customHeight="true" outlineLevel="0" collapsed="false">
      <c r="A512" s="19"/>
      <c r="B512" s="17"/>
      <c r="C512" s="11" t="str">
        <f aca="false">IF(B512="","",IFERROR(INDEX(Students!$B$4:$B$203,MATCH(B512,Students!$A$4:$A$203,0)),""))</f>
        <v/>
      </c>
      <c r="D512" s="17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7"/>
      <c r="P512" s="19"/>
    </row>
    <row r="513" customFormat="false" ht="15" hidden="false" customHeight="true" outlineLevel="0" collapsed="false">
      <c r="A513" s="19"/>
      <c r="B513" s="17"/>
      <c r="C513" s="11" t="str">
        <f aca="false">IF(B513="","",IFERROR(INDEX(Students!$B$4:$B$203,MATCH(B513,Students!$A$4:$A$203,0)),""))</f>
        <v/>
      </c>
      <c r="D513" s="17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7"/>
      <c r="P513" s="19"/>
    </row>
    <row r="514" customFormat="false" ht="15" hidden="false" customHeight="true" outlineLevel="0" collapsed="false">
      <c r="A514" s="19"/>
      <c r="B514" s="17"/>
      <c r="C514" s="11" t="str">
        <f aca="false">IF(B514="","",IFERROR(INDEX(Students!$B$4:$B$203,MATCH(B514,Students!$A$4:$A$203,0)),""))</f>
        <v/>
      </c>
      <c r="D514" s="17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7"/>
      <c r="P514" s="19"/>
    </row>
    <row r="515" customFormat="false" ht="15" hidden="false" customHeight="true" outlineLevel="0" collapsed="false">
      <c r="A515" s="19"/>
      <c r="B515" s="17"/>
      <c r="C515" s="11" t="str">
        <f aca="false">IF(B515="","",IFERROR(INDEX(Students!$B$4:$B$203,MATCH(B515,Students!$A$4:$A$203,0)),""))</f>
        <v/>
      </c>
      <c r="D515" s="17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7"/>
      <c r="P515" s="19"/>
    </row>
    <row r="516" customFormat="false" ht="15" hidden="false" customHeight="true" outlineLevel="0" collapsed="false">
      <c r="A516" s="19"/>
      <c r="B516" s="17"/>
      <c r="C516" s="11" t="str">
        <f aca="false">IF(B516="","",IFERROR(INDEX(Students!$B$4:$B$203,MATCH(B516,Students!$A$4:$A$203,0)),""))</f>
        <v/>
      </c>
      <c r="D516" s="17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7"/>
      <c r="P516" s="19"/>
    </row>
    <row r="517" customFormat="false" ht="15" hidden="false" customHeight="true" outlineLevel="0" collapsed="false">
      <c r="A517" s="19"/>
      <c r="B517" s="17"/>
      <c r="C517" s="11" t="str">
        <f aca="false">IF(B517="","",IFERROR(INDEX(Students!$B$4:$B$203,MATCH(B517,Students!$A$4:$A$203,0)),""))</f>
        <v/>
      </c>
      <c r="D517" s="17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7"/>
      <c r="P517" s="19"/>
    </row>
    <row r="518" customFormat="false" ht="15" hidden="false" customHeight="true" outlineLevel="0" collapsed="false">
      <c r="A518" s="19"/>
      <c r="B518" s="17"/>
      <c r="C518" s="11" t="str">
        <f aca="false">IF(B518="","",IFERROR(INDEX(Students!$B$4:$B$203,MATCH(B518,Students!$A$4:$A$203,0)),""))</f>
        <v/>
      </c>
      <c r="D518" s="17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7"/>
      <c r="P518" s="19"/>
    </row>
    <row r="519" customFormat="false" ht="15" hidden="false" customHeight="true" outlineLevel="0" collapsed="false">
      <c r="A519" s="19"/>
      <c r="B519" s="17"/>
      <c r="C519" s="11" t="str">
        <f aca="false">IF(B519="","",IFERROR(INDEX(Students!$B$4:$B$203,MATCH(B519,Students!$A$4:$A$203,0)),""))</f>
        <v/>
      </c>
      <c r="D519" s="17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7"/>
      <c r="P519" s="19"/>
    </row>
    <row r="520" customFormat="false" ht="15" hidden="false" customHeight="true" outlineLevel="0" collapsed="false">
      <c r="A520" s="19"/>
      <c r="B520" s="17"/>
      <c r="C520" s="11" t="str">
        <f aca="false">IF(B520="","",IFERROR(INDEX(Students!$B$4:$B$203,MATCH(B520,Students!$A$4:$A$203,0)),""))</f>
        <v/>
      </c>
      <c r="D520" s="17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7"/>
      <c r="P520" s="19"/>
    </row>
    <row r="521" customFormat="false" ht="15" hidden="false" customHeight="true" outlineLevel="0" collapsed="false">
      <c r="A521" s="19"/>
      <c r="B521" s="17"/>
      <c r="C521" s="11" t="str">
        <f aca="false">IF(B521="","",IFERROR(INDEX(Students!$B$4:$B$203,MATCH(B521,Students!$A$4:$A$203,0)),""))</f>
        <v/>
      </c>
      <c r="D521" s="17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7"/>
      <c r="P521" s="19"/>
    </row>
    <row r="522" customFormat="false" ht="15" hidden="false" customHeight="true" outlineLevel="0" collapsed="false">
      <c r="A522" s="19"/>
      <c r="B522" s="17"/>
      <c r="C522" s="11" t="str">
        <f aca="false">IF(B522="","",IFERROR(INDEX(Students!$B$4:$B$203,MATCH(B522,Students!$A$4:$A$203,0)),""))</f>
        <v/>
      </c>
      <c r="D522" s="17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7"/>
      <c r="P522" s="19"/>
    </row>
    <row r="523" customFormat="false" ht="15" hidden="false" customHeight="true" outlineLevel="0" collapsed="false">
      <c r="A523" s="19"/>
      <c r="B523" s="17"/>
      <c r="C523" s="11" t="str">
        <f aca="false">IF(B523="","",IFERROR(INDEX(Students!$B$4:$B$203,MATCH(B523,Students!$A$4:$A$203,0)),""))</f>
        <v/>
      </c>
      <c r="D523" s="17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7"/>
      <c r="P523" s="19"/>
    </row>
    <row r="524" customFormat="false" ht="15" hidden="false" customHeight="true" outlineLevel="0" collapsed="false">
      <c r="A524" s="19"/>
      <c r="B524" s="17"/>
      <c r="C524" s="11" t="str">
        <f aca="false">IF(B524="","",IFERROR(INDEX(Students!$B$4:$B$203,MATCH(B524,Students!$A$4:$A$203,0)),""))</f>
        <v/>
      </c>
      <c r="D524" s="17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7"/>
      <c r="P524" s="19"/>
    </row>
    <row r="525" customFormat="false" ht="15" hidden="false" customHeight="true" outlineLevel="0" collapsed="false">
      <c r="A525" s="19"/>
      <c r="B525" s="17"/>
      <c r="C525" s="11" t="str">
        <f aca="false">IF(B525="","",IFERROR(INDEX(Students!$B$4:$B$203,MATCH(B525,Students!$A$4:$A$203,0)),""))</f>
        <v/>
      </c>
      <c r="D525" s="17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7"/>
      <c r="P525" s="19"/>
    </row>
    <row r="526" customFormat="false" ht="15" hidden="false" customHeight="true" outlineLevel="0" collapsed="false">
      <c r="A526" s="19"/>
      <c r="B526" s="17"/>
      <c r="C526" s="11" t="str">
        <f aca="false">IF(B526="","",IFERROR(INDEX(Students!$B$4:$B$203,MATCH(B526,Students!$A$4:$A$203,0)),""))</f>
        <v/>
      </c>
      <c r="D526" s="17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7"/>
      <c r="P526" s="19"/>
    </row>
    <row r="527" customFormat="false" ht="15" hidden="false" customHeight="true" outlineLevel="0" collapsed="false">
      <c r="A527" s="19"/>
      <c r="B527" s="17"/>
      <c r="C527" s="11" t="str">
        <f aca="false">IF(B527="","",IFERROR(INDEX(Students!$B$4:$B$203,MATCH(B527,Students!$A$4:$A$203,0)),""))</f>
        <v/>
      </c>
      <c r="D527" s="17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7"/>
      <c r="P527" s="19"/>
    </row>
    <row r="528" customFormat="false" ht="15" hidden="false" customHeight="true" outlineLevel="0" collapsed="false">
      <c r="A528" s="19"/>
      <c r="B528" s="17"/>
      <c r="C528" s="11" t="str">
        <f aca="false">IF(B528="","",IFERROR(INDEX(Students!$B$4:$B$203,MATCH(B528,Students!$A$4:$A$203,0)),""))</f>
        <v/>
      </c>
      <c r="D528" s="17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7"/>
      <c r="P528" s="19"/>
    </row>
    <row r="529" customFormat="false" ht="15" hidden="false" customHeight="true" outlineLevel="0" collapsed="false">
      <c r="A529" s="19"/>
      <c r="B529" s="17"/>
      <c r="C529" s="11" t="str">
        <f aca="false">IF(B529="","",IFERROR(INDEX(Students!$B$4:$B$203,MATCH(B529,Students!$A$4:$A$203,0)),""))</f>
        <v/>
      </c>
      <c r="D529" s="17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7"/>
      <c r="P529" s="19"/>
    </row>
    <row r="530" customFormat="false" ht="15" hidden="false" customHeight="true" outlineLevel="0" collapsed="false">
      <c r="A530" s="19"/>
      <c r="B530" s="17"/>
      <c r="C530" s="11" t="str">
        <f aca="false">IF(B530="","",IFERROR(INDEX(Students!$B$4:$B$203,MATCH(B530,Students!$A$4:$A$203,0)),""))</f>
        <v/>
      </c>
      <c r="D530" s="17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7"/>
      <c r="P530" s="19"/>
    </row>
    <row r="531" customFormat="false" ht="15" hidden="false" customHeight="true" outlineLevel="0" collapsed="false">
      <c r="A531" s="19"/>
      <c r="B531" s="17"/>
      <c r="C531" s="11" t="str">
        <f aca="false">IF(B531="","",IFERROR(INDEX(Students!$B$4:$B$203,MATCH(B531,Students!$A$4:$A$203,0)),""))</f>
        <v/>
      </c>
      <c r="D531" s="17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7"/>
      <c r="P531" s="19"/>
    </row>
    <row r="532" customFormat="false" ht="15" hidden="false" customHeight="true" outlineLevel="0" collapsed="false">
      <c r="A532" s="19"/>
      <c r="B532" s="17"/>
      <c r="C532" s="11" t="str">
        <f aca="false">IF(B532="","",IFERROR(INDEX(Students!$B$4:$B$203,MATCH(B532,Students!$A$4:$A$203,0)),""))</f>
        <v/>
      </c>
      <c r="D532" s="17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7"/>
      <c r="P532" s="19"/>
    </row>
    <row r="533" customFormat="false" ht="15" hidden="false" customHeight="true" outlineLevel="0" collapsed="false">
      <c r="A533" s="19"/>
      <c r="B533" s="17"/>
      <c r="C533" s="11" t="str">
        <f aca="false">IF(B533="","",IFERROR(INDEX(Students!$B$4:$B$203,MATCH(B533,Students!$A$4:$A$203,0)),""))</f>
        <v/>
      </c>
      <c r="D533" s="17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7"/>
      <c r="P533" s="19"/>
    </row>
    <row r="534" customFormat="false" ht="15" hidden="false" customHeight="true" outlineLevel="0" collapsed="false">
      <c r="A534" s="19"/>
      <c r="B534" s="17"/>
      <c r="C534" s="11" t="str">
        <f aca="false">IF(B534="","",IFERROR(INDEX(Students!$B$4:$B$203,MATCH(B534,Students!$A$4:$A$203,0)),""))</f>
        <v/>
      </c>
      <c r="D534" s="17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7"/>
      <c r="P534" s="19"/>
    </row>
    <row r="535" customFormat="false" ht="15" hidden="false" customHeight="true" outlineLevel="0" collapsed="false">
      <c r="A535" s="19"/>
      <c r="B535" s="17"/>
      <c r="C535" s="11" t="str">
        <f aca="false">IF(B535="","",IFERROR(INDEX(Students!$B$4:$B$203,MATCH(B535,Students!$A$4:$A$203,0)),""))</f>
        <v/>
      </c>
      <c r="D535" s="17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7"/>
      <c r="P535" s="19"/>
    </row>
    <row r="536" customFormat="false" ht="15" hidden="false" customHeight="true" outlineLevel="0" collapsed="false">
      <c r="A536" s="19"/>
      <c r="B536" s="17"/>
      <c r="C536" s="11" t="str">
        <f aca="false">IF(B536="","",IFERROR(INDEX(Students!$B$4:$B$203,MATCH(B536,Students!$A$4:$A$203,0)),""))</f>
        <v/>
      </c>
      <c r="D536" s="17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7"/>
      <c r="P536" s="19"/>
    </row>
    <row r="537" customFormat="false" ht="15" hidden="false" customHeight="true" outlineLevel="0" collapsed="false">
      <c r="A537" s="19"/>
      <c r="B537" s="17"/>
      <c r="C537" s="11" t="str">
        <f aca="false">IF(B537="","",IFERROR(INDEX(Students!$B$4:$B$203,MATCH(B537,Students!$A$4:$A$203,0)),""))</f>
        <v/>
      </c>
      <c r="D537" s="17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7"/>
      <c r="P537" s="19"/>
    </row>
    <row r="538" customFormat="false" ht="15" hidden="false" customHeight="true" outlineLevel="0" collapsed="false">
      <c r="A538" s="19"/>
      <c r="B538" s="17"/>
      <c r="C538" s="11" t="str">
        <f aca="false">IF(B538="","",IFERROR(INDEX(Students!$B$4:$B$203,MATCH(B538,Students!$A$4:$A$203,0)),""))</f>
        <v/>
      </c>
      <c r="D538" s="17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7"/>
      <c r="P538" s="19"/>
    </row>
    <row r="539" customFormat="false" ht="15" hidden="false" customHeight="true" outlineLevel="0" collapsed="false">
      <c r="A539" s="19"/>
      <c r="B539" s="17"/>
      <c r="C539" s="11" t="str">
        <f aca="false">IF(B539="","",IFERROR(INDEX(Students!$B$4:$B$203,MATCH(B539,Students!$A$4:$A$203,0)),""))</f>
        <v/>
      </c>
      <c r="D539" s="17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7"/>
      <c r="P539" s="19"/>
    </row>
    <row r="540" customFormat="false" ht="15" hidden="false" customHeight="true" outlineLevel="0" collapsed="false">
      <c r="A540" s="19"/>
      <c r="B540" s="17"/>
      <c r="C540" s="11" t="str">
        <f aca="false">IF(B540="","",IFERROR(INDEX(Students!$B$4:$B$203,MATCH(B540,Students!$A$4:$A$203,0)),""))</f>
        <v/>
      </c>
      <c r="D540" s="17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7"/>
      <c r="P540" s="19"/>
    </row>
    <row r="541" customFormat="false" ht="15" hidden="false" customHeight="true" outlineLevel="0" collapsed="false">
      <c r="A541" s="19"/>
      <c r="B541" s="17"/>
      <c r="C541" s="11" t="str">
        <f aca="false">IF(B541="","",IFERROR(INDEX(Students!$B$4:$B$203,MATCH(B541,Students!$A$4:$A$203,0)),""))</f>
        <v/>
      </c>
      <c r="D541" s="17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7"/>
      <c r="P541" s="19"/>
    </row>
    <row r="542" customFormat="false" ht="15" hidden="false" customHeight="true" outlineLevel="0" collapsed="false">
      <c r="A542" s="19"/>
      <c r="B542" s="17"/>
      <c r="C542" s="11" t="str">
        <f aca="false">IF(B542="","",IFERROR(INDEX(Students!$B$4:$B$203,MATCH(B542,Students!$A$4:$A$203,0)),""))</f>
        <v/>
      </c>
      <c r="D542" s="17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7"/>
      <c r="P542" s="19"/>
    </row>
    <row r="543" customFormat="false" ht="15" hidden="false" customHeight="true" outlineLevel="0" collapsed="false">
      <c r="A543" s="19"/>
      <c r="B543" s="17"/>
      <c r="C543" s="11" t="str">
        <f aca="false">IF(B543="","",IFERROR(INDEX(Students!$B$4:$B$203,MATCH(B543,Students!$A$4:$A$203,0)),""))</f>
        <v/>
      </c>
      <c r="D543" s="17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7"/>
      <c r="P543" s="19"/>
    </row>
    <row r="544" customFormat="false" ht="15" hidden="false" customHeight="true" outlineLevel="0" collapsed="false">
      <c r="A544" s="19"/>
      <c r="B544" s="17"/>
      <c r="C544" s="11" t="str">
        <f aca="false">IF(B544="","",IFERROR(INDEX(Students!$B$4:$B$203,MATCH(B544,Students!$A$4:$A$203,0)),""))</f>
        <v/>
      </c>
      <c r="D544" s="17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7"/>
      <c r="P544" s="19"/>
    </row>
    <row r="545" customFormat="false" ht="15" hidden="false" customHeight="true" outlineLevel="0" collapsed="false">
      <c r="A545" s="19"/>
      <c r="B545" s="17"/>
      <c r="C545" s="11" t="str">
        <f aca="false">IF(B545="","",IFERROR(INDEX(Students!$B$4:$B$203,MATCH(B545,Students!$A$4:$A$203,0)),""))</f>
        <v/>
      </c>
      <c r="D545" s="17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7"/>
      <c r="P545" s="19"/>
    </row>
    <row r="546" customFormat="false" ht="15" hidden="false" customHeight="true" outlineLevel="0" collapsed="false">
      <c r="A546" s="19"/>
      <c r="B546" s="17"/>
      <c r="C546" s="11" t="str">
        <f aca="false">IF(B546="","",IFERROR(INDEX(Students!$B$4:$B$203,MATCH(B546,Students!$A$4:$A$203,0)),""))</f>
        <v/>
      </c>
      <c r="D546" s="17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7"/>
      <c r="P546" s="19"/>
    </row>
    <row r="547" customFormat="false" ht="15" hidden="false" customHeight="true" outlineLevel="0" collapsed="false">
      <c r="A547" s="19"/>
      <c r="B547" s="17"/>
      <c r="C547" s="11" t="str">
        <f aca="false">IF(B547="","",IFERROR(INDEX(Students!$B$4:$B$203,MATCH(B547,Students!$A$4:$A$203,0)),""))</f>
        <v/>
      </c>
      <c r="D547" s="17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7"/>
      <c r="P547" s="19"/>
    </row>
    <row r="548" customFormat="false" ht="15" hidden="false" customHeight="true" outlineLevel="0" collapsed="false">
      <c r="A548" s="19"/>
      <c r="B548" s="17"/>
      <c r="C548" s="11" t="str">
        <f aca="false">IF(B548="","",IFERROR(INDEX(Students!$B$4:$B$203,MATCH(B548,Students!$A$4:$A$203,0)),""))</f>
        <v/>
      </c>
      <c r="D548" s="17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7"/>
      <c r="P548" s="19"/>
    </row>
    <row r="549" customFormat="false" ht="15" hidden="false" customHeight="true" outlineLevel="0" collapsed="false">
      <c r="A549" s="19"/>
      <c r="B549" s="17"/>
      <c r="C549" s="11" t="str">
        <f aca="false">IF(B549="","",IFERROR(INDEX(Students!$B$4:$B$203,MATCH(B549,Students!$A$4:$A$203,0)),""))</f>
        <v/>
      </c>
      <c r="D549" s="17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7"/>
      <c r="P549" s="19"/>
    </row>
    <row r="550" customFormat="false" ht="15" hidden="false" customHeight="true" outlineLevel="0" collapsed="false">
      <c r="A550" s="19"/>
      <c r="B550" s="17"/>
      <c r="C550" s="11" t="str">
        <f aca="false">IF(B550="","",IFERROR(INDEX(Students!$B$4:$B$203,MATCH(B550,Students!$A$4:$A$203,0)),""))</f>
        <v/>
      </c>
      <c r="D550" s="17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7"/>
      <c r="P550" s="19"/>
    </row>
    <row r="551" customFormat="false" ht="15" hidden="false" customHeight="true" outlineLevel="0" collapsed="false">
      <c r="A551" s="19"/>
      <c r="B551" s="17"/>
      <c r="C551" s="11" t="str">
        <f aca="false">IF(B551="","",IFERROR(INDEX(Students!$B$4:$B$203,MATCH(B551,Students!$A$4:$A$203,0)),""))</f>
        <v/>
      </c>
      <c r="D551" s="17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7"/>
      <c r="P551" s="19"/>
    </row>
    <row r="552" customFormat="false" ht="15" hidden="false" customHeight="true" outlineLevel="0" collapsed="false">
      <c r="A552" s="19"/>
      <c r="B552" s="17"/>
      <c r="C552" s="11" t="str">
        <f aca="false">IF(B552="","",IFERROR(INDEX(Students!$B$4:$B$203,MATCH(B552,Students!$A$4:$A$203,0)),""))</f>
        <v/>
      </c>
      <c r="D552" s="17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7"/>
      <c r="P552" s="19"/>
    </row>
    <row r="553" customFormat="false" ht="15" hidden="false" customHeight="true" outlineLevel="0" collapsed="false">
      <c r="A553" s="19"/>
      <c r="B553" s="17"/>
      <c r="C553" s="11" t="str">
        <f aca="false">IF(B553="","",IFERROR(INDEX(Students!$B$4:$B$203,MATCH(B553,Students!$A$4:$A$203,0)),""))</f>
        <v/>
      </c>
      <c r="D553" s="17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7"/>
      <c r="P553" s="19"/>
    </row>
    <row r="554" customFormat="false" ht="15" hidden="false" customHeight="true" outlineLevel="0" collapsed="false">
      <c r="A554" s="19"/>
      <c r="B554" s="17"/>
      <c r="C554" s="11" t="str">
        <f aca="false">IF(B554="","",IFERROR(INDEX(Students!$B$4:$B$203,MATCH(B554,Students!$A$4:$A$203,0)),""))</f>
        <v/>
      </c>
      <c r="D554" s="17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7"/>
      <c r="P554" s="19"/>
    </row>
    <row r="555" customFormat="false" ht="15" hidden="false" customHeight="true" outlineLevel="0" collapsed="false">
      <c r="A555" s="19"/>
      <c r="B555" s="17"/>
      <c r="C555" s="11" t="str">
        <f aca="false">IF(B555="","",IFERROR(INDEX(Students!$B$4:$B$203,MATCH(B555,Students!$A$4:$A$203,0)),""))</f>
        <v/>
      </c>
      <c r="D555" s="17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7"/>
      <c r="P555" s="19"/>
    </row>
    <row r="556" customFormat="false" ht="15" hidden="false" customHeight="true" outlineLevel="0" collapsed="false">
      <c r="A556" s="19"/>
      <c r="B556" s="17"/>
      <c r="C556" s="11" t="str">
        <f aca="false">IF(B556="","",IFERROR(INDEX(Students!$B$4:$B$203,MATCH(B556,Students!$A$4:$A$203,0)),""))</f>
        <v/>
      </c>
      <c r="D556" s="17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7"/>
      <c r="P556" s="19"/>
    </row>
    <row r="557" customFormat="false" ht="15" hidden="false" customHeight="true" outlineLevel="0" collapsed="false">
      <c r="A557" s="19"/>
      <c r="B557" s="17"/>
      <c r="C557" s="11" t="str">
        <f aca="false">IF(B557="","",IFERROR(INDEX(Students!$B$4:$B$203,MATCH(B557,Students!$A$4:$A$203,0)),""))</f>
        <v/>
      </c>
      <c r="D557" s="17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7"/>
      <c r="P557" s="19"/>
    </row>
    <row r="558" customFormat="false" ht="15" hidden="false" customHeight="true" outlineLevel="0" collapsed="false">
      <c r="A558" s="19"/>
      <c r="B558" s="17"/>
      <c r="C558" s="11" t="str">
        <f aca="false">IF(B558="","",IFERROR(INDEX(Students!$B$4:$B$203,MATCH(B558,Students!$A$4:$A$203,0)),""))</f>
        <v/>
      </c>
      <c r="D558" s="17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7"/>
      <c r="P558" s="19"/>
    </row>
    <row r="559" customFormat="false" ht="15" hidden="false" customHeight="true" outlineLevel="0" collapsed="false">
      <c r="A559" s="19"/>
      <c r="B559" s="17"/>
      <c r="C559" s="11" t="str">
        <f aca="false">IF(B559="","",IFERROR(INDEX(Students!$B$4:$B$203,MATCH(B559,Students!$A$4:$A$203,0)),""))</f>
        <v/>
      </c>
      <c r="D559" s="17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7"/>
      <c r="P559" s="19"/>
    </row>
    <row r="560" customFormat="false" ht="15" hidden="false" customHeight="true" outlineLevel="0" collapsed="false">
      <c r="A560" s="19"/>
      <c r="B560" s="17"/>
      <c r="C560" s="11" t="str">
        <f aca="false">IF(B560="","",IFERROR(INDEX(Students!$B$4:$B$203,MATCH(B560,Students!$A$4:$A$203,0)),""))</f>
        <v/>
      </c>
      <c r="D560" s="17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7"/>
      <c r="P560" s="19"/>
    </row>
    <row r="561" customFormat="false" ht="15" hidden="false" customHeight="true" outlineLevel="0" collapsed="false">
      <c r="A561" s="19"/>
      <c r="B561" s="17"/>
      <c r="C561" s="11" t="str">
        <f aca="false">IF(B561="","",IFERROR(INDEX(Students!$B$4:$B$203,MATCH(B561,Students!$A$4:$A$203,0)),""))</f>
        <v/>
      </c>
      <c r="D561" s="17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7"/>
      <c r="P561" s="19"/>
    </row>
    <row r="562" customFormat="false" ht="15" hidden="false" customHeight="true" outlineLevel="0" collapsed="false">
      <c r="A562" s="19"/>
      <c r="B562" s="17"/>
      <c r="C562" s="11" t="str">
        <f aca="false">IF(B562="","",IFERROR(INDEX(Students!$B$4:$B$203,MATCH(B562,Students!$A$4:$A$203,0)),""))</f>
        <v/>
      </c>
      <c r="D562" s="17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7"/>
      <c r="P562" s="19"/>
    </row>
    <row r="563" customFormat="false" ht="15" hidden="false" customHeight="true" outlineLevel="0" collapsed="false">
      <c r="A563" s="19"/>
      <c r="B563" s="17"/>
      <c r="C563" s="11" t="str">
        <f aca="false">IF(B563="","",IFERROR(INDEX(Students!$B$4:$B$203,MATCH(B563,Students!$A$4:$A$203,0)),""))</f>
        <v/>
      </c>
      <c r="D563" s="17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7"/>
      <c r="P563" s="19"/>
    </row>
    <row r="564" customFormat="false" ht="15" hidden="false" customHeight="true" outlineLevel="0" collapsed="false">
      <c r="A564" s="19"/>
      <c r="B564" s="17"/>
      <c r="C564" s="11" t="str">
        <f aca="false">IF(B564="","",IFERROR(INDEX(Students!$B$4:$B$203,MATCH(B564,Students!$A$4:$A$203,0)),""))</f>
        <v/>
      </c>
      <c r="D564" s="17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7"/>
      <c r="P564" s="19"/>
    </row>
    <row r="565" customFormat="false" ht="15" hidden="false" customHeight="true" outlineLevel="0" collapsed="false">
      <c r="A565" s="19"/>
      <c r="B565" s="17"/>
      <c r="C565" s="11" t="str">
        <f aca="false">IF(B565="","",IFERROR(INDEX(Students!$B$4:$B$203,MATCH(B565,Students!$A$4:$A$203,0)),""))</f>
        <v/>
      </c>
      <c r="D565" s="17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7"/>
      <c r="P565" s="19"/>
    </row>
    <row r="566" customFormat="false" ht="15" hidden="false" customHeight="true" outlineLevel="0" collapsed="false">
      <c r="A566" s="19"/>
      <c r="B566" s="17"/>
      <c r="C566" s="11" t="str">
        <f aca="false">IF(B566="","",IFERROR(INDEX(Students!$B$4:$B$203,MATCH(B566,Students!$A$4:$A$203,0)),""))</f>
        <v/>
      </c>
      <c r="D566" s="17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7"/>
      <c r="P566" s="19"/>
    </row>
    <row r="567" customFormat="false" ht="15" hidden="false" customHeight="true" outlineLevel="0" collapsed="false">
      <c r="A567" s="19"/>
      <c r="B567" s="17"/>
      <c r="C567" s="11" t="str">
        <f aca="false">IF(B567="","",IFERROR(INDEX(Students!$B$4:$B$203,MATCH(B567,Students!$A$4:$A$203,0)),""))</f>
        <v/>
      </c>
      <c r="D567" s="17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7"/>
      <c r="P567" s="19"/>
    </row>
    <row r="568" customFormat="false" ht="15" hidden="false" customHeight="true" outlineLevel="0" collapsed="false">
      <c r="A568" s="19"/>
      <c r="B568" s="17"/>
      <c r="C568" s="11" t="str">
        <f aca="false">IF(B568="","",IFERROR(INDEX(Students!$B$4:$B$203,MATCH(B568,Students!$A$4:$A$203,0)),""))</f>
        <v/>
      </c>
      <c r="D568" s="17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7"/>
      <c r="P568" s="19"/>
    </row>
    <row r="569" customFormat="false" ht="15" hidden="false" customHeight="true" outlineLevel="0" collapsed="false">
      <c r="A569" s="19"/>
      <c r="B569" s="17"/>
      <c r="C569" s="11" t="str">
        <f aca="false">IF(B569="","",IFERROR(INDEX(Students!$B$4:$B$203,MATCH(B569,Students!$A$4:$A$203,0)),""))</f>
        <v/>
      </c>
      <c r="D569" s="17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7"/>
      <c r="P569" s="19"/>
    </row>
    <row r="570" customFormat="false" ht="15" hidden="false" customHeight="true" outlineLevel="0" collapsed="false">
      <c r="A570" s="19"/>
      <c r="B570" s="17"/>
      <c r="C570" s="11" t="str">
        <f aca="false">IF(B570="","",IFERROR(INDEX(Students!$B$4:$B$203,MATCH(B570,Students!$A$4:$A$203,0)),""))</f>
        <v/>
      </c>
      <c r="D570" s="17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7"/>
      <c r="P570" s="19"/>
    </row>
    <row r="571" customFormat="false" ht="15" hidden="false" customHeight="true" outlineLevel="0" collapsed="false">
      <c r="A571" s="19"/>
      <c r="B571" s="17"/>
      <c r="C571" s="11" t="str">
        <f aca="false">IF(B571="","",IFERROR(INDEX(Students!$B$4:$B$203,MATCH(B571,Students!$A$4:$A$203,0)),""))</f>
        <v/>
      </c>
      <c r="D571" s="17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7"/>
      <c r="P571" s="19"/>
    </row>
    <row r="572" customFormat="false" ht="15" hidden="false" customHeight="true" outlineLevel="0" collapsed="false">
      <c r="A572" s="19"/>
      <c r="B572" s="17"/>
      <c r="C572" s="11" t="str">
        <f aca="false">IF(B572="","",IFERROR(INDEX(Students!$B$4:$B$203,MATCH(B572,Students!$A$4:$A$203,0)),""))</f>
        <v/>
      </c>
      <c r="D572" s="17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7"/>
      <c r="P572" s="19"/>
    </row>
    <row r="573" customFormat="false" ht="15" hidden="false" customHeight="true" outlineLevel="0" collapsed="false">
      <c r="A573" s="19"/>
      <c r="B573" s="17"/>
      <c r="C573" s="11" t="str">
        <f aca="false">IF(B573="","",IFERROR(INDEX(Students!$B$4:$B$203,MATCH(B573,Students!$A$4:$A$203,0)),""))</f>
        <v/>
      </c>
      <c r="D573" s="17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7"/>
      <c r="P573" s="19"/>
    </row>
    <row r="574" customFormat="false" ht="15" hidden="false" customHeight="true" outlineLevel="0" collapsed="false">
      <c r="A574" s="19"/>
      <c r="B574" s="17"/>
      <c r="C574" s="11" t="str">
        <f aca="false">IF(B574="","",IFERROR(INDEX(Students!$B$4:$B$203,MATCH(B574,Students!$A$4:$A$203,0)),""))</f>
        <v/>
      </c>
      <c r="D574" s="17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7"/>
      <c r="P574" s="19"/>
    </row>
    <row r="575" customFormat="false" ht="15" hidden="false" customHeight="true" outlineLevel="0" collapsed="false">
      <c r="A575" s="19"/>
      <c r="B575" s="17"/>
      <c r="C575" s="11" t="str">
        <f aca="false">IF(B575="","",IFERROR(INDEX(Students!$B$4:$B$203,MATCH(B575,Students!$A$4:$A$203,0)),""))</f>
        <v/>
      </c>
      <c r="D575" s="17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7"/>
      <c r="P575" s="19"/>
    </row>
    <row r="576" customFormat="false" ht="15" hidden="false" customHeight="true" outlineLevel="0" collapsed="false">
      <c r="A576" s="19"/>
      <c r="B576" s="17"/>
      <c r="C576" s="11" t="str">
        <f aca="false">IF(B576="","",IFERROR(INDEX(Students!$B$4:$B$203,MATCH(B576,Students!$A$4:$A$203,0)),""))</f>
        <v/>
      </c>
      <c r="D576" s="17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7"/>
      <c r="P576" s="19"/>
    </row>
    <row r="577" customFormat="false" ht="15" hidden="false" customHeight="true" outlineLevel="0" collapsed="false">
      <c r="A577" s="19"/>
      <c r="B577" s="17"/>
      <c r="C577" s="11" t="str">
        <f aca="false">IF(B577="","",IFERROR(INDEX(Students!$B$4:$B$203,MATCH(B577,Students!$A$4:$A$203,0)),""))</f>
        <v/>
      </c>
      <c r="D577" s="17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7"/>
      <c r="P577" s="19"/>
    </row>
    <row r="578" customFormat="false" ht="15" hidden="false" customHeight="true" outlineLevel="0" collapsed="false">
      <c r="A578" s="19"/>
      <c r="B578" s="17"/>
      <c r="C578" s="11" t="str">
        <f aca="false">IF(B578="","",IFERROR(INDEX(Students!$B$4:$B$203,MATCH(B578,Students!$A$4:$A$203,0)),""))</f>
        <v/>
      </c>
      <c r="D578" s="17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7"/>
      <c r="P578" s="19"/>
    </row>
    <row r="579" customFormat="false" ht="15" hidden="false" customHeight="true" outlineLevel="0" collapsed="false">
      <c r="A579" s="19"/>
      <c r="B579" s="17"/>
      <c r="C579" s="11" t="str">
        <f aca="false">IF(B579="","",IFERROR(INDEX(Students!$B$4:$B$203,MATCH(B579,Students!$A$4:$A$203,0)),""))</f>
        <v/>
      </c>
      <c r="D579" s="17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7"/>
      <c r="P579" s="19"/>
    </row>
    <row r="580" customFormat="false" ht="15" hidden="false" customHeight="true" outlineLevel="0" collapsed="false">
      <c r="A580" s="19"/>
      <c r="B580" s="17"/>
      <c r="C580" s="11" t="str">
        <f aca="false">IF(B580="","",IFERROR(INDEX(Students!$B$4:$B$203,MATCH(B580,Students!$A$4:$A$203,0)),""))</f>
        <v/>
      </c>
      <c r="D580" s="17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7"/>
      <c r="P580" s="19"/>
    </row>
    <row r="581" customFormat="false" ht="15" hidden="false" customHeight="true" outlineLevel="0" collapsed="false">
      <c r="A581" s="19"/>
      <c r="B581" s="17"/>
      <c r="C581" s="11" t="str">
        <f aca="false">IF(B581="","",IFERROR(INDEX(Students!$B$4:$B$203,MATCH(B581,Students!$A$4:$A$203,0)),""))</f>
        <v/>
      </c>
      <c r="D581" s="17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7"/>
      <c r="P581" s="19"/>
    </row>
    <row r="582" customFormat="false" ht="15" hidden="false" customHeight="true" outlineLevel="0" collapsed="false">
      <c r="A582" s="19"/>
      <c r="B582" s="17"/>
      <c r="C582" s="11" t="str">
        <f aca="false">IF(B582="","",IFERROR(INDEX(Students!$B$4:$B$203,MATCH(B582,Students!$A$4:$A$203,0)),""))</f>
        <v/>
      </c>
      <c r="D582" s="17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7"/>
      <c r="P582" s="19"/>
    </row>
    <row r="583" customFormat="false" ht="15" hidden="false" customHeight="true" outlineLevel="0" collapsed="false">
      <c r="A583" s="19"/>
      <c r="B583" s="17"/>
      <c r="C583" s="11" t="str">
        <f aca="false">IF(B583="","",IFERROR(INDEX(Students!$B$4:$B$203,MATCH(B583,Students!$A$4:$A$203,0)),""))</f>
        <v/>
      </c>
      <c r="D583" s="17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7"/>
      <c r="P583" s="19"/>
    </row>
    <row r="584" customFormat="false" ht="15" hidden="false" customHeight="true" outlineLevel="0" collapsed="false">
      <c r="A584" s="19"/>
      <c r="B584" s="17"/>
      <c r="C584" s="11" t="str">
        <f aca="false">IF(B584="","",IFERROR(INDEX(Students!$B$4:$B$203,MATCH(B584,Students!$A$4:$A$203,0)),""))</f>
        <v/>
      </c>
      <c r="D584" s="17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7"/>
      <c r="P584" s="19"/>
    </row>
    <row r="585" customFormat="false" ht="15" hidden="false" customHeight="true" outlineLevel="0" collapsed="false">
      <c r="A585" s="19"/>
      <c r="B585" s="17"/>
      <c r="C585" s="11" t="str">
        <f aca="false">IF(B585="","",IFERROR(INDEX(Students!$B$4:$B$203,MATCH(B585,Students!$A$4:$A$203,0)),""))</f>
        <v/>
      </c>
      <c r="D585" s="17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7"/>
      <c r="P585" s="19"/>
    </row>
    <row r="586" customFormat="false" ht="15" hidden="false" customHeight="true" outlineLevel="0" collapsed="false">
      <c r="A586" s="19"/>
      <c r="B586" s="17"/>
      <c r="C586" s="11" t="str">
        <f aca="false">IF(B586="","",IFERROR(INDEX(Students!$B$4:$B$203,MATCH(B586,Students!$A$4:$A$203,0)),""))</f>
        <v/>
      </c>
      <c r="D586" s="17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7"/>
      <c r="P586" s="19"/>
    </row>
    <row r="587" customFormat="false" ht="15" hidden="false" customHeight="true" outlineLevel="0" collapsed="false">
      <c r="A587" s="19"/>
      <c r="B587" s="17"/>
      <c r="C587" s="11" t="str">
        <f aca="false">IF(B587="","",IFERROR(INDEX(Students!$B$4:$B$203,MATCH(B587,Students!$A$4:$A$203,0)),""))</f>
        <v/>
      </c>
      <c r="D587" s="17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7"/>
      <c r="P587" s="19"/>
    </row>
    <row r="588" customFormat="false" ht="15" hidden="false" customHeight="true" outlineLevel="0" collapsed="false">
      <c r="A588" s="19"/>
      <c r="B588" s="17"/>
      <c r="C588" s="11" t="str">
        <f aca="false">IF(B588="","",IFERROR(INDEX(Students!$B$4:$B$203,MATCH(B588,Students!$A$4:$A$203,0)),""))</f>
        <v/>
      </c>
      <c r="D588" s="17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7"/>
      <c r="P588" s="19"/>
    </row>
    <row r="589" customFormat="false" ht="15" hidden="false" customHeight="true" outlineLevel="0" collapsed="false">
      <c r="A589" s="19"/>
      <c r="B589" s="17"/>
      <c r="C589" s="11" t="str">
        <f aca="false">IF(B589="","",IFERROR(INDEX(Students!$B$4:$B$203,MATCH(B589,Students!$A$4:$A$203,0)),""))</f>
        <v/>
      </c>
      <c r="D589" s="17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7"/>
      <c r="P589" s="19"/>
    </row>
    <row r="590" customFormat="false" ht="15" hidden="false" customHeight="true" outlineLevel="0" collapsed="false">
      <c r="A590" s="19"/>
      <c r="B590" s="17"/>
      <c r="C590" s="11" t="str">
        <f aca="false">IF(B590="","",IFERROR(INDEX(Students!$B$4:$B$203,MATCH(B590,Students!$A$4:$A$203,0)),""))</f>
        <v/>
      </c>
      <c r="D590" s="17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7"/>
      <c r="P590" s="19"/>
    </row>
    <row r="591" customFormat="false" ht="15" hidden="false" customHeight="true" outlineLevel="0" collapsed="false">
      <c r="A591" s="19"/>
      <c r="B591" s="17"/>
      <c r="C591" s="11" t="str">
        <f aca="false">IF(B591="","",IFERROR(INDEX(Students!$B$4:$B$203,MATCH(B591,Students!$A$4:$A$203,0)),""))</f>
        <v/>
      </c>
      <c r="D591" s="17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7"/>
      <c r="P591" s="19"/>
    </row>
    <row r="592" customFormat="false" ht="15" hidden="false" customHeight="true" outlineLevel="0" collapsed="false">
      <c r="A592" s="19"/>
      <c r="B592" s="17"/>
      <c r="C592" s="11" t="str">
        <f aca="false">IF(B592="","",IFERROR(INDEX(Students!$B$4:$B$203,MATCH(B592,Students!$A$4:$A$203,0)),""))</f>
        <v/>
      </c>
      <c r="D592" s="17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7"/>
      <c r="P592" s="19"/>
    </row>
    <row r="593" customFormat="false" ht="15" hidden="false" customHeight="true" outlineLevel="0" collapsed="false">
      <c r="A593" s="19"/>
      <c r="B593" s="17"/>
      <c r="C593" s="11" t="str">
        <f aca="false">IF(B593="","",IFERROR(INDEX(Students!$B$4:$B$203,MATCH(B593,Students!$A$4:$A$203,0)),""))</f>
        <v/>
      </c>
      <c r="D593" s="17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7"/>
      <c r="P593" s="19"/>
    </row>
    <row r="594" customFormat="false" ht="15" hidden="false" customHeight="true" outlineLevel="0" collapsed="false">
      <c r="A594" s="19"/>
      <c r="B594" s="17"/>
      <c r="C594" s="11" t="str">
        <f aca="false">IF(B594="","",IFERROR(INDEX(Students!$B$4:$B$203,MATCH(B594,Students!$A$4:$A$203,0)),""))</f>
        <v/>
      </c>
      <c r="D594" s="17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7"/>
      <c r="P594" s="19"/>
    </row>
    <row r="595" customFormat="false" ht="15" hidden="false" customHeight="true" outlineLevel="0" collapsed="false">
      <c r="A595" s="19"/>
      <c r="B595" s="17"/>
      <c r="C595" s="11" t="str">
        <f aca="false">IF(B595="","",IFERROR(INDEX(Students!$B$4:$B$203,MATCH(B595,Students!$A$4:$A$203,0)),""))</f>
        <v/>
      </c>
      <c r="D595" s="17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7"/>
      <c r="P595" s="19"/>
    </row>
    <row r="596" customFormat="false" ht="15" hidden="false" customHeight="true" outlineLevel="0" collapsed="false">
      <c r="A596" s="19"/>
      <c r="B596" s="17"/>
      <c r="C596" s="11" t="str">
        <f aca="false">IF(B596="","",IFERROR(INDEX(Students!$B$4:$B$203,MATCH(B596,Students!$A$4:$A$203,0)),""))</f>
        <v/>
      </c>
      <c r="D596" s="17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7"/>
      <c r="P596" s="19"/>
    </row>
    <row r="597" customFormat="false" ht="15" hidden="false" customHeight="true" outlineLevel="0" collapsed="false">
      <c r="A597" s="19"/>
      <c r="B597" s="17"/>
      <c r="C597" s="11" t="str">
        <f aca="false">IF(B597="","",IFERROR(INDEX(Students!$B$4:$B$203,MATCH(B597,Students!$A$4:$A$203,0)),""))</f>
        <v/>
      </c>
      <c r="D597" s="17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7"/>
      <c r="P597" s="19"/>
    </row>
    <row r="598" customFormat="false" ht="15" hidden="false" customHeight="true" outlineLevel="0" collapsed="false">
      <c r="A598" s="19"/>
      <c r="B598" s="17"/>
      <c r="C598" s="11" t="str">
        <f aca="false">IF(B598="","",IFERROR(INDEX(Students!$B$4:$B$203,MATCH(B598,Students!$A$4:$A$203,0)),""))</f>
        <v/>
      </c>
      <c r="D598" s="17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7"/>
      <c r="P598" s="19"/>
    </row>
    <row r="599" customFormat="false" ht="15" hidden="false" customHeight="true" outlineLevel="0" collapsed="false">
      <c r="A599" s="19"/>
      <c r="B599" s="17"/>
      <c r="C599" s="11" t="str">
        <f aca="false">IF(B599="","",IFERROR(INDEX(Students!$B$4:$B$203,MATCH(B599,Students!$A$4:$A$203,0)),""))</f>
        <v/>
      </c>
      <c r="D599" s="17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7"/>
      <c r="P599" s="19"/>
    </row>
    <row r="600" customFormat="false" ht="15" hidden="false" customHeight="true" outlineLevel="0" collapsed="false">
      <c r="A600" s="19"/>
      <c r="B600" s="17"/>
      <c r="C600" s="11" t="str">
        <f aca="false">IF(B600="","",IFERROR(INDEX(Students!$B$4:$B$203,MATCH(B600,Students!$A$4:$A$203,0)),""))</f>
        <v/>
      </c>
      <c r="D600" s="17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7"/>
      <c r="P600" s="19"/>
    </row>
    <row r="601" customFormat="false" ht="15" hidden="false" customHeight="true" outlineLevel="0" collapsed="false">
      <c r="A601" s="19"/>
      <c r="B601" s="17"/>
      <c r="C601" s="11" t="str">
        <f aca="false">IF(B601="","",IFERROR(INDEX(Students!$B$4:$B$203,MATCH(B601,Students!$A$4:$A$203,0)),""))</f>
        <v/>
      </c>
      <c r="D601" s="17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7"/>
      <c r="P601" s="19"/>
    </row>
    <row r="602" customFormat="false" ht="15" hidden="false" customHeight="true" outlineLevel="0" collapsed="false">
      <c r="A602" s="19"/>
      <c r="B602" s="17"/>
      <c r="C602" s="11" t="str">
        <f aca="false">IF(B602="","",IFERROR(INDEX(Students!$B$4:$B$203,MATCH(B602,Students!$A$4:$A$203,0)),""))</f>
        <v/>
      </c>
      <c r="D602" s="17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7"/>
      <c r="P602" s="19"/>
    </row>
    <row r="603" customFormat="false" ht="15" hidden="false" customHeight="true" outlineLevel="0" collapsed="false">
      <c r="A603" s="19"/>
      <c r="B603" s="17"/>
      <c r="C603" s="11" t="str">
        <f aca="false">IF(B603="","",IFERROR(INDEX(Students!$B$4:$B$203,MATCH(B603,Students!$A$4:$A$203,0)),""))</f>
        <v/>
      </c>
      <c r="D603" s="17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7"/>
      <c r="P603" s="19"/>
    </row>
    <row r="604" customFormat="false" ht="15" hidden="false" customHeight="true" outlineLevel="0" collapsed="false">
      <c r="A604" s="19"/>
      <c r="B604" s="17"/>
      <c r="C604" s="11" t="str">
        <f aca="false">IF(B604="","",IFERROR(INDEX(Students!$B$4:$B$203,MATCH(B604,Students!$A$4:$A$203,0)),""))</f>
        <v/>
      </c>
      <c r="D604" s="17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7"/>
      <c r="P604" s="19"/>
    </row>
    <row r="605" customFormat="false" ht="15" hidden="false" customHeight="true" outlineLevel="0" collapsed="false">
      <c r="A605" s="19"/>
      <c r="B605" s="17"/>
      <c r="C605" s="11" t="str">
        <f aca="false">IF(B605="","",IFERROR(INDEX(Students!$B$4:$B$203,MATCH(B605,Students!$A$4:$A$203,0)),""))</f>
        <v/>
      </c>
      <c r="D605" s="17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7"/>
      <c r="P605" s="19"/>
    </row>
    <row r="606" customFormat="false" ht="15" hidden="false" customHeight="true" outlineLevel="0" collapsed="false">
      <c r="A606" s="19"/>
      <c r="B606" s="17"/>
      <c r="C606" s="11" t="str">
        <f aca="false">IF(B606="","",IFERROR(INDEX(Students!$B$4:$B$203,MATCH(B606,Students!$A$4:$A$203,0)),""))</f>
        <v/>
      </c>
      <c r="D606" s="17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7"/>
      <c r="P606" s="19"/>
    </row>
    <row r="607" customFormat="false" ht="15" hidden="false" customHeight="true" outlineLevel="0" collapsed="false">
      <c r="A607" s="19"/>
      <c r="B607" s="17"/>
      <c r="C607" s="11" t="str">
        <f aca="false">IF(B607="","",IFERROR(INDEX(Students!$B$4:$B$203,MATCH(B607,Students!$A$4:$A$203,0)),""))</f>
        <v/>
      </c>
      <c r="D607" s="17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7"/>
      <c r="P607" s="19"/>
    </row>
    <row r="608" customFormat="false" ht="15" hidden="false" customHeight="true" outlineLevel="0" collapsed="false">
      <c r="A608" s="19"/>
      <c r="B608" s="17"/>
      <c r="C608" s="11" t="str">
        <f aca="false">IF(B608="","",IFERROR(INDEX(Students!$B$4:$B$203,MATCH(B608,Students!$A$4:$A$203,0)),""))</f>
        <v/>
      </c>
      <c r="D608" s="17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7"/>
      <c r="P608" s="19"/>
    </row>
    <row r="609" customFormat="false" ht="15" hidden="false" customHeight="true" outlineLevel="0" collapsed="false">
      <c r="A609" s="19"/>
      <c r="B609" s="17"/>
      <c r="C609" s="11" t="str">
        <f aca="false">IF(B609="","",IFERROR(INDEX(Students!$B$4:$B$203,MATCH(B609,Students!$A$4:$A$203,0)),""))</f>
        <v/>
      </c>
      <c r="D609" s="17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7"/>
      <c r="P609" s="19"/>
    </row>
    <row r="610" customFormat="false" ht="15" hidden="false" customHeight="true" outlineLevel="0" collapsed="false">
      <c r="A610" s="19"/>
      <c r="B610" s="17"/>
      <c r="C610" s="11" t="str">
        <f aca="false">IF(B610="","",IFERROR(INDEX(Students!$B$4:$B$203,MATCH(B610,Students!$A$4:$A$203,0)),""))</f>
        <v/>
      </c>
      <c r="D610" s="17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7"/>
      <c r="P610" s="19"/>
    </row>
    <row r="611" customFormat="false" ht="15" hidden="false" customHeight="true" outlineLevel="0" collapsed="false">
      <c r="A611" s="19"/>
      <c r="B611" s="17"/>
      <c r="C611" s="11" t="str">
        <f aca="false">IF(B611="","",IFERROR(INDEX(Students!$B$4:$B$203,MATCH(B611,Students!$A$4:$A$203,0)),""))</f>
        <v/>
      </c>
      <c r="D611" s="17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7"/>
      <c r="P611" s="19"/>
    </row>
    <row r="612" customFormat="false" ht="15" hidden="false" customHeight="true" outlineLevel="0" collapsed="false">
      <c r="A612" s="19"/>
      <c r="B612" s="17"/>
      <c r="C612" s="11" t="str">
        <f aca="false">IF(B612="","",IFERROR(INDEX(Students!$B$4:$B$203,MATCH(B612,Students!$A$4:$A$203,0)),""))</f>
        <v/>
      </c>
      <c r="D612" s="17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7"/>
      <c r="P612" s="19"/>
    </row>
    <row r="613" customFormat="false" ht="15" hidden="false" customHeight="true" outlineLevel="0" collapsed="false">
      <c r="A613" s="19"/>
      <c r="B613" s="17"/>
      <c r="C613" s="11" t="str">
        <f aca="false">IF(B613="","",IFERROR(INDEX(Students!$B$4:$B$203,MATCH(B613,Students!$A$4:$A$203,0)),""))</f>
        <v/>
      </c>
      <c r="D613" s="17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7"/>
      <c r="P613" s="19"/>
    </row>
    <row r="614" customFormat="false" ht="15" hidden="false" customHeight="true" outlineLevel="0" collapsed="false">
      <c r="A614" s="19"/>
      <c r="B614" s="17"/>
      <c r="C614" s="11" t="str">
        <f aca="false">IF(B614="","",IFERROR(INDEX(Students!$B$4:$B$203,MATCH(B614,Students!$A$4:$A$203,0)),""))</f>
        <v/>
      </c>
      <c r="D614" s="17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7"/>
      <c r="P614" s="19"/>
    </row>
    <row r="615" customFormat="false" ht="15" hidden="false" customHeight="true" outlineLevel="0" collapsed="false">
      <c r="A615" s="19"/>
      <c r="B615" s="17"/>
      <c r="C615" s="11" t="str">
        <f aca="false">IF(B615="","",IFERROR(INDEX(Students!$B$4:$B$203,MATCH(B615,Students!$A$4:$A$203,0)),""))</f>
        <v/>
      </c>
      <c r="D615" s="17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7"/>
      <c r="P615" s="19"/>
    </row>
    <row r="616" customFormat="false" ht="15" hidden="false" customHeight="true" outlineLevel="0" collapsed="false">
      <c r="A616" s="19"/>
      <c r="B616" s="17"/>
      <c r="C616" s="11" t="str">
        <f aca="false">IF(B616="","",IFERROR(INDEX(Students!$B$4:$B$203,MATCH(B616,Students!$A$4:$A$203,0)),""))</f>
        <v/>
      </c>
      <c r="D616" s="17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7"/>
      <c r="P616" s="19"/>
    </row>
    <row r="617" customFormat="false" ht="15" hidden="false" customHeight="true" outlineLevel="0" collapsed="false">
      <c r="A617" s="19"/>
      <c r="B617" s="17"/>
      <c r="C617" s="11" t="str">
        <f aca="false">IF(B617="","",IFERROR(INDEX(Students!$B$4:$B$203,MATCH(B617,Students!$A$4:$A$203,0)),""))</f>
        <v/>
      </c>
      <c r="D617" s="17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7"/>
      <c r="P617" s="19"/>
    </row>
    <row r="618" customFormat="false" ht="15" hidden="false" customHeight="true" outlineLevel="0" collapsed="false">
      <c r="A618" s="19"/>
      <c r="B618" s="17"/>
      <c r="C618" s="11" t="str">
        <f aca="false">IF(B618="","",IFERROR(INDEX(Students!$B$4:$B$203,MATCH(B618,Students!$A$4:$A$203,0)),""))</f>
        <v/>
      </c>
      <c r="D618" s="17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7"/>
      <c r="P618" s="19"/>
    </row>
    <row r="619" customFormat="false" ht="15" hidden="false" customHeight="true" outlineLevel="0" collapsed="false">
      <c r="A619" s="19"/>
      <c r="B619" s="17"/>
      <c r="C619" s="11" t="str">
        <f aca="false">IF(B619="","",IFERROR(INDEX(Students!$B$4:$B$203,MATCH(B619,Students!$A$4:$A$203,0)),""))</f>
        <v/>
      </c>
      <c r="D619" s="17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7"/>
      <c r="P619" s="19"/>
    </row>
    <row r="620" customFormat="false" ht="15" hidden="false" customHeight="true" outlineLevel="0" collapsed="false">
      <c r="A620" s="19"/>
      <c r="B620" s="17"/>
      <c r="C620" s="11" t="str">
        <f aca="false">IF(B620="","",IFERROR(INDEX(Students!$B$4:$B$203,MATCH(B620,Students!$A$4:$A$203,0)),""))</f>
        <v/>
      </c>
      <c r="D620" s="17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7"/>
      <c r="P620" s="19"/>
    </row>
    <row r="621" customFormat="false" ht="15" hidden="false" customHeight="true" outlineLevel="0" collapsed="false">
      <c r="A621" s="19"/>
      <c r="B621" s="17"/>
      <c r="C621" s="11" t="str">
        <f aca="false">IF(B621="","",IFERROR(INDEX(Students!$B$4:$B$203,MATCH(B621,Students!$A$4:$A$203,0)),""))</f>
        <v/>
      </c>
      <c r="D621" s="17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7"/>
      <c r="P621" s="19"/>
    </row>
    <row r="622" customFormat="false" ht="15" hidden="false" customHeight="true" outlineLevel="0" collapsed="false">
      <c r="A622" s="19"/>
      <c r="B622" s="17"/>
      <c r="C622" s="11" t="str">
        <f aca="false">IF(B622="","",IFERROR(INDEX(Students!$B$4:$B$203,MATCH(B622,Students!$A$4:$A$203,0)),""))</f>
        <v/>
      </c>
      <c r="D622" s="17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7"/>
      <c r="P622" s="19"/>
    </row>
    <row r="623" customFormat="false" ht="15" hidden="false" customHeight="true" outlineLevel="0" collapsed="false">
      <c r="A623" s="19"/>
      <c r="B623" s="17"/>
      <c r="C623" s="11" t="str">
        <f aca="false">IF(B623="","",IFERROR(INDEX(Students!$B$4:$B$203,MATCH(B623,Students!$A$4:$A$203,0)),""))</f>
        <v/>
      </c>
      <c r="D623" s="17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7"/>
      <c r="P623" s="19"/>
    </row>
    <row r="624" customFormat="false" ht="15" hidden="false" customHeight="true" outlineLevel="0" collapsed="false">
      <c r="A624" s="19"/>
      <c r="B624" s="17"/>
      <c r="C624" s="11" t="str">
        <f aca="false">IF(B624="","",IFERROR(INDEX(Students!$B$4:$B$203,MATCH(B624,Students!$A$4:$A$203,0)),""))</f>
        <v/>
      </c>
      <c r="D624" s="17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7"/>
      <c r="P624" s="19"/>
    </row>
    <row r="625" customFormat="false" ht="15" hidden="false" customHeight="true" outlineLevel="0" collapsed="false">
      <c r="A625" s="19"/>
      <c r="B625" s="17"/>
      <c r="C625" s="11" t="str">
        <f aca="false">IF(B625="","",IFERROR(INDEX(Students!$B$4:$B$203,MATCH(B625,Students!$A$4:$A$203,0)),""))</f>
        <v/>
      </c>
      <c r="D625" s="17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7"/>
      <c r="P625" s="19"/>
    </row>
    <row r="626" customFormat="false" ht="15" hidden="false" customHeight="true" outlineLevel="0" collapsed="false">
      <c r="A626" s="19"/>
      <c r="B626" s="17"/>
      <c r="C626" s="11" t="str">
        <f aca="false">IF(B626="","",IFERROR(INDEX(Students!$B$4:$B$203,MATCH(B626,Students!$A$4:$A$203,0)),""))</f>
        <v/>
      </c>
      <c r="D626" s="17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7"/>
      <c r="P626" s="19"/>
    </row>
    <row r="627" customFormat="false" ht="15" hidden="false" customHeight="true" outlineLevel="0" collapsed="false">
      <c r="A627" s="19"/>
      <c r="B627" s="17"/>
      <c r="C627" s="11" t="str">
        <f aca="false">IF(B627="","",IFERROR(INDEX(Students!$B$4:$B$203,MATCH(B627,Students!$A$4:$A$203,0)),""))</f>
        <v/>
      </c>
      <c r="D627" s="17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7"/>
      <c r="P627" s="19"/>
    </row>
    <row r="628" customFormat="false" ht="15" hidden="false" customHeight="true" outlineLevel="0" collapsed="false">
      <c r="A628" s="19"/>
      <c r="B628" s="17"/>
      <c r="C628" s="11" t="str">
        <f aca="false">IF(B628="","",IFERROR(INDEX(Students!$B$4:$B$203,MATCH(B628,Students!$A$4:$A$203,0)),""))</f>
        <v/>
      </c>
      <c r="D628" s="17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7"/>
      <c r="P628" s="19"/>
    </row>
    <row r="629" customFormat="false" ht="15" hidden="false" customHeight="true" outlineLevel="0" collapsed="false">
      <c r="A629" s="19"/>
      <c r="B629" s="17"/>
      <c r="C629" s="11" t="str">
        <f aca="false">IF(B629="","",IFERROR(INDEX(Students!$B$4:$B$203,MATCH(B629,Students!$A$4:$A$203,0)),""))</f>
        <v/>
      </c>
      <c r="D629" s="17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7"/>
      <c r="P629" s="19"/>
    </row>
    <row r="630" customFormat="false" ht="15" hidden="false" customHeight="true" outlineLevel="0" collapsed="false">
      <c r="A630" s="19"/>
      <c r="B630" s="17"/>
      <c r="C630" s="11" t="str">
        <f aca="false">IF(B630="","",IFERROR(INDEX(Students!$B$4:$B$203,MATCH(B630,Students!$A$4:$A$203,0)),""))</f>
        <v/>
      </c>
      <c r="D630" s="17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7"/>
      <c r="P630" s="19"/>
    </row>
    <row r="631" customFormat="false" ht="15" hidden="false" customHeight="true" outlineLevel="0" collapsed="false">
      <c r="A631" s="19"/>
      <c r="B631" s="17"/>
      <c r="C631" s="11" t="str">
        <f aca="false">IF(B631="","",IFERROR(INDEX(Students!$B$4:$B$203,MATCH(B631,Students!$A$4:$A$203,0)),""))</f>
        <v/>
      </c>
      <c r="D631" s="17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7"/>
      <c r="P631" s="19"/>
    </row>
    <row r="632" customFormat="false" ht="15" hidden="false" customHeight="true" outlineLevel="0" collapsed="false">
      <c r="A632" s="19"/>
      <c r="B632" s="17"/>
      <c r="C632" s="11" t="str">
        <f aca="false">IF(B632="","",IFERROR(INDEX(Students!$B$4:$B$203,MATCH(B632,Students!$A$4:$A$203,0)),""))</f>
        <v/>
      </c>
      <c r="D632" s="17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7"/>
      <c r="P632" s="19"/>
    </row>
    <row r="633" customFormat="false" ht="15" hidden="false" customHeight="true" outlineLevel="0" collapsed="false">
      <c r="A633" s="19"/>
      <c r="B633" s="17"/>
      <c r="C633" s="11" t="str">
        <f aca="false">IF(B633="","",IFERROR(INDEX(Students!$B$4:$B$203,MATCH(B633,Students!$A$4:$A$203,0)),""))</f>
        <v/>
      </c>
      <c r="D633" s="17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7"/>
      <c r="P633" s="19"/>
    </row>
    <row r="634" customFormat="false" ht="15" hidden="false" customHeight="true" outlineLevel="0" collapsed="false">
      <c r="A634" s="19"/>
      <c r="B634" s="17"/>
      <c r="C634" s="11" t="str">
        <f aca="false">IF(B634="","",IFERROR(INDEX(Students!$B$4:$B$203,MATCH(B634,Students!$A$4:$A$203,0)),""))</f>
        <v/>
      </c>
      <c r="D634" s="17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7"/>
      <c r="P634" s="19"/>
    </row>
    <row r="635" customFormat="false" ht="15" hidden="false" customHeight="true" outlineLevel="0" collapsed="false">
      <c r="A635" s="19"/>
      <c r="B635" s="17"/>
      <c r="C635" s="11" t="str">
        <f aca="false">IF(B635="","",IFERROR(INDEX(Students!$B$4:$B$203,MATCH(B635,Students!$A$4:$A$203,0)),""))</f>
        <v/>
      </c>
      <c r="D635" s="17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7"/>
      <c r="P635" s="19"/>
    </row>
    <row r="636" customFormat="false" ht="15" hidden="false" customHeight="true" outlineLevel="0" collapsed="false">
      <c r="A636" s="19"/>
      <c r="B636" s="17"/>
      <c r="C636" s="11" t="str">
        <f aca="false">IF(B636="","",IFERROR(INDEX(Students!$B$4:$B$203,MATCH(B636,Students!$A$4:$A$203,0)),""))</f>
        <v/>
      </c>
      <c r="D636" s="17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7"/>
      <c r="P636" s="19"/>
    </row>
    <row r="637" customFormat="false" ht="15" hidden="false" customHeight="true" outlineLevel="0" collapsed="false">
      <c r="A637" s="19"/>
      <c r="B637" s="17"/>
      <c r="C637" s="11" t="str">
        <f aca="false">IF(B637="","",IFERROR(INDEX(Students!$B$4:$B$203,MATCH(B637,Students!$A$4:$A$203,0)),""))</f>
        <v/>
      </c>
      <c r="D637" s="17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7"/>
      <c r="P637" s="19"/>
    </row>
    <row r="638" customFormat="false" ht="15" hidden="false" customHeight="true" outlineLevel="0" collapsed="false">
      <c r="A638" s="19"/>
      <c r="B638" s="17"/>
      <c r="C638" s="11" t="str">
        <f aca="false">IF(B638="","",IFERROR(INDEX(Students!$B$4:$B$203,MATCH(B638,Students!$A$4:$A$203,0)),""))</f>
        <v/>
      </c>
      <c r="D638" s="17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7"/>
      <c r="P638" s="19"/>
    </row>
    <row r="639" customFormat="false" ht="15" hidden="false" customHeight="true" outlineLevel="0" collapsed="false">
      <c r="A639" s="19"/>
      <c r="B639" s="17"/>
      <c r="C639" s="11" t="str">
        <f aca="false">IF(B639="","",IFERROR(INDEX(Students!$B$4:$B$203,MATCH(B639,Students!$A$4:$A$203,0)),""))</f>
        <v/>
      </c>
      <c r="D639" s="17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7"/>
      <c r="P639" s="19"/>
    </row>
    <row r="640" customFormat="false" ht="15" hidden="false" customHeight="true" outlineLevel="0" collapsed="false">
      <c r="A640" s="19"/>
      <c r="B640" s="17"/>
      <c r="C640" s="11" t="str">
        <f aca="false">IF(B640="","",IFERROR(INDEX(Students!$B$4:$B$203,MATCH(B640,Students!$A$4:$A$203,0)),""))</f>
        <v/>
      </c>
      <c r="D640" s="17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7"/>
      <c r="P640" s="19"/>
    </row>
    <row r="641" customFormat="false" ht="15" hidden="false" customHeight="true" outlineLevel="0" collapsed="false">
      <c r="A641" s="19"/>
      <c r="B641" s="17"/>
      <c r="C641" s="11" t="str">
        <f aca="false">IF(B641="","",IFERROR(INDEX(Students!$B$4:$B$203,MATCH(B641,Students!$A$4:$A$203,0)),""))</f>
        <v/>
      </c>
      <c r="D641" s="17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7"/>
      <c r="P641" s="19"/>
    </row>
    <row r="642" customFormat="false" ht="15" hidden="false" customHeight="true" outlineLevel="0" collapsed="false">
      <c r="A642" s="19"/>
      <c r="B642" s="17"/>
      <c r="C642" s="11" t="str">
        <f aca="false">IF(B642="","",IFERROR(INDEX(Students!$B$4:$B$203,MATCH(B642,Students!$A$4:$A$203,0)),""))</f>
        <v/>
      </c>
      <c r="D642" s="17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7"/>
      <c r="P642" s="19"/>
    </row>
    <row r="643" customFormat="false" ht="15" hidden="false" customHeight="true" outlineLevel="0" collapsed="false">
      <c r="A643" s="19"/>
      <c r="B643" s="17"/>
      <c r="C643" s="11" t="str">
        <f aca="false">IF(B643="","",IFERROR(INDEX(Students!$B$4:$B$203,MATCH(B643,Students!$A$4:$A$203,0)),""))</f>
        <v/>
      </c>
      <c r="D643" s="17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7"/>
      <c r="P643" s="19"/>
    </row>
    <row r="644" customFormat="false" ht="15" hidden="false" customHeight="true" outlineLevel="0" collapsed="false">
      <c r="A644" s="19"/>
      <c r="B644" s="17"/>
      <c r="C644" s="11" t="str">
        <f aca="false">IF(B644="","",IFERROR(INDEX(Students!$B$4:$B$203,MATCH(B644,Students!$A$4:$A$203,0)),""))</f>
        <v/>
      </c>
      <c r="D644" s="17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7"/>
      <c r="P644" s="19"/>
    </row>
    <row r="645" customFormat="false" ht="15" hidden="false" customHeight="true" outlineLevel="0" collapsed="false">
      <c r="A645" s="19"/>
      <c r="B645" s="17"/>
      <c r="C645" s="11" t="str">
        <f aca="false">IF(B645="","",IFERROR(INDEX(Students!$B$4:$B$203,MATCH(B645,Students!$A$4:$A$203,0)),""))</f>
        <v/>
      </c>
      <c r="D645" s="17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7"/>
      <c r="P645" s="19"/>
    </row>
    <row r="646" customFormat="false" ht="15" hidden="false" customHeight="true" outlineLevel="0" collapsed="false">
      <c r="A646" s="19"/>
      <c r="B646" s="17"/>
      <c r="C646" s="11" t="str">
        <f aca="false">IF(B646="","",IFERROR(INDEX(Students!$B$4:$B$203,MATCH(B646,Students!$A$4:$A$203,0)),""))</f>
        <v/>
      </c>
      <c r="D646" s="17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7"/>
      <c r="P646" s="19"/>
    </row>
    <row r="647" customFormat="false" ht="15" hidden="false" customHeight="true" outlineLevel="0" collapsed="false">
      <c r="A647" s="19"/>
      <c r="B647" s="17"/>
      <c r="C647" s="11" t="str">
        <f aca="false">IF(B647="","",IFERROR(INDEX(Students!$B$4:$B$203,MATCH(B647,Students!$A$4:$A$203,0)),""))</f>
        <v/>
      </c>
      <c r="D647" s="17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7"/>
      <c r="P647" s="19"/>
    </row>
    <row r="648" customFormat="false" ht="15" hidden="false" customHeight="true" outlineLevel="0" collapsed="false">
      <c r="A648" s="19"/>
      <c r="B648" s="17"/>
      <c r="C648" s="11" t="str">
        <f aca="false">IF(B648="","",IFERROR(INDEX(Students!$B$4:$B$203,MATCH(B648,Students!$A$4:$A$203,0)),""))</f>
        <v/>
      </c>
      <c r="D648" s="17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7"/>
      <c r="P648" s="19"/>
    </row>
    <row r="649" customFormat="false" ht="15" hidden="false" customHeight="true" outlineLevel="0" collapsed="false">
      <c r="A649" s="19"/>
      <c r="B649" s="17"/>
      <c r="C649" s="11" t="str">
        <f aca="false">IF(B649="","",IFERROR(INDEX(Students!$B$4:$B$203,MATCH(B649,Students!$A$4:$A$203,0)),""))</f>
        <v/>
      </c>
      <c r="D649" s="17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7"/>
      <c r="P649" s="19"/>
    </row>
    <row r="650" customFormat="false" ht="15" hidden="false" customHeight="true" outlineLevel="0" collapsed="false">
      <c r="A650" s="19"/>
      <c r="B650" s="17"/>
      <c r="C650" s="11" t="str">
        <f aca="false">IF(B650="","",IFERROR(INDEX(Students!$B$4:$B$203,MATCH(B650,Students!$A$4:$A$203,0)),""))</f>
        <v/>
      </c>
      <c r="D650" s="17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7"/>
      <c r="P650" s="19"/>
    </row>
    <row r="651" customFormat="false" ht="15" hidden="false" customHeight="true" outlineLevel="0" collapsed="false">
      <c r="A651" s="19"/>
      <c r="B651" s="17"/>
      <c r="C651" s="11" t="str">
        <f aca="false">IF(B651="","",IFERROR(INDEX(Students!$B$4:$B$203,MATCH(B651,Students!$A$4:$A$203,0)),""))</f>
        <v/>
      </c>
      <c r="D651" s="17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7"/>
      <c r="P651" s="19"/>
    </row>
    <row r="652" customFormat="false" ht="15" hidden="false" customHeight="true" outlineLevel="0" collapsed="false">
      <c r="A652" s="19"/>
      <c r="B652" s="17"/>
      <c r="C652" s="11" t="str">
        <f aca="false">IF(B652="","",IFERROR(INDEX(Students!$B$4:$B$203,MATCH(B652,Students!$A$4:$A$203,0)),""))</f>
        <v/>
      </c>
      <c r="D652" s="17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7"/>
      <c r="P652" s="19"/>
    </row>
    <row r="653" customFormat="false" ht="15" hidden="false" customHeight="true" outlineLevel="0" collapsed="false">
      <c r="A653" s="19"/>
      <c r="B653" s="17"/>
      <c r="C653" s="11" t="str">
        <f aca="false">IF(B653="","",IFERROR(INDEX(Students!$B$4:$B$203,MATCH(B653,Students!$A$4:$A$203,0)),""))</f>
        <v/>
      </c>
      <c r="D653" s="17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7"/>
      <c r="P653" s="19"/>
    </row>
    <row r="654" customFormat="false" ht="15" hidden="false" customHeight="true" outlineLevel="0" collapsed="false">
      <c r="A654" s="19"/>
      <c r="B654" s="17"/>
      <c r="C654" s="11" t="str">
        <f aca="false">IF(B654="","",IFERROR(INDEX(Students!$B$4:$B$203,MATCH(B654,Students!$A$4:$A$203,0)),""))</f>
        <v/>
      </c>
      <c r="D654" s="17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7"/>
      <c r="P654" s="19"/>
    </row>
    <row r="655" customFormat="false" ht="15" hidden="false" customHeight="true" outlineLevel="0" collapsed="false">
      <c r="A655" s="19"/>
      <c r="B655" s="17"/>
      <c r="C655" s="11" t="str">
        <f aca="false">IF(B655="","",IFERROR(INDEX(Students!$B$4:$B$203,MATCH(B655,Students!$A$4:$A$203,0)),""))</f>
        <v/>
      </c>
      <c r="D655" s="17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7"/>
      <c r="P655" s="19"/>
    </row>
    <row r="656" customFormat="false" ht="15" hidden="false" customHeight="true" outlineLevel="0" collapsed="false">
      <c r="A656" s="19"/>
      <c r="B656" s="17"/>
      <c r="C656" s="11" t="str">
        <f aca="false">IF(B656="","",IFERROR(INDEX(Students!$B$4:$B$203,MATCH(B656,Students!$A$4:$A$203,0)),""))</f>
        <v/>
      </c>
      <c r="D656" s="17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7"/>
      <c r="P656" s="19"/>
    </row>
    <row r="657" customFormat="false" ht="15" hidden="false" customHeight="true" outlineLevel="0" collapsed="false">
      <c r="A657" s="19"/>
      <c r="B657" s="17"/>
      <c r="C657" s="11" t="str">
        <f aca="false">IF(B657="","",IFERROR(INDEX(Students!$B$4:$B$203,MATCH(B657,Students!$A$4:$A$203,0)),""))</f>
        <v/>
      </c>
      <c r="D657" s="17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7"/>
      <c r="P657" s="19"/>
    </row>
    <row r="658" customFormat="false" ht="15" hidden="false" customHeight="true" outlineLevel="0" collapsed="false">
      <c r="A658" s="19"/>
      <c r="B658" s="17"/>
      <c r="C658" s="11" t="str">
        <f aca="false">IF(B658="","",IFERROR(INDEX(Students!$B$4:$B$203,MATCH(B658,Students!$A$4:$A$203,0)),""))</f>
        <v/>
      </c>
      <c r="D658" s="17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7"/>
      <c r="P658" s="19"/>
    </row>
    <row r="659" customFormat="false" ht="15" hidden="false" customHeight="true" outlineLevel="0" collapsed="false">
      <c r="A659" s="19"/>
      <c r="B659" s="17"/>
      <c r="C659" s="11" t="str">
        <f aca="false">IF(B659="","",IFERROR(INDEX(Students!$B$4:$B$203,MATCH(B659,Students!$A$4:$A$203,0)),""))</f>
        <v/>
      </c>
      <c r="D659" s="17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7"/>
      <c r="P659" s="19"/>
    </row>
    <row r="660" customFormat="false" ht="15" hidden="false" customHeight="true" outlineLevel="0" collapsed="false">
      <c r="A660" s="19"/>
      <c r="B660" s="17"/>
      <c r="C660" s="11" t="str">
        <f aca="false">IF(B660="","",IFERROR(INDEX(Students!$B$4:$B$203,MATCH(B660,Students!$A$4:$A$203,0)),""))</f>
        <v/>
      </c>
      <c r="D660" s="17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7"/>
      <c r="P660" s="19"/>
    </row>
    <row r="661" customFormat="false" ht="15" hidden="false" customHeight="true" outlineLevel="0" collapsed="false">
      <c r="A661" s="19"/>
      <c r="B661" s="17"/>
      <c r="C661" s="11" t="str">
        <f aca="false">IF(B661="","",IFERROR(INDEX(Students!$B$4:$B$203,MATCH(B661,Students!$A$4:$A$203,0)),""))</f>
        <v/>
      </c>
      <c r="D661" s="17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7"/>
      <c r="P661" s="19"/>
    </row>
    <row r="662" customFormat="false" ht="15" hidden="false" customHeight="true" outlineLevel="0" collapsed="false">
      <c r="A662" s="19"/>
      <c r="B662" s="17"/>
      <c r="C662" s="11" t="str">
        <f aca="false">IF(B662="","",IFERROR(INDEX(Students!$B$4:$B$203,MATCH(B662,Students!$A$4:$A$203,0)),""))</f>
        <v/>
      </c>
      <c r="D662" s="17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7"/>
      <c r="P662" s="19"/>
    </row>
    <row r="663" customFormat="false" ht="15" hidden="false" customHeight="true" outlineLevel="0" collapsed="false">
      <c r="A663" s="19"/>
      <c r="B663" s="17"/>
      <c r="C663" s="11" t="str">
        <f aca="false">IF(B663="","",IFERROR(INDEX(Students!$B$4:$B$203,MATCH(B663,Students!$A$4:$A$203,0)),""))</f>
        <v/>
      </c>
      <c r="D663" s="17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7"/>
      <c r="P663" s="19"/>
    </row>
    <row r="664" customFormat="false" ht="15" hidden="false" customHeight="true" outlineLevel="0" collapsed="false">
      <c r="A664" s="19"/>
      <c r="B664" s="17"/>
      <c r="C664" s="11" t="str">
        <f aca="false">IF(B664="","",IFERROR(INDEX(Students!$B$4:$B$203,MATCH(B664,Students!$A$4:$A$203,0)),""))</f>
        <v/>
      </c>
      <c r="D664" s="17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7"/>
      <c r="P664" s="19"/>
    </row>
    <row r="665" customFormat="false" ht="15" hidden="false" customHeight="true" outlineLevel="0" collapsed="false">
      <c r="A665" s="19"/>
      <c r="B665" s="17"/>
      <c r="C665" s="11" t="str">
        <f aca="false">IF(B665="","",IFERROR(INDEX(Students!$B$4:$B$203,MATCH(B665,Students!$A$4:$A$203,0)),""))</f>
        <v/>
      </c>
      <c r="D665" s="17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7"/>
      <c r="P665" s="19"/>
    </row>
    <row r="666" customFormat="false" ht="15" hidden="false" customHeight="true" outlineLevel="0" collapsed="false">
      <c r="A666" s="19"/>
      <c r="B666" s="17"/>
      <c r="C666" s="11" t="str">
        <f aca="false">IF(B666="","",IFERROR(INDEX(Students!$B$4:$B$203,MATCH(B666,Students!$A$4:$A$203,0)),""))</f>
        <v/>
      </c>
      <c r="D666" s="17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7"/>
      <c r="P666" s="19"/>
    </row>
    <row r="667" customFormat="false" ht="15" hidden="false" customHeight="true" outlineLevel="0" collapsed="false">
      <c r="A667" s="19"/>
      <c r="B667" s="17"/>
      <c r="C667" s="11" t="str">
        <f aca="false">IF(B667="","",IFERROR(INDEX(Students!$B$4:$B$203,MATCH(B667,Students!$A$4:$A$203,0)),""))</f>
        <v/>
      </c>
      <c r="D667" s="17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7"/>
      <c r="P667" s="19"/>
    </row>
    <row r="668" customFormat="false" ht="15" hidden="false" customHeight="true" outlineLevel="0" collapsed="false">
      <c r="A668" s="19"/>
      <c r="B668" s="17"/>
      <c r="C668" s="11" t="str">
        <f aca="false">IF(B668="","",IFERROR(INDEX(Students!$B$4:$B$203,MATCH(B668,Students!$A$4:$A$203,0)),""))</f>
        <v/>
      </c>
      <c r="D668" s="17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7"/>
      <c r="P668" s="19"/>
    </row>
    <row r="669" customFormat="false" ht="15" hidden="false" customHeight="true" outlineLevel="0" collapsed="false">
      <c r="A669" s="19"/>
      <c r="B669" s="17"/>
      <c r="C669" s="11" t="str">
        <f aca="false">IF(B669="","",IFERROR(INDEX(Students!$B$4:$B$203,MATCH(B669,Students!$A$4:$A$203,0)),""))</f>
        <v/>
      </c>
      <c r="D669" s="17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7"/>
      <c r="P669" s="19"/>
    </row>
    <row r="670" customFormat="false" ht="15" hidden="false" customHeight="true" outlineLevel="0" collapsed="false">
      <c r="A670" s="19"/>
      <c r="B670" s="17"/>
      <c r="C670" s="11" t="str">
        <f aca="false">IF(B670="","",IFERROR(INDEX(Students!$B$4:$B$203,MATCH(B670,Students!$A$4:$A$203,0)),""))</f>
        <v/>
      </c>
      <c r="D670" s="17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7"/>
      <c r="P670" s="19"/>
    </row>
    <row r="671" customFormat="false" ht="15" hidden="false" customHeight="true" outlineLevel="0" collapsed="false">
      <c r="A671" s="19"/>
      <c r="B671" s="17"/>
      <c r="C671" s="11" t="str">
        <f aca="false">IF(B671="","",IFERROR(INDEX(Students!$B$4:$B$203,MATCH(B671,Students!$A$4:$A$203,0)),""))</f>
        <v/>
      </c>
      <c r="D671" s="17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7"/>
      <c r="P671" s="19"/>
    </row>
    <row r="672" customFormat="false" ht="15" hidden="false" customHeight="true" outlineLevel="0" collapsed="false">
      <c r="A672" s="19"/>
      <c r="B672" s="17"/>
      <c r="C672" s="11" t="str">
        <f aca="false">IF(B672="","",IFERROR(INDEX(Students!$B$4:$B$203,MATCH(B672,Students!$A$4:$A$203,0)),""))</f>
        <v/>
      </c>
      <c r="D672" s="17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7"/>
      <c r="P672" s="19"/>
    </row>
    <row r="673" customFormat="false" ht="15" hidden="false" customHeight="true" outlineLevel="0" collapsed="false">
      <c r="A673" s="19"/>
      <c r="B673" s="17"/>
      <c r="C673" s="11" t="str">
        <f aca="false">IF(B673="","",IFERROR(INDEX(Students!$B$4:$B$203,MATCH(B673,Students!$A$4:$A$203,0)),""))</f>
        <v/>
      </c>
      <c r="D673" s="17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7"/>
      <c r="P673" s="19"/>
    </row>
    <row r="674" customFormat="false" ht="15" hidden="false" customHeight="true" outlineLevel="0" collapsed="false">
      <c r="A674" s="19"/>
      <c r="B674" s="17"/>
      <c r="C674" s="11" t="str">
        <f aca="false">IF(B674="","",IFERROR(INDEX(Students!$B$4:$B$203,MATCH(B674,Students!$A$4:$A$203,0)),""))</f>
        <v/>
      </c>
      <c r="D674" s="17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7"/>
      <c r="P674" s="19"/>
    </row>
    <row r="675" customFormat="false" ht="15" hidden="false" customHeight="true" outlineLevel="0" collapsed="false">
      <c r="A675" s="19"/>
      <c r="B675" s="17"/>
      <c r="C675" s="11" t="str">
        <f aca="false">IF(B675="","",IFERROR(INDEX(Students!$B$4:$B$203,MATCH(B675,Students!$A$4:$A$203,0)),""))</f>
        <v/>
      </c>
      <c r="D675" s="17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7"/>
      <c r="P675" s="19"/>
    </row>
    <row r="676" customFormat="false" ht="15" hidden="false" customHeight="true" outlineLevel="0" collapsed="false">
      <c r="A676" s="19"/>
      <c r="B676" s="17"/>
      <c r="C676" s="11" t="str">
        <f aca="false">IF(B676="","",IFERROR(INDEX(Students!$B$4:$B$203,MATCH(B676,Students!$A$4:$A$203,0)),""))</f>
        <v/>
      </c>
      <c r="D676" s="17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7"/>
      <c r="P676" s="19"/>
    </row>
    <row r="677" customFormat="false" ht="15" hidden="false" customHeight="true" outlineLevel="0" collapsed="false">
      <c r="A677" s="19"/>
      <c r="B677" s="17"/>
      <c r="C677" s="11" t="str">
        <f aca="false">IF(B677="","",IFERROR(INDEX(Students!$B$4:$B$203,MATCH(B677,Students!$A$4:$A$203,0)),""))</f>
        <v/>
      </c>
      <c r="D677" s="17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7"/>
      <c r="P677" s="19"/>
    </row>
    <row r="678" customFormat="false" ht="15" hidden="false" customHeight="true" outlineLevel="0" collapsed="false">
      <c r="A678" s="19"/>
      <c r="B678" s="17"/>
      <c r="C678" s="11" t="str">
        <f aca="false">IF(B678="","",IFERROR(INDEX(Students!$B$4:$B$203,MATCH(B678,Students!$A$4:$A$203,0)),""))</f>
        <v/>
      </c>
      <c r="D678" s="17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7"/>
      <c r="P678" s="19"/>
    </row>
    <row r="679" customFormat="false" ht="15" hidden="false" customHeight="true" outlineLevel="0" collapsed="false">
      <c r="A679" s="19"/>
      <c r="B679" s="17"/>
      <c r="C679" s="11" t="str">
        <f aca="false">IF(B679="","",IFERROR(INDEX(Students!$B$4:$B$203,MATCH(B679,Students!$A$4:$A$203,0)),""))</f>
        <v/>
      </c>
      <c r="D679" s="17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7"/>
      <c r="P679" s="19"/>
    </row>
    <row r="680" customFormat="false" ht="15" hidden="false" customHeight="true" outlineLevel="0" collapsed="false">
      <c r="A680" s="19"/>
      <c r="B680" s="17"/>
      <c r="C680" s="11" t="str">
        <f aca="false">IF(B680="","",IFERROR(INDEX(Students!$B$4:$B$203,MATCH(B680,Students!$A$4:$A$203,0)),""))</f>
        <v/>
      </c>
      <c r="D680" s="17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7"/>
      <c r="P680" s="19"/>
    </row>
    <row r="681" customFormat="false" ht="15" hidden="false" customHeight="true" outlineLevel="0" collapsed="false">
      <c r="A681" s="19"/>
      <c r="B681" s="17"/>
      <c r="C681" s="11" t="str">
        <f aca="false">IF(B681="","",IFERROR(INDEX(Students!$B$4:$B$203,MATCH(B681,Students!$A$4:$A$203,0)),""))</f>
        <v/>
      </c>
      <c r="D681" s="17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7"/>
      <c r="P681" s="19"/>
    </row>
    <row r="682" customFormat="false" ht="15" hidden="false" customHeight="true" outlineLevel="0" collapsed="false">
      <c r="A682" s="19"/>
      <c r="B682" s="17"/>
      <c r="C682" s="11" t="str">
        <f aca="false">IF(B682="","",IFERROR(INDEX(Students!$B$4:$B$203,MATCH(B682,Students!$A$4:$A$203,0)),""))</f>
        <v/>
      </c>
      <c r="D682" s="17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7"/>
      <c r="P682" s="19"/>
    </row>
    <row r="683" customFormat="false" ht="15" hidden="false" customHeight="true" outlineLevel="0" collapsed="false">
      <c r="A683" s="19"/>
      <c r="B683" s="17"/>
      <c r="C683" s="11" t="str">
        <f aca="false">IF(B683="","",IFERROR(INDEX(Students!$B$4:$B$203,MATCH(B683,Students!$A$4:$A$203,0)),""))</f>
        <v/>
      </c>
      <c r="D683" s="17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7"/>
      <c r="P683" s="19"/>
    </row>
    <row r="684" customFormat="false" ht="15" hidden="false" customHeight="true" outlineLevel="0" collapsed="false">
      <c r="A684" s="19"/>
      <c r="B684" s="17"/>
      <c r="C684" s="11" t="str">
        <f aca="false">IF(B684="","",IFERROR(INDEX(Students!$B$4:$B$203,MATCH(B684,Students!$A$4:$A$203,0)),""))</f>
        <v/>
      </c>
      <c r="D684" s="17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7"/>
      <c r="P684" s="19"/>
    </row>
    <row r="685" customFormat="false" ht="15" hidden="false" customHeight="true" outlineLevel="0" collapsed="false">
      <c r="A685" s="19"/>
      <c r="B685" s="17"/>
      <c r="C685" s="11" t="str">
        <f aca="false">IF(B685="","",IFERROR(INDEX(Students!$B$4:$B$203,MATCH(B685,Students!$A$4:$A$203,0)),""))</f>
        <v/>
      </c>
      <c r="D685" s="17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7"/>
      <c r="P685" s="19"/>
    </row>
    <row r="686" customFormat="false" ht="15" hidden="false" customHeight="true" outlineLevel="0" collapsed="false">
      <c r="A686" s="19"/>
      <c r="B686" s="17"/>
      <c r="C686" s="11" t="str">
        <f aca="false">IF(B686="","",IFERROR(INDEX(Students!$B$4:$B$203,MATCH(B686,Students!$A$4:$A$203,0)),""))</f>
        <v/>
      </c>
      <c r="D686" s="17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7"/>
      <c r="P686" s="19"/>
    </row>
    <row r="687" customFormat="false" ht="15" hidden="false" customHeight="true" outlineLevel="0" collapsed="false">
      <c r="A687" s="19"/>
      <c r="B687" s="17"/>
      <c r="C687" s="11" t="str">
        <f aca="false">IF(B687="","",IFERROR(INDEX(Students!$B$4:$B$203,MATCH(B687,Students!$A$4:$A$203,0)),""))</f>
        <v/>
      </c>
      <c r="D687" s="17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7"/>
      <c r="P687" s="19"/>
    </row>
    <row r="688" customFormat="false" ht="15" hidden="false" customHeight="true" outlineLevel="0" collapsed="false">
      <c r="A688" s="19"/>
      <c r="B688" s="17"/>
      <c r="C688" s="11" t="str">
        <f aca="false">IF(B688="","",IFERROR(INDEX(Students!$B$4:$B$203,MATCH(B688,Students!$A$4:$A$203,0)),""))</f>
        <v/>
      </c>
      <c r="D688" s="17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7"/>
      <c r="P688" s="19"/>
    </row>
    <row r="689" customFormat="false" ht="15" hidden="false" customHeight="true" outlineLevel="0" collapsed="false">
      <c r="A689" s="19"/>
      <c r="B689" s="17"/>
      <c r="C689" s="11" t="str">
        <f aca="false">IF(B689="","",IFERROR(INDEX(Students!$B$4:$B$203,MATCH(B689,Students!$A$4:$A$203,0)),""))</f>
        <v/>
      </c>
      <c r="D689" s="17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7"/>
      <c r="P689" s="19"/>
    </row>
    <row r="690" customFormat="false" ht="15" hidden="false" customHeight="true" outlineLevel="0" collapsed="false">
      <c r="A690" s="19"/>
      <c r="B690" s="17"/>
      <c r="C690" s="11" t="str">
        <f aca="false">IF(B690="","",IFERROR(INDEX(Students!$B$4:$B$203,MATCH(B690,Students!$A$4:$A$203,0)),""))</f>
        <v/>
      </c>
      <c r="D690" s="17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7"/>
      <c r="P690" s="19"/>
    </row>
    <row r="691" customFormat="false" ht="15" hidden="false" customHeight="true" outlineLevel="0" collapsed="false">
      <c r="A691" s="19"/>
      <c r="B691" s="17"/>
      <c r="C691" s="11" t="str">
        <f aca="false">IF(B691="","",IFERROR(INDEX(Students!$B$4:$B$203,MATCH(B691,Students!$A$4:$A$203,0)),""))</f>
        <v/>
      </c>
      <c r="D691" s="17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7"/>
      <c r="P691" s="19"/>
    </row>
    <row r="692" customFormat="false" ht="15" hidden="false" customHeight="true" outlineLevel="0" collapsed="false">
      <c r="A692" s="19"/>
      <c r="B692" s="17"/>
      <c r="C692" s="11" t="str">
        <f aca="false">IF(B692="","",IFERROR(INDEX(Students!$B$4:$B$203,MATCH(B692,Students!$A$4:$A$203,0)),""))</f>
        <v/>
      </c>
      <c r="D692" s="17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7"/>
      <c r="P692" s="19"/>
    </row>
    <row r="693" customFormat="false" ht="15" hidden="false" customHeight="true" outlineLevel="0" collapsed="false">
      <c r="A693" s="19"/>
      <c r="B693" s="17"/>
      <c r="C693" s="11" t="str">
        <f aca="false">IF(B693="","",IFERROR(INDEX(Students!$B$4:$B$203,MATCH(B693,Students!$A$4:$A$203,0)),""))</f>
        <v/>
      </c>
      <c r="D693" s="17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7"/>
      <c r="P693" s="19"/>
    </row>
    <row r="694" customFormat="false" ht="15" hidden="false" customHeight="true" outlineLevel="0" collapsed="false">
      <c r="A694" s="19"/>
      <c r="B694" s="17"/>
      <c r="C694" s="11" t="str">
        <f aca="false">IF(B694="","",IFERROR(INDEX(Students!$B$4:$B$203,MATCH(B694,Students!$A$4:$A$203,0)),""))</f>
        <v/>
      </c>
      <c r="D694" s="17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7"/>
      <c r="P694" s="19"/>
    </row>
    <row r="695" customFormat="false" ht="15" hidden="false" customHeight="true" outlineLevel="0" collapsed="false">
      <c r="A695" s="19"/>
      <c r="B695" s="17"/>
      <c r="C695" s="11" t="str">
        <f aca="false">IF(B695="","",IFERROR(INDEX(Students!$B$4:$B$203,MATCH(B695,Students!$A$4:$A$203,0)),""))</f>
        <v/>
      </c>
      <c r="D695" s="17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7"/>
      <c r="P695" s="19"/>
    </row>
    <row r="696" customFormat="false" ht="15" hidden="false" customHeight="true" outlineLevel="0" collapsed="false">
      <c r="A696" s="19"/>
      <c r="B696" s="17"/>
      <c r="C696" s="11" t="str">
        <f aca="false">IF(B696="","",IFERROR(INDEX(Students!$B$4:$B$203,MATCH(B696,Students!$A$4:$A$203,0)),""))</f>
        <v/>
      </c>
      <c r="D696" s="17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7"/>
      <c r="P696" s="19"/>
    </row>
    <row r="697" customFormat="false" ht="15" hidden="false" customHeight="true" outlineLevel="0" collapsed="false">
      <c r="A697" s="19"/>
      <c r="B697" s="17"/>
      <c r="C697" s="11" t="str">
        <f aca="false">IF(B697="","",IFERROR(INDEX(Students!$B$4:$B$203,MATCH(B697,Students!$A$4:$A$203,0)),""))</f>
        <v/>
      </c>
      <c r="D697" s="17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7"/>
      <c r="P697" s="19"/>
    </row>
    <row r="698" customFormat="false" ht="15" hidden="false" customHeight="true" outlineLevel="0" collapsed="false">
      <c r="A698" s="19"/>
      <c r="B698" s="17"/>
      <c r="C698" s="11" t="str">
        <f aca="false">IF(B698="","",IFERROR(INDEX(Students!$B$4:$B$203,MATCH(B698,Students!$A$4:$A$203,0)),""))</f>
        <v/>
      </c>
      <c r="D698" s="17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7"/>
      <c r="P698" s="19"/>
    </row>
    <row r="699" customFormat="false" ht="15" hidden="false" customHeight="true" outlineLevel="0" collapsed="false">
      <c r="A699" s="19"/>
      <c r="B699" s="17"/>
      <c r="C699" s="11" t="str">
        <f aca="false">IF(B699="","",IFERROR(INDEX(Students!$B$4:$B$203,MATCH(B699,Students!$A$4:$A$203,0)),""))</f>
        <v/>
      </c>
      <c r="D699" s="17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7"/>
      <c r="P699" s="19"/>
    </row>
    <row r="700" customFormat="false" ht="15" hidden="false" customHeight="true" outlineLevel="0" collapsed="false">
      <c r="A700" s="19"/>
      <c r="B700" s="17"/>
      <c r="C700" s="11" t="str">
        <f aca="false">IF(B700="","",IFERROR(INDEX(Students!$B$4:$B$203,MATCH(B700,Students!$A$4:$A$203,0)),""))</f>
        <v/>
      </c>
      <c r="D700" s="17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7"/>
      <c r="P700" s="19"/>
    </row>
    <row r="701" customFormat="false" ht="15" hidden="false" customHeight="true" outlineLevel="0" collapsed="false">
      <c r="A701" s="19"/>
      <c r="B701" s="17"/>
      <c r="C701" s="11" t="str">
        <f aca="false">IF(B701="","",IFERROR(INDEX(Students!$B$4:$B$203,MATCH(B701,Students!$A$4:$A$203,0)),""))</f>
        <v/>
      </c>
      <c r="D701" s="17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7"/>
      <c r="P701" s="19"/>
    </row>
    <row r="702" customFormat="false" ht="15" hidden="false" customHeight="true" outlineLevel="0" collapsed="false">
      <c r="A702" s="19"/>
      <c r="B702" s="17"/>
      <c r="C702" s="11" t="str">
        <f aca="false">IF(B702="","",IFERROR(INDEX(Students!$B$4:$B$203,MATCH(B702,Students!$A$4:$A$203,0)),""))</f>
        <v/>
      </c>
      <c r="D702" s="17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7"/>
      <c r="P702" s="19"/>
    </row>
    <row r="703" customFormat="false" ht="15" hidden="false" customHeight="true" outlineLevel="0" collapsed="false">
      <c r="A703" s="19"/>
      <c r="B703" s="17"/>
      <c r="C703" s="11" t="str">
        <f aca="false">IF(B703="","",IFERROR(INDEX(Students!$B$4:$B$203,MATCH(B703,Students!$A$4:$A$203,0)),""))</f>
        <v/>
      </c>
      <c r="D703" s="17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7"/>
      <c r="P703" s="19"/>
    </row>
    <row r="704" customFormat="false" ht="15" hidden="false" customHeight="true" outlineLevel="0" collapsed="false">
      <c r="A704" s="19"/>
      <c r="B704" s="17"/>
      <c r="C704" s="11" t="str">
        <f aca="false">IF(B704="","",IFERROR(INDEX(Students!$B$4:$B$203,MATCH(B704,Students!$A$4:$A$203,0)),""))</f>
        <v/>
      </c>
      <c r="D704" s="17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7"/>
      <c r="P704" s="19"/>
    </row>
    <row r="705" customFormat="false" ht="15" hidden="false" customHeight="true" outlineLevel="0" collapsed="false">
      <c r="A705" s="19"/>
      <c r="B705" s="17"/>
      <c r="C705" s="11" t="str">
        <f aca="false">IF(B705="","",IFERROR(INDEX(Students!$B$4:$B$203,MATCH(B705,Students!$A$4:$A$203,0)),""))</f>
        <v/>
      </c>
      <c r="D705" s="17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7"/>
      <c r="P705" s="19"/>
    </row>
    <row r="706" customFormat="false" ht="15" hidden="false" customHeight="true" outlineLevel="0" collapsed="false">
      <c r="A706" s="19"/>
      <c r="B706" s="17"/>
      <c r="C706" s="11" t="str">
        <f aca="false">IF(B706="","",IFERROR(INDEX(Students!$B$4:$B$203,MATCH(B706,Students!$A$4:$A$203,0)),""))</f>
        <v/>
      </c>
      <c r="D706" s="17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7"/>
      <c r="P706" s="19"/>
    </row>
    <row r="707" customFormat="false" ht="15" hidden="false" customHeight="true" outlineLevel="0" collapsed="false">
      <c r="A707" s="19"/>
      <c r="B707" s="17"/>
      <c r="C707" s="11" t="str">
        <f aca="false">IF(B707="","",IFERROR(INDEX(Students!$B$4:$B$203,MATCH(B707,Students!$A$4:$A$203,0)),""))</f>
        <v/>
      </c>
      <c r="D707" s="17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7"/>
      <c r="P707" s="19"/>
    </row>
    <row r="708" customFormat="false" ht="15" hidden="false" customHeight="true" outlineLevel="0" collapsed="false">
      <c r="A708" s="19"/>
      <c r="B708" s="17"/>
      <c r="C708" s="11" t="str">
        <f aca="false">IF(B708="","",IFERROR(INDEX(Students!$B$4:$B$203,MATCH(B708,Students!$A$4:$A$203,0)),""))</f>
        <v/>
      </c>
      <c r="D708" s="17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7"/>
      <c r="P708" s="19"/>
    </row>
    <row r="709" customFormat="false" ht="15" hidden="false" customHeight="true" outlineLevel="0" collapsed="false">
      <c r="A709" s="19"/>
      <c r="B709" s="17"/>
      <c r="C709" s="11" t="str">
        <f aca="false">IF(B709="","",IFERROR(INDEX(Students!$B$4:$B$203,MATCH(B709,Students!$A$4:$A$203,0)),""))</f>
        <v/>
      </c>
      <c r="D709" s="17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7"/>
      <c r="P709" s="19"/>
    </row>
    <row r="710" customFormat="false" ht="15" hidden="false" customHeight="true" outlineLevel="0" collapsed="false">
      <c r="A710" s="19"/>
      <c r="B710" s="17"/>
      <c r="C710" s="11" t="str">
        <f aca="false">IF(B710="","",IFERROR(INDEX(Students!$B$4:$B$203,MATCH(B710,Students!$A$4:$A$203,0)),""))</f>
        <v/>
      </c>
      <c r="D710" s="17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7"/>
      <c r="P710" s="19"/>
    </row>
    <row r="711" customFormat="false" ht="15" hidden="false" customHeight="true" outlineLevel="0" collapsed="false">
      <c r="A711" s="19"/>
      <c r="B711" s="17"/>
      <c r="C711" s="11" t="str">
        <f aca="false">IF(B711="","",IFERROR(INDEX(Students!$B$4:$B$203,MATCH(B711,Students!$A$4:$A$203,0)),""))</f>
        <v/>
      </c>
      <c r="D711" s="17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7"/>
      <c r="P711" s="19"/>
    </row>
    <row r="712" customFormat="false" ht="15" hidden="false" customHeight="true" outlineLevel="0" collapsed="false">
      <c r="A712" s="19"/>
      <c r="B712" s="17"/>
      <c r="C712" s="11" t="str">
        <f aca="false">IF(B712="","",IFERROR(INDEX(Students!$B$4:$B$203,MATCH(B712,Students!$A$4:$A$203,0)),""))</f>
        <v/>
      </c>
      <c r="D712" s="17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7"/>
      <c r="P712" s="19"/>
    </row>
    <row r="713" customFormat="false" ht="15" hidden="false" customHeight="true" outlineLevel="0" collapsed="false">
      <c r="A713" s="19"/>
      <c r="B713" s="17"/>
      <c r="C713" s="11" t="str">
        <f aca="false">IF(B713="","",IFERROR(INDEX(Students!$B$4:$B$203,MATCH(B713,Students!$A$4:$A$203,0)),""))</f>
        <v/>
      </c>
      <c r="D713" s="17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7"/>
      <c r="P713" s="19"/>
    </row>
    <row r="714" customFormat="false" ht="15" hidden="false" customHeight="true" outlineLevel="0" collapsed="false">
      <c r="A714" s="19"/>
      <c r="B714" s="17"/>
      <c r="C714" s="11" t="str">
        <f aca="false">IF(B714="","",IFERROR(INDEX(Students!$B$4:$B$203,MATCH(B714,Students!$A$4:$A$203,0)),""))</f>
        <v/>
      </c>
      <c r="D714" s="17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7"/>
      <c r="P714" s="19"/>
    </row>
    <row r="715" customFormat="false" ht="15" hidden="false" customHeight="true" outlineLevel="0" collapsed="false">
      <c r="A715" s="19"/>
      <c r="B715" s="17"/>
      <c r="C715" s="11" t="str">
        <f aca="false">IF(B715="","",IFERROR(INDEX(Students!$B$4:$B$203,MATCH(B715,Students!$A$4:$A$203,0)),""))</f>
        <v/>
      </c>
      <c r="D715" s="17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7"/>
      <c r="P715" s="19"/>
    </row>
    <row r="716" customFormat="false" ht="15" hidden="false" customHeight="true" outlineLevel="0" collapsed="false">
      <c r="A716" s="19"/>
      <c r="B716" s="17"/>
      <c r="C716" s="11" t="str">
        <f aca="false">IF(B716="","",IFERROR(INDEX(Students!$B$4:$B$203,MATCH(B716,Students!$A$4:$A$203,0)),""))</f>
        <v/>
      </c>
      <c r="D716" s="17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7"/>
      <c r="P716" s="19"/>
    </row>
    <row r="717" customFormat="false" ht="15" hidden="false" customHeight="true" outlineLevel="0" collapsed="false">
      <c r="A717" s="19"/>
      <c r="B717" s="17"/>
      <c r="C717" s="11" t="str">
        <f aca="false">IF(B717="","",IFERROR(INDEX(Students!$B$4:$B$203,MATCH(B717,Students!$A$4:$A$203,0)),""))</f>
        <v/>
      </c>
      <c r="D717" s="17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7"/>
      <c r="P717" s="19"/>
    </row>
    <row r="718" customFormat="false" ht="15" hidden="false" customHeight="true" outlineLevel="0" collapsed="false">
      <c r="A718" s="19"/>
      <c r="B718" s="17"/>
      <c r="C718" s="11" t="str">
        <f aca="false">IF(B718="","",IFERROR(INDEX(Students!$B$4:$B$203,MATCH(B718,Students!$A$4:$A$203,0)),""))</f>
        <v/>
      </c>
      <c r="D718" s="17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7"/>
      <c r="P718" s="19"/>
    </row>
    <row r="719" customFormat="false" ht="15" hidden="false" customHeight="true" outlineLevel="0" collapsed="false">
      <c r="A719" s="19"/>
      <c r="B719" s="17"/>
      <c r="C719" s="11" t="str">
        <f aca="false">IF(B719="","",IFERROR(INDEX(Students!$B$4:$B$203,MATCH(B719,Students!$A$4:$A$203,0)),""))</f>
        <v/>
      </c>
      <c r="D719" s="17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7"/>
      <c r="P719" s="19"/>
    </row>
    <row r="720" customFormat="false" ht="15" hidden="false" customHeight="true" outlineLevel="0" collapsed="false">
      <c r="A720" s="19"/>
      <c r="B720" s="17"/>
      <c r="C720" s="11" t="str">
        <f aca="false">IF(B720="","",IFERROR(INDEX(Students!$B$4:$B$203,MATCH(B720,Students!$A$4:$A$203,0)),""))</f>
        <v/>
      </c>
      <c r="D720" s="17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7"/>
      <c r="P720" s="19"/>
    </row>
    <row r="721" customFormat="false" ht="15" hidden="false" customHeight="true" outlineLevel="0" collapsed="false">
      <c r="A721" s="19"/>
      <c r="B721" s="17"/>
      <c r="C721" s="11" t="str">
        <f aca="false">IF(B721="","",IFERROR(INDEX(Students!$B$4:$B$203,MATCH(B721,Students!$A$4:$A$203,0)),""))</f>
        <v/>
      </c>
      <c r="D721" s="17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7"/>
      <c r="P721" s="19"/>
    </row>
    <row r="722" customFormat="false" ht="15" hidden="false" customHeight="true" outlineLevel="0" collapsed="false">
      <c r="A722" s="19"/>
      <c r="B722" s="17"/>
      <c r="C722" s="11" t="str">
        <f aca="false">IF(B722="","",IFERROR(INDEX(Students!$B$4:$B$203,MATCH(B722,Students!$A$4:$A$203,0)),""))</f>
        <v/>
      </c>
      <c r="D722" s="17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7"/>
      <c r="P722" s="19"/>
    </row>
    <row r="723" customFormat="false" ht="15" hidden="false" customHeight="true" outlineLevel="0" collapsed="false">
      <c r="A723" s="19"/>
      <c r="B723" s="17"/>
      <c r="C723" s="11" t="str">
        <f aca="false">IF(B723="","",IFERROR(INDEX(Students!$B$4:$B$203,MATCH(B723,Students!$A$4:$A$203,0)),""))</f>
        <v/>
      </c>
      <c r="D723" s="17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7"/>
      <c r="P723" s="19"/>
    </row>
    <row r="724" customFormat="false" ht="15" hidden="false" customHeight="true" outlineLevel="0" collapsed="false">
      <c r="A724" s="19"/>
      <c r="B724" s="17"/>
      <c r="C724" s="11" t="str">
        <f aca="false">IF(B724="","",IFERROR(INDEX(Students!$B$4:$B$203,MATCH(B724,Students!$A$4:$A$203,0)),""))</f>
        <v/>
      </c>
      <c r="D724" s="17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7"/>
      <c r="P724" s="19"/>
    </row>
    <row r="725" customFormat="false" ht="15" hidden="false" customHeight="true" outlineLevel="0" collapsed="false">
      <c r="A725" s="19"/>
      <c r="B725" s="17"/>
      <c r="C725" s="11" t="str">
        <f aca="false">IF(B725="","",IFERROR(INDEX(Students!$B$4:$B$203,MATCH(B725,Students!$A$4:$A$203,0)),""))</f>
        <v/>
      </c>
      <c r="D725" s="17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7"/>
      <c r="P725" s="19"/>
    </row>
    <row r="726" customFormat="false" ht="15" hidden="false" customHeight="true" outlineLevel="0" collapsed="false">
      <c r="A726" s="19"/>
      <c r="B726" s="17"/>
      <c r="C726" s="11" t="str">
        <f aca="false">IF(B726="","",IFERROR(INDEX(Students!$B$4:$B$203,MATCH(B726,Students!$A$4:$A$203,0)),""))</f>
        <v/>
      </c>
      <c r="D726" s="17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7"/>
      <c r="P726" s="19"/>
    </row>
    <row r="727" customFormat="false" ht="15" hidden="false" customHeight="true" outlineLevel="0" collapsed="false">
      <c r="A727" s="19"/>
      <c r="B727" s="17"/>
      <c r="C727" s="11" t="str">
        <f aca="false">IF(B727="","",IFERROR(INDEX(Students!$B$4:$B$203,MATCH(B727,Students!$A$4:$A$203,0)),""))</f>
        <v/>
      </c>
      <c r="D727" s="17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7"/>
      <c r="P727" s="19"/>
    </row>
    <row r="728" customFormat="false" ht="15" hidden="false" customHeight="true" outlineLevel="0" collapsed="false">
      <c r="A728" s="19"/>
      <c r="B728" s="17"/>
      <c r="C728" s="11" t="str">
        <f aca="false">IF(B728="","",IFERROR(INDEX(Students!$B$4:$B$203,MATCH(B728,Students!$A$4:$A$203,0)),""))</f>
        <v/>
      </c>
      <c r="D728" s="17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7"/>
      <c r="P728" s="19"/>
    </row>
    <row r="729" customFormat="false" ht="15" hidden="false" customHeight="true" outlineLevel="0" collapsed="false">
      <c r="A729" s="19"/>
      <c r="B729" s="17"/>
      <c r="C729" s="11" t="str">
        <f aca="false">IF(B729="","",IFERROR(INDEX(Students!$B$4:$B$203,MATCH(B729,Students!$A$4:$A$203,0)),""))</f>
        <v/>
      </c>
      <c r="D729" s="17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7"/>
      <c r="P729" s="19"/>
    </row>
    <row r="730" customFormat="false" ht="15" hidden="false" customHeight="true" outlineLevel="0" collapsed="false">
      <c r="A730" s="19"/>
      <c r="B730" s="17"/>
      <c r="C730" s="11" t="str">
        <f aca="false">IF(B730="","",IFERROR(INDEX(Students!$B$4:$B$203,MATCH(B730,Students!$A$4:$A$203,0)),""))</f>
        <v/>
      </c>
      <c r="D730" s="17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7"/>
      <c r="P730" s="19"/>
    </row>
    <row r="731" customFormat="false" ht="15" hidden="false" customHeight="true" outlineLevel="0" collapsed="false">
      <c r="A731" s="19"/>
      <c r="B731" s="17"/>
      <c r="C731" s="11" t="str">
        <f aca="false">IF(B731="","",IFERROR(INDEX(Students!$B$4:$B$203,MATCH(B731,Students!$A$4:$A$203,0)),""))</f>
        <v/>
      </c>
      <c r="D731" s="17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7"/>
      <c r="P731" s="19"/>
    </row>
    <row r="732" customFormat="false" ht="15" hidden="false" customHeight="true" outlineLevel="0" collapsed="false">
      <c r="A732" s="19"/>
      <c r="B732" s="17"/>
      <c r="C732" s="11" t="str">
        <f aca="false">IF(B732="","",IFERROR(INDEX(Students!$B$4:$B$203,MATCH(B732,Students!$A$4:$A$203,0)),""))</f>
        <v/>
      </c>
      <c r="D732" s="17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7"/>
      <c r="P732" s="19"/>
    </row>
    <row r="733" customFormat="false" ht="15" hidden="false" customHeight="true" outlineLevel="0" collapsed="false">
      <c r="A733" s="19"/>
      <c r="B733" s="17"/>
      <c r="C733" s="11" t="str">
        <f aca="false">IF(B733="","",IFERROR(INDEX(Students!$B$4:$B$203,MATCH(B733,Students!$A$4:$A$203,0)),""))</f>
        <v/>
      </c>
      <c r="D733" s="17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7"/>
      <c r="P733" s="19"/>
    </row>
    <row r="734" customFormat="false" ht="15" hidden="false" customHeight="true" outlineLevel="0" collapsed="false">
      <c r="A734" s="19"/>
      <c r="B734" s="17"/>
      <c r="C734" s="11" t="str">
        <f aca="false">IF(B734="","",IFERROR(INDEX(Students!$B$4:$B$203,MATCH(B734,Students!$A$4:$A$203,0)),""))</f>
        <v/>
      </c>
      <c r="D734" s="17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7"/>
      <c r="P734" s="19"/>
    </row>
    <row r="735" customFormat="false" ht="15" hidden="false" customHeight="true" outlineLevel="0" collapsed="false">
      <c r="A735" s="19"/>
      <c r="B735" s="17"/>
      <c r="C735" s="11" t="str">
        <f aca="false">IF(B735="","",IFERROR(INDEX(Students!$B$4:$B$203,MATCH(B735,Students!$A$4:$A$203,0)),""))</f>
        <v/>
      </c>
      <c r="D735" s="17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7"/>
      <c r="P735" s="19"/>
    </row>
    <row r="736" customFormat="false" ht="15" hidden="false" customHeight="true" outlineLevel="0" collapsed="false">
      <c r="A736" s="19"/>
      <c r="B736" s="17"/>
      <c r="C736" s="11" t="str">
        <f aca="false">IF(B736="","",IFERROR(INDEX(Students!$B$4:$B$203,MATCH(B736,Students!$A$4:$A$203,0)),""))</f>
        <v/>
      </c>
      <c r="D736" s="17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7"/>
      <c r="P736" s="19"/>
    </row>
    <row r="737" customFormat="false" ht="15" hidden="false" customHeight="true" outlineLevel="0" collapsed="false">
      <c r="A737" s="19"/>
      <c r="B737" s="17"/>
      <c r="C737" s="11" t="str">
        <f aca="false">IF(B737="","",IFERROR(INDEX(Students!$B$4:$B$203,MATCH(B737,Students!$A$4:$A$203,0)),""))</f>
        <v/>
      </c>
      <c r="D737" s="17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7"/>
      <c r="P737" s="19"/>
    </row>
    <row r="738" customFormat="false" ht="15" hidden="false" customHeight="true" outlineLevel="0" collapsed="false">
      <c r="A738" s="19"/>
      <c r="B738" s="17"/>
      <c r="C738" s="11" t="str">
        <f aca="false">IF(B738="","",IFERROR(INDEX(Students!$B$4:$B$203,MATCH(B738,Students!$A$4:$A$203,0)),""))</f>
        <v/>
      </c>
      <c r="D738" s="17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7"/>
      <c r="P738" s="19"/>
    </row>
    <row r="739" customFormat="false" ht="15" hidden="false" customHeight="true" outlineLevel="0" collapsed="false">
      <c r="A739" s="19"/>
      <c r="B739" s="17"/>
      <c r="C739" s="11" t="str">
        <f aca="false">IF(B739="","",IFERROR(INDEX(Students!$B$4:$B$203,MATCH(B739,Students!$A$4:$A$203,0)),""))</f>
        <v/>
      </c>
      <c r="D739" s="17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7"/>
      <c r="P739" s="19"/>
    </row>
    <row r="740" customFormat="false" ht="15" hidden="false" customHeight="true" outlineLevel="0" collapsed="false">
      <c r="A740" s="19"/>
      <c r="B740" s="17"/>
      <c r="C740" s="11" t="str">
        <f aca="false">IF(B740="","",IFERROR(INDEX(Students!$B$4:$B$203,MATCH(B740,Students!$A$4:$A$203,0)),""))</f>
        <v/>
      </c>
      <c r="D740" s="17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7"/>
      <c r="P740" s="19"/>
    </row>
    <row r="741" customFormat="false" ht="15" hidden="false" customHeight="true" outlineLevel="0" collapsed="false">
      <c r="A741" s="19"/>
      <c r="B741" s="17"/>
      <c r="C741" s="11" t="str">
        <f aca="false">IF(B741="","",IFERROR(INDEX(Students!$B$4:$B$203,MATCH(B741,Students!$A$4:$A$203,0)),""))</f>
        <v/>
      </c>
      <c r="D741" s="17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7"/>
      <c r="P741" s="19"/>
    </row>
    <row r="742" customFormat="false" ht="15" hidden="false" customHeight="true" outlineLevel="0" collapsed="false">
      <c r="A742" s="19"/>
      <c r="B742" s="17"/>
      <c r="C742" s="11" t="str">
        <f aca="false">IF(B742="","",IFERROR(INDEX(Students!$B$4:$B$203,MATCH(B742,Students!$A$4:$A$203,0)),""))</f>
        <v/>
      </c>
      <c r="D742" s="17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7"/>
      <c r="P742" s="19"/>
    </row>
    <row r="743" customFormat="false" ht="15" hidden="false" customHeight="true" outlineLevel="0" collapsed="false">
      <c r="A743" s="19"/>
      <c r="B743" s="17"/>
      <c r="C743" s="11" t="str">
        <f aca="false">IF(B743="","",IFERROR(INDEX(Students!$B$4:$B$203,MATCH(B743,Students!$A$4:$A$203,0)),""))</f>
        <v/>
      </c>
      <c r="D743" s="17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7"/>
      <c r="P743" s="19"/>
    </row>
    <row r="744" customFormat="false" ht="15" hidden="false" customHeight="true" outlineLevel="0" collapsed="false">
      <c r="A744" s="19"/>
      <c r="B744" s="17"/>
      <c r="C744" s="11" t="str">
        <f aca="false">IF(B744="","",IFERROR(INDEX(Students!$B$4:$B$203,MATCH(B744,Students!$A$4:$A$203,0)),""))</f>
        <v/>
      </c>
      <c r="D744" s="17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7"/>
      <c r="P744" s="19"/>
    </row>
    <row r="745" customFormat="false" ht="15" hidden="false" customHeight="true" outlineLevel="0" collapsed="false">
      <c r="A745" s="19"/>
      <c r="B745" s="17"/>
      <c r="C745" s="11" t="str">
        <f aca="false">IF(B745="","",IFERROR(INDEX(Students!$B$4:$B$203,MATCH(B745,Students!$A$4:$A$203,0)),""))</f>
        <v/>
      </c>
      <c r="D745" s="17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7"/>
      <c r="P745" s="19"/>
    </row>
    <row r="746" customFormat="false" ht="15" hidden="false" customHeight="true" outlineLevel="0" collapsed="false">
      <c r="A746" s="19"/>
      <c r="B746" s="17"/>
      <c r="C746" s="11" t="str">
        <f aca="false">IF(B746="","",IFERROR(INDEX(Students!$B$4:$B$203,MATCH(B746,Students!$A$4:$A$203,0)),""))</f>
        <v/>
      </c>
      <c r="D746" s="17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7"/>
      <c r="P746" s="19"/>
    </row>
    <row r="747" customFormat="false" ht="15" hidden="false" customHeight="true" outlineLevel="0" collapsed="false">
      <c r="A747" s="19"/>
      <c r="B747" s="17"/>
      <c r="C747" s="11" t="str">
        <f aca="false">IF(B747="","",IFERROR(INDEX(Students!$B$4:$B$203,MATCH(B747,Students!$A$4:$A$203,0)),""))</f>
        <v/>
      </c>
      <c r="D747" s="17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7"/>
      <c r="P747" s="19"/>
    </row>
    <row r="748" customFormat="false" ht="15" hidden="false" customHeight="true" outlineLevel="0" collapsed="false">
      <c r="A748" s="19"/>
      <c r="B748" s="17"/>
      <c r="C748" s="11" t="str">
        <f aca="false">IF(B748="","",IFERROR(INDEX(Students!$B$4:$B$203,MATCH(B748,Students!$A$4:$A$203,0)),""))</f>
        <v/>
      </c>
      <c r="D748" s="17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7"/>
      <c r="P748" s="19"/>
    </row>
    <row r="749" customFormat="false" ht="15" hidden="false" customHeight="true" outlineLevel="0" collapsed="false">
      <c r="A749" s="19"/>
      <c r="B749" s="17"/>
      <c r="C749" s="11" t="str">
        <f aca="false">IF(B749="","",IFERROR(INDEX(Students!$B$4:$B$203,MATCH(B749,Students!$A$4:$A$203,0)),""))</f>
        <v/>
      </c>
      <c r="D749" s="17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7"/>
      <c r="P749" s="19"/>
    </row>
    <row r="750" customFormat="false" ht="15" hidden="false" customHeight="true" outlineLevel="0" collapsed="false">
      <c r="A750" s="19"/>
      <c r="B750" s="17"/>
      <c r="C750" s="11" t="str">
        <f aca="false">IF(B750="","",IFERROR(INDEX(Students!$B$4:$B$203,MATCH(B750,Students!$A$4:$A$203,0)),""))</f>
        <v/>
      </c>
      <c r="D750" s="17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7"/>
      <c r="P750" s="19"/>
    </row>
    <row r="751" customFormat="false" ht="15" hidden="false" customHeight="true" outlineLevel="0" collapsed="false">
      <c r="A751" s="19"/>
      <c r="B751" s="17"/>
      <c r="C751" s="11" t="str">
        <f aca="false">IF(B751="","",IFERROR(INDEX(Students!$B$4:$B$203,MATCH(B751,Students!$A$4:$A$203,0)),""))</f>
        <v/>
      </c>
      <c r="D751" s="17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7"/>
      <c r="P751" s="19"/>
    </row>
    <row r="752" customFormat="false" ht="15" hidden="false" customHeight="true" outlineLevel="0" collapsed="false">
      <c r="A752" s="19"/>
      <c r="B752" s="17"/>
      <c r="C752" s="11" t="str">
        <f aca="false">IF(B752="","",IFERROR(INDEX(Students!$B$4:$B$203,MATCH(B752,Students!$A$4:$A$203,0)),""))</f>
        <v/>
      </c>
      <c r="D752" s="17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7"/>
      <c r="P752" s="19"/>
    </row>
    <row r="753" customFormat="false" ht="15" hidden="false" customHeight="true" outlineLevel="0" collapsed="false">
      <c r="A753" s="19"/>
      <c r="B753" s="17"/>
      <c r="C753" s="11" t="str">
        <f aca="false">IF(B753="","",IFERROR(INDEX(Students!$B$4:$B$203,MATCH(B753,Students!$A$4:$A$203,0)),""))</f>
        <v/>
      </c>
      <c r="D753" s="17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7"/>
      <c r="P753" s="19"/>
    </row>
    <row r="754" customFormat="false" ht="15" hidden="false" customHeight="true" outlineLevel="0" collapsed="false">
      <c r="A754" s="19"/>
      <c r="B754" s="17"/>
      <c r="C754" s="11" t="str">
        <f aca="false">IF(B754="","",IFERROR(INDEX(Students!$B$4:$B$203,MATCH(B754,Students!$A$4:$A$203,0)),""))</f>
        <v/>
      </c>
      <c r="D754" s="17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7"/>
      <c r="P754" s="19"/>
    </row>
    <row r="755" customFormat="false" ht="15" hidden="false" customHeight="true" outlineLevel="0" collapsed="false">
      <c r="A755" s="19"/>
      <c r="B755" s="17"/>
      <c r="C755" s="11" t="str">
        <f aca="false">IF(B755="","",IFERROR(INDEX(Students!$B$4:$B$203,MATCH(B755,Students!$A$4:$A$203,0)),""))</f>
        <v/>
      </c>
      <c r="D755" s="17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7"/>
      <c r="P755" s="19"/>
    </row>
    <row r="756" customFormat="false" ht="15" hidden="false" customHeight="true" outlineLevel="0" collapsed="false">
      <c r="A756" s="19"/>
      <c r="B756" s="17"/>
      <c r="C756" s="11" t="str">
        <f aca="false">IF(B756="","",IFERROR(INDEX(Students!$B$4:$B$203,MATCH(B756,Students!$A$4:$A$203,0)),""))</f>
        <v/>
      </c>
      <c r="D756" s="17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7"/>
      <c r="P756" s="19"/>
    </row>
    <row r="757" customFormat="false" ht="15" hidden="false" customHeight="true" outlineLevel="0" collapsed="false">
      <c r="A757" s="19"/>
      <c r="B757" s="17"/>
      <c r="C757" s="11" t="str">
        <f aca="false">IF(B757="","",IFERROR(INDEX(Students!$B$4:$B$203,MATCH(B757,Students!$A$4:$A$203,0)),""))</f>
        <v/>
      </c>
      <c r="D757" s="17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7"/>
      <c r="P757" s="19"/>
    </row>
    <row r="758" customFormat="false" ht="15" hidden="false" customHeight="true" outlineLevel="0" collapsed="false">
      <c r="A758" s="19"/>
      <c r="B758" s="17"/>
      <c r="C758" s="11" t="str">
        <f aca="false">IF(B758="","",IFERROR(INDEX(Students!$B$4:$B$203,MATCH(B758,Students!$A$4:$A$203,0)),""))</f>
        <v/>
      </c>
      <c r="D758" s="17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7"/>
      <c r="P758" s="19"/>
    </row>
    <row r="759" customFormat="false" ht="15" hidden="false" customHeight="true" outlineLevel="0" collapsed="false">
      <c r="A759" s="19"/>
      <c r="B759" s="17"/>
      <c r="C759" s="11" t="str">
        <f aca="false">IF(B759="","",IFERROR(INDEX(Students!$B$4:$B$203,MATCH(B759,Students!$A$4:$A$203,0)),""))</f>
        <v/>
      </c>
      <c r="D759" s="17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7"/>
      <c r="P759" s="19"/>
    </row>
    <row r="760" customFormat="false" ht="15" hidden="false" customHeight="true" outlineLevel="0" collapsed="false">
      <c r="A760" s="19"/>
      <c r="B760" s="17"/>
      <c r="C760" s="11" t="str">
        <f aca="false">IF(B760="","",IFERROR(INDEX(Students!$B$4:$B$203,MATCH(B760,Students!$A$4:$A$203,0)),""))</f>
        <v/>
      </c>
      <c r="D760" s="17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7"/>
      <c r="P760" s="19"/>
    </row>
    <row r="761" customFormat="false" ht="15" hidden="false" customHeight="true" outlineLevel="0" collapsed="false">
      <c r="A761" s="19"/>
      <c r="B761" s="17"/>
      <c r="C761" s="11" t="str">
        <f aca="false">IF(B761="","",IFERROR(INDEX(Students!$B$4:$B$203,MATCH(B761,Students!$A$4:$A$203,0)),""))</f>
        <v/>
      </c>
      <c r="D761" s="17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7"/>
      <c r="P761" s="19"/>
    </row>
    <row r="762" customFormat="false" ht="15" hidden="false" customHeight="true" outlineLevel="0" collapsed="false">
      <c r="A762" s="19"/>
      <c r="B762" s="17"/>
      <c r="C762" s="11" t="str">
        <f aca="false">IF(B762="","",IFERROR(INDEX(Students!$B$4:$B$203,MATCH(B762,Students!$A$4:$A$203,0)),""))</f>
        <v/>
      </c>
      <c r="D762" s="17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7"/>
      <c r="P762" s="19"/>
    </row>
    <row r="763" customFormat="false" ht="15" hidden="false" customHeight="true" outlineLevel="0" collapsed="false">
      <c r="A763" s="19"/>
      <c r="B763" s="17"/>
      <c r="C763" s="11" t="str">
        <f aca="false">IF(B763="","",IFERROR(INDEX(Students!$B$4:$B$203,MATCH(B763,Students!$A$4:$A$203,0)),""))</f>
        <v/>
      </c>
      <c r="D763" s="17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7"/>
      <c r="P763" s="19"/>
    </row>
    <row r="764" customFormat="false" ht="15" hidden="false" customHeight="true" outlineLevel="0" collapsed="false">
      <c r="A764" s="19"/>
      <c r="B764" s="17"/>
      <c r="C764" s="11" t="str">
        <f aca="false">IF(B764="","",IFERROR(INDEX(Students!$B$4:$B$203,MATCH(B764,Students!$A$4:$A$203,0)),""))</f>
        <v/>
      </c>
      <c r="D764" s="17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7"/>
      <c r="P764" s="19"/>
    </row>
    <row r="765" customFormat="false" ht="15" hidden="false" customHeight="true" outlineLevel="0" collapsed="false">
      <c r="A765" s="19"/>
      <c r="B765" s="17"/>
      <c r="C765" s="11" t="str">
        <f aca="false">IF(B765="","",IFERROR(INDEX(Students!$B$4:$B$203,MATCH(B765,Students!$A$4:$A$203,0)),""))</f>
        <v/>
      </c>
      <c r="D765" s="17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7"/>
      <c r="P765" s="19"/>
    </row>
    <row r="766" customFormat="false" ht="15" hidden="false" customHeight="true" outlineLevel="0" collapsed="false">
      <c r="A766" s="19"/>
      <c r="B766" s="17"/>
      <c r="C766" s="11" t="str">
        <f aca="false">IF(B766="","",IFERROR(INDEX(Students!$B$4:$B$203,MATCH(B766,Students!$A$4:$A$203,0)),""))</f>
        <v/>
      </c>
      <c r="D766" s="17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7"/>
      <c r="P766" s="19"/>
    </row>
    <row r="767" customFormat="false" ht="15" hidden="false" customHeight="true" outlineLevel="0" collapsed="false">
      <c r="A767" s="19"/>
      <c r="B767" s="17"/>
      <c r="C767" s="11" t="str">
        <f aca="false">IF(B767="","",IFERROR(INDEX(Students!$B$4:$B$203,MATCH(B767,Students!$A$4:$A$203,0)),""))</f>
        <v/>
      </c>
      <c r="D767" s="17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7"/>
      <c r="P767" s="19"/>
    </row>
    <row r="768" customFormat="false" ht="15" hidden="false" customHeight="true" outlineLevel="0" collapsed="false">
      <c r="A768" s="19"/>
      <c r="B768" s="17"/>
      <c r="C768" s="11" t="str">
        <f aca="false">IF(B768="","",IFERROR(INDEX(Students!$B$4:$B$203,MATCH(B768,Students!$A$4:$A$203,0)),""))</f>
        <v/>
      </c>
      <c r="D768" s="17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7"/>
      <c r="P768" s="19"/>
    </row>
    <row r="769" customFormat="false" ht="15" hidden="false" customHeight="true" outlineLevel="0" collapsed="false">
      <c r="A769" s="19"/>
      <c r="B769" s="17"/>
      <c r="C769" s="11" t="str">
        <f aca="false">IF(B769="","",IFERROR(INDEX(Students!$B$4:$B$203,MATCH(B769,Students!$A$4:$A$203,0)),""))</f>
        <v/>
      </c>
      <c r="D769" s="17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7"/>
      <c r="P769" s="19"/>
    </row>
    <row r="770" customFormat="false" ht="15" hidden="false" customHeight="true" outlineLevel="0" collapsed="false">
      <c r="A770" s="19"/>
      <c r="B770" s="17"/>
      <c r="C770" s="11" t="str">
        <f aca="false">IF(B770="","",IFERROR(INDEX(Students!$B$4:$B$203,MATCH(B770,Students!$A$4:$A$203,0)),""))</f>
        <v/>
      </c>
      <c r="D770" s="17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7"/>
      <c r="P770" s="19"/>
    </row>
    <row r="771" customFormat="false" ht="15" hidden="false" customHeight="true" outlineLevel="0" collapsed="false">
      <c r="A771" s="19"/>
      <c r="B771" s="17"/>
      <c r="C771" s="11" t="str">
        <f aca="false">IF(B771="","",IFERROR(INDEX(Students!$B$4:$B$203,MATCH(B771,Students!$A$4:$A$203,0)),""))</f>
        <v/>
      </c>
      <c r="D771" s="17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7"/>
      <c r="P771" s="19"/>
    </row>
    <row r="772" customFormat="false" ht="15" hidden="false" customHeight="true" outlineLevel="0" collapsed="false">
      <c r="A772" s="19"/>
      <c r="B772" s="17"/>
      <c r="C772" s="11" t="str">
        <f aca="false">IF(B772="","",IFERROR(INDEX(Students!$B$4:$B$203,MATCH(B772,Students!$A$4:$A$203,0)),""))</f>
        <v/>
      </c>
      <c r="D772" s="17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7"/>
      <c r="P772" s="19"/>
    </row>
    <row r="773" customFormat="false" ht="15" hidden="false" customHeight="true" outlineLevel="0" collapsed="false">
      <c r="A773" s="19"/>
      <c r="B773" s="17"/>
      <c r="C773" s="11" t="str">
        <f aca="false">IF(B773="","",IFERROR(INDEX(Students!$B$4:$B$203,MATCH(B773,Students!$A$4:$A$203,0)),""))</f>
        <v/>
      </c>
      <c r="D773" s="17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7"/>
      <c r="P773" s="19"/>
    </row>
    <row r="774" customFormat="false" ht="15" hidden="false" customHeight="true" outlineLevel="0" collapsed="false">
      <c r="A774" s="19"/>
      <c r="B774" s="17"/>
      <c r="C774" s="11" t="str">
        <f aca="false">IF(B774="","",IFERROR(INDEX(Students!$B$4:$B$203,MATCH(B774,Students!$A$4:$A$203,0)),""))</f>
        <v/>
      </c>
      <c r="D774" s="17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7"/>
      <c r="P774" s="19"/>
    </row>
    <row r="775" customFormat="false" ht="15" hidden="false" customHeight="true" outlineLevel="0" collapsed="false">
      <c r="A775" s="19"/>
      <c r="B775" s="17"/>
      <c r="C775" s="11" t="str">
        <f aca="false">IF(B775="","",IFERROR(INDEX(Students!$B$4:$B$203,MATCH(B775,Students!$A$4:$A$203,0)),""))</f>
        <v/>
      </c>
      <c r="D775" s="17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7"/>
      <c r="P775" s="19"/>
    </row>
    <row r="776" customFormat="false" ht="15" hidden="false" customHeight="true" outlineLevel="0" collapsed="false">
      <c r="A776" s="19"/>
      <c r="B776" s="17"/>
      <c r="C776" s="11" t="str">
        <f aca="false">IF(B776="","",IFERROR(INDEX(Students!$B$4:$B$203,MATCH(B776,Students!$A$4:$A$203,0)),""))</f>
        <v/>
      </c>
      <c r="D776" s="17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7"/>
      <c r="P776" s="19"/>
    </row>
    <row r="777" customFormat="false" ht="15" hidden="false" customHeight="true" outlineLevel="0" collapsed="false">
      <c r="A777" s="19"/>
      <c r="B777" s="17"/>
      <c r="C777" s="11" t="str">
        <f aca="false">IF(B777="","",IFERROR(INDEX(Students!$B$4:$B$203,MATCH(B777,Students!$A$4:$A$203,0)),""))</f>
        <v/>
      </c>
      <c r="D777" s="17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7"/>
      <c r="P777" s="19"/>
    </row>
    <row r="778" customFormat="false" ht="15" hidden="false" customHeight="true" outlineLevel="0" collapsed="false">
      <c r="A778" s="19"/>
      <c r="B778" s="17"/>
      <c r="C778" s="11" t="str">
        <f aca="false">IF(B778="","",IFERROR(INDEX(Students!$B$4:$B$203,MATCH(B778,Students!$A$4:$A$203,0)),""))</f>
        <v/>
      </c>
      <c r="D778" s="17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7"/>
      <c r="P778" s="19"/>
    </row>
    <row r="779" customFormat="false" ht="15" hidden="false" customHeight="true" outlineLevel="0" collapsed="false">
      <c r="A779" s="19"/>
      <c r="B779" s="17"/>
      <c r="C779" s="11" t="str">
        <f aca="false">IF(B779="","",IFERROR(INDEX(Students!$B$4:$B$203,MATCH(B779,Students!$A$4:$A$203,0)),""))</f>
        <v/>
      </c>
      <c r="D779" s="17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7"/>
      <c r="P779" s="19"/>
    </row>
    <row r="780" customFormat="false" ht="15" hidden="false" customHeight="true" outlineLevel="0" collapsed="false">
      <c r="A780" s="19"/>
      <c r="B780" s="17"/>
      <c r="C780" s="11" t="str">
        <f aca="false">IF(B780="","",IFERROR(INDEX(Students!$B$4:$B$203,MATCH(B780,Students!$A$4:$A$203,0)),""))</f>
        <v/>
      </c>
      <c r="D780" s="17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7"/>
      <c r="P780" s="19"/>
    </row>
    <row r="781" customFormat="false" ht="15" hidden="false" customHeight="true" outlineLevel="0" collapsed="false">
      <c r="A781" s="19"/>
      <c r="B781" s="17"/>
      <c r="C781" s="11" t="str">
        <f aca="false">IF(B781="","",IFERROR(INDEX(Students!$B$4:$B$203,MATCH(B781,Students!$A$4:$A$203,0)),""))</f>
        <v/>
      </c>
      <c r="D781" s="17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7"/>
      <c r="P781" s="19"/>
    </row>
    <row r="782" customFormat="false" ht="15" hidden="false" customHeight="true" outlineLevel="0" collapsed="false">
      <c r="A782" s="19"/>
      <c r="B782" s="17"/>
      <c r="C782" s="11" t="str">
        <f aca="false">IF(B782="","",IFERROR(INDEX(Students!$B$4:$B$203,MATCH(B782,Students!$A$4:$A$203,0)),""))</f>
        <v/>
      </c>
      <c r="D782" s="17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7"/>
      <c r="P782" s="19"/>
    </row>
    <row r="783" customFormat="false" ht="15" hidden="false" customHeight="true" outlineLevel="0" collapsed="false">
      <c r="A783" s="19"/>
      <c r="B783" s="17"/>
      <c r="C783" s="11" t="str">
        <f aca="false">IF(B783="","",IFERROR(INDEX(Students!$B$4:$B$203,MATCH(B783,Students!$A$4:$A$203,0)),""))</f>
        <v/>
      </c>
      <c r="D783" s="17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7"/>
      <c r="P783" s="19"/>
    </row>
    <row r="784" customFormat="false" ht="15" hidden="false" customHeight="true" outlineLevel="0" collapsed="false">
      <c r="A784" s="19"/>
      <c r="B784" s="17"/>
      <c r="C784" s="11" t="str">
        <f aca="false">IF(B784="","",IFERROR(INDEX(Students!$B$4:$B$203,MATCH(B784,Students!$A$4:$A$203,0)),""))</f>
        <v/>
      </c>
      <c r="D784" s="17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7"/>
      <c r="P784" s="19"/>
    </row>
    <row r="785" customFormat="false" ht="15" hidden="false" customHeight="true" outlineLevel="0" collapsed="false">
      <c r="A785" s="19"/>
      <c r="B785" s="17"/>
      <c r="C785" s="11" t="str">
        <f aca="false">IF(B785="","",IFERROR(INDEX(Students!$B$4:$B$203,MATCH(B785,Students!$A$4:$A$203,0)),""))</f>
        <v/>
      </c>
      <c r="D785" s="17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7"/>
      <c r="P785" s="19"/>
    </row>
    <row r="786" customFormat="false" ht="15" hidden="false" customHeight="true" outlineLevel="0" collapsed="false">
      <c r="A786" s="19"/>
      <c r="B786" s="17"/>
      <c r="C786" s="11" t="str">
        <f aca="false">IF(B786="","",IFERROR(INDEX(Students!$B$4:$B$203,MATCH(B786,Students!$A$4:$A$203,0)),""))</f>
        <v/>
      </c>
      <c r="D786" s="17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7"/>
      <c r="P786" s="19"/>
    </row>
    <row r="787" customFormat="false" ht="15" hidden="false" customHeight="true" outlineLevel="0" collapsed="false">
      <c r="A787" s="19"/>
      <c r="B787" s="17"/>
      <c r="C787" s="11" t="str">
        <f aca="false">IF(B787="","",IFERROR(INDEX(Students!$B$4:$B$203,MATCH(B787,Students!$A$4:$A$203,0)),""))</f>
        <v/>
      </c>
      <c r="D787" s="17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7"/>
      <c r="P787" s="19"/>
    </row>
    <row r="788" customFormat="false" ht="15" hidden="false" customHeight="true" outlineLevel="0" collapsed="false">
      <c r="A788" s="19"/>
      <c r="B788" s="17"/>
      <c r="C788" s="11" t="str">
        <f aca="false">IF(B788="","",IFERROR(INDEX(Students!$B$4:$B$203,MATCH(B788,Students!$A$4:$A$203,0)),""))</f>
        <v/>
      </c>
      <c r="D788" s="17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7"/>
      <c r="P788" s="19"/>
    </row>
    <row r="789" customFormat="false" ht="15" hidden="false" customHeight="true" outlineLevel="0" collapsed="false">
      <c r="A789" s="19"/>
      <c r="B789" s="17"/>
      <c r="C789" s="11" t="str">
        <f aca="false">IF(B789="","",IFERROR(INDEX(Students!$B$4:$B$203,MATCH(B789,Students!$A$4:$A$203,0)),""))</f>
        <v/>
      </c>
      <c r="D789" s="17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7"/>
      <c r="P789" s="19"/>
    </row>
    <row r="790" customFormat="false" ht="15" hidden="false" customHeight="true" outlineLevel="0" collapsed="false">
      <c r="A790" s="19"/>
      <c r="B790" s="17"/>
      <c r="C790" s="11" t="str">
        <f aca="false">IF(B790="","",IFERROR(INDEX(Students!$B$4:$B$203,MATCH(B790,Students!$A$4:$A$203,0)),""))</f>
        <v/>
      </c>
      <c r="D790" s="17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7"/>
      <c r="P790" s="19"/>
    </row>
    <row r="791" customFormat="false" ht="15" hidden="false" customHeight="true" outlineLevel="0" collapsed="false">
      <c r="A791" s="19"/>
      <c r="B791" s="17"/>
      <c r="C791" s="11" t="str">
        <f aca="false">IF(B791="","",IFERROR(INDEX(Students!$B$4:$B$203,MATCH(B791,Students!$A$4:$A$203,0)),""))</f>
        <v/>
      </c>
      <c r="D791" s="17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7"/>
      <c r="P791" s="19"/>
    </row>
    <row r="792" customFormat="false" ht="15" hidden="false" customHeight="true" outlineLevel="0" collapsed="false">
      <c r="A792" s="19"/>
      <c r="B792" s="17"/>
      <c r="C792" s="11" t="str">
        <f aca="false">IF(B792="","",IFERROR(INDEX(Students!$B$4:$B$203,MATCH(B792,Students!$A$4:$A$203,0)),""))</f>
        <v/>
      </c>
      <c r="D792" s="17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7"/>
      <c r="P792" s="19"/>
    </row>
    <row r="793" customFormat="false" ht="15" hidden="false" customHeight="true" outlineLevel="0" collapsed="false">
      <c r="A793" s="19"/>
      <c r="B793" s="17"/>
      <c r="C793" s="11" t="str">
        <f aca="false">IF(B793="","",IFERROR(INDEX(Students!$B$4:$B$203,MATCH(B793,Students!$A$4:$A$203,0)),""))</f>
        <v/>
      </c>
      <c r="D793" s="17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7"/>
      <c r="P793" s="19"/>
    </row>
    <row r="794" customFormat="false" ht="15" hidden="false" customHeight="true" outlineLevel="0" collapsed="false">
      <c r="A794" s="19"/>
      <c r="B794" s="17"/>
      <c r="C794" s="11" t="str">
        <f aca="false">IF(B794="","",IFERROR(INDEX(Students!$B$4:$B$203,MATCH(B794,Students!$A$4:$A$203,0)),""))</f>
        <v/>
      </c>
      <c r="D794" s="17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7"/>
      <c r="P794" s="19"/>
    </row>
    <row r="795" customFormat="false" ht="15" hidden="false" customHeight="true" outlineLevel="0" collapsed="false">
      <c r="A795" s="19"/>
      <c r="B795" s="17"/>
      <c r="C795" s="11" t="str">
        <f aca="false">IF(B795="","",IFERROR(INDEX(Students!$B$4:$B$203,MATCH(B795,Students!$A$4:$A$203,0)),""))</f>
        <v/>
      </c>
      <c r="D795" s="17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7"/>
      <c r="P795" s="19"/>
    </row>
    <row r="796" customFormat="false" ht="15" hidden="false" customHeight="true" outlineLevel="0" collapsed="false">
      <c r="A796" s="19"/>
      <c r="B796" s="17"/>
      <c r="C796" s="11" t="str">
        <f aca="false">IF(B796="","",IFERROR(INDEX(Students!$B$4:$B$203,MATCH(B796,Students!$A$4:$A$203,0)),""))</f>
        <v/>
      </c>
      <c r="D796" s="17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7"/>
      <c r="P796" s="19"/>
    </row>
    <row r="797" customFormat="false" ht="15" hidden="false" customHeight="true" outlineLevel="0" collapsed="false">
      <c r="A797" s="19"/>
      <c r="B797" s="17"/>
      <c r="C797" s="11" t="str">
        <f aca="false">IF(B797="","",IFERROR(INDEX(Students!$B$4:$B$203,MATCH(B797,Students!$A$4:$A$203,0)),""))</f>
        <v/>
      </c>
      <c r="D797" s="17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7"/>
      <c r="P797" s="19"/>
    </row>
    <row r="798" customFormat="false" ht="15" hidden="false" customHeight="true" outlineLevel="0" collapsed="false">
      <c r="A798" s="19"/>
      <c r="B798" s="17"/>
      <c r="C798" s="11" t="str">
        <f aca="false">IF(B798="","",IFERROR(INDEX(Students!$B$4:$B$203,MATCH(B798,Students!$A$4:$A$203,0)),""))</f>
        <v/>
      </c>
      <c r="D798" s="17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7"/>
      <c r="P798" s="19"/>
    </row>
    <row r="799" customFormat="false" ht="15" hidden="false" customHeight="true" outlineLevel="0" collapsed="false">
      <c r="A799" s="19"/>
      <c r="B799" s="17"/>
      <c r="C799" s="11" t="str">
        <f aca="false">IF(B799="","",IFERROR(INDEX(Students!$B$4:$B$203,MATCH(B799,Students!$A$4:$A$203,0)),""))</f>
        <v/>
      </c>
      <c r="D799" s="17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7"/>
      <c r="P799" s="19"/>
    </row>
    <row r="800" customFormat="false" ht="15" hidden="false" customHeight="true" outlineLevel="0" collapsed="false">
      <c r="A800" s="19"/>
      <c r="B800" s="17"/>
      <c r="C800" s="11" t="str">
        <f aca="false">IF(B800="","",IFERROR(INDEX(Students!$B$4:$B$203,MATCH(B800,Students!$A$4:$A$203,0)),""))</f>
        <v/>
      </c>
      <c r="D800" s="17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7"/>
      <c r="P800" s="19"/>
    </row>
    <row r="801" customFormat="false" ht="15" hidden="false" customHeight="true" outlineLevel="0" collapsed="false">
      <c r="A801" s="19"/>
      <c r="B801" s="17"/>
      <c r="C801" s="11" t="str">
        <f aca="false">IF(B801="","",IFERROR(INDEX(Students!$B$4:$B$203,MATCH(B801,Students!$A$4:$A$203,0)),""))</f>
        <v/>
      </c>
      <c r="D801" s="17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7"/>
      <c r="P801" s="19"/>
    </row>
    <row r="802" customFormat="false" ht="15" hidden="false" customHeight="true" outlineLevel="0" collapsed="false">
      <c r="A802" s="19"/>
      <c r="B802" s="17"/>
      <c r="C802" s="11" t="str">
        <f aca="false">IF(B802="","",IFERROR(INDEX(Students!$B$4:$B$203,MATCH(B802,Students!$A$4:$A$203,0)),""))</f>
        <v/>
      </c>
      <c r="D802" s="17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7"/>
      <c r="P802" s="19"/>
    </row>
    <row r="803" customFormat="false" ht="15" hidden="false" customHeight="true" outlineLevel="0" collapsed="false">
      <c r="A803" s="19"/>
      <c r="B803" s="17"/>
      <c r="C803" s="11" t="str">
        <f aca="false">IF(B803="","",IFERROR(INDEX(Students!$B$4:$B$203,MATCH(B803,Students!$A$4:$A$203,0)),""))</f>
        <v/>
      </c>
      <c r="D803" s="17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7"/>
      <c r="P803" s="19"/>
    </row>
  </sheetData>
  <autoFilter ref="A3:P803"/>
  <mergeCells count="1">
    <mergeCell ref="A1:P1"/>
  </mergeCells>
  <dataValidations count="3">
    <dataValidation allowBlank="true" errorStyle="stop" operator="between" showDropDown="false" showErrorMessage="false" showInputMessage="false" sqref="D4:D803" type="list">
      <formula1>Lists!$G$4:$G$7</formula1>
      <formula2>0</formula2>
    </dataValidation>
    <dataValidation allowBlank="true" errorStyle="stop" operator="between" showDropDown="false" showErrorMessage="false" showInputMessage="false" sqref="F4:F803" type="list">
      <formula1>Lists!$H$3:$H$5</formula1>
      <formula2>0</formula2>
    </dataValidation>
    <dataValidation allowBlank="true" errorStyle="stop" operator="between" showDropDown="false" showErrorMessage="false" showInputMessage="false" sqref="O4:O803" type="decimal">
      <formula1>0</formula1>
      <formula2>10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52"/>
    <col collapsed="false" customWidth="true" hidden="false" outlineLevel="0" max="6" min="6" style="1" width="26"/>
    <col collapsed="false" customWidth="true" hidden="false" outlineLevel="0" max="7" min="7" style="1" width="28"/>
  </cols>
  <sheetData>
    <row r="1" customFormat="false" ht="27.75" hidden="false" customHeight="true" outlineLevel="0" collapsed="false">
      <c r="A1" s="5" t="s">
        <v>158</v>
      </c>
      <c r="B1" s="5"/>
      <c r="C1" s="5"/>
      <c r="D1" s="5"/>
      <c r="E1" s="5"/>
      <c r="F1" s="5"/>
      <c r="G1" s="5"/>
    </row>
    <row r="3" customFormat="false" ht="31.5" hidden="false" customHeight="true" outlineLevel="0" collapsed="false">
      <c r="A3" s="10" t="s">
        <v>23</v>
      </c>
      <c r="B3" s="10" t="s">
        <v>25</v>
      </c>
      <c r="C3" s="10" t="s">
        <v>159</v>
      </c>
      <c r="D3" s="10" t="s">
        <v>160</v>
      </c>
      <c r="E3" s="10" t="s">
        <v>161</v>
      </c>
      <c r="F3" s="10" t="s">
        <v>162</v>
      </c>
      <c r="G3" s="10" t="s">
        <v>163</v>
      </c>
    </row>
    <row r="4" customFormat="false" ht="27.75" hidden="false" customHeight="true" outlineLevel="0" collapsed="false">
      <c r="A4" s="20" t="s">
        <v>33</v>
      </c>
      <c r="B4" s="20" t="s">
        <v>68</v>
      </c>
      <c r="C4" s="20" t="s">
        <v>164</v>
      </c>
      <c r="D4" s="20" t="s">
        <v>165</v>
      </c>
      <c r="E4" s="20" t="s">
        <v>166</v>
      </c>
      <c r="F4" s="20" t="s">
        <v>167</v>
      </c>
      <c r="G4" s="20" t="s">
        <v>168</v>
      </c>
    </row>
    <row r="5" customFormat="false" ht="15" hidden="false" customHeight="true" outlineLevel="0" collapsed="false">
      <c r="A5" s="20" t="s">
        <v>33</v>
      </c>
      <c r="B5" s="20" t="s">
        <v>74</v>
      </c>
      <c r="C5" s="20" t="s">
        <v>169</v>
      </c>
      <c r="D5" s="20" t="s">
        <v>170</v>
      </c>
      <c r="E5" s="20" t="s">
        <v>171</v>
      </c>
      <c r="F5" s="20" t="s">
        <v>172</v>
      </c>
      <c r="G5" s="20" t="s">
        <v>173</v>
      </c>
    </row>
    <row r="6" customFormat="false" ht="27.75" hidden="false" customHeight="true" outlineLevel="0" collapsed="false">
      <c r="A6" s="20" t="s">
        <v>33</v>
      </c>
      <c r="B6" s="20" t="s">
        <v>79</v>
      </c>
      <c r="C6" s="20" t="s">
        <v>174</v>
      </c>
      <c r="D6" s="20" t="s">
        <v>175</v>
      </c>
      <c r="E6" s="20" t="s">
        <v>176</v>
      </c>
      <c r="F6" s="20" t="s">
        <v>177</v>
      </c>
      <c r="G6" s="20" t="s">
        <v>178</v>
      </c>
    </row>
    <row r="7" customFormat="false" ht="15" hidden="false" customHeight="true" outlineLevel="0" collapsed="false">
      <c r="A7" s="20" t="s">
        <v>33</v>
      </c>
      <c r="B7" s="20" t="s">
        <v>82</v>
      </c>
      <c r="C7" s="20" t="s">
        <v>179</v>
      </c>
      <c r="D7" s="20" t="s">
        <v>180</v>
      </c>
      <c r="E7" s="20" t="s">
        <v>181</v>
      </c>
      <c r="F7" s="20" t="s">
        <v>182</v>
      </c>
      <c r="G7" s="20" t="s">
        <v>183</v>
      </c>
    </row>
    <row r="8" customFormat="false" ht="27.75" hidden="false" customHeight="true" outlineLevel="0" collapsed="false">
      <c r="A8" s="20" t="s">
        <v>34</v>
      </c>
      <c r="B8" s="20" t="s">
        <v>68</v>
      </c>
      <c r="C8" s="20" t="s">
        <v>184</v>
      </c>
      <c r="D8" s="20" t="s">
        <v>185</v>
      </c>
      <c r="E8" s="20" t="s">
        <v>186</v>
      </c>
      <c r="F8" s="20" t="s">
        <v>187</v>
      </c>
      <c r="G8" s="20" t="s">
        <v>188</v>
      </c>
    </row>
    <row r="9" customFormat="false" ht="15" hidden="false" customHeight="true" outlineLevel="0" collapsed="false">
      <c r="A9" s="20" t="s">
        <v>34</v>
      </c>
      <c r="B9" s="20" t="s">
        <v>74</v>
      </c>
      <c r="C9" s="20" t="s">
        <v>189</v>
      </c>
      <c r="D9" s="20" t="s">
        <v>190</v>
      </c>
      <c r="E9" s="20" t="s">
        <v>191</v>
      </c>
      <c r="F9" s="20" t="s">
        <v>192</v>
      </c>
      <c r="G9" s="20" t="s">
        <v>193</v>
      </c>
    </row>
    <row r="10" customFormat="false" ht="15" hidden="false" customHeight="true" outlineLevel="0" collapsed="false">
      <c r="A10" s="20" t="s">
        <v>34</v>
      </c>
      <c r="B10" s="20" t="s">
        <v>79</v>
      </c>
      <c r="C10" s="20" t="s">
        <v>78</v>
      </c>
      <c r="D10" s="20" t="s">
        <v>194</v>
      </c>
      <c r="E10" s="20" t="s">
        <v>195</v>
      </c>
      <c r="F10" s="20" t="s">
        <v>187</v>
      </c>
      <c r="G10" s="20" t="s">
        <v>196</v>
      </c>
    </row>
    <row r="11" customFormat="false" ht="27.75" hidden="false" customHeight="true" outlineLevel="0" collapsed="false">
      <c r="A11" s="20" t="s">
        <v>34</v>
      </c>
      <c r="B11" s="20" t="s">
        <v>82</v>
      </c>
      <c r="C11" s="20" t="s">
        <v>197</v>
      </c>
      <c r="D11" s="20" t="s">
        <v>198</v>
      </c>
      <c r="E11" s="20" t="s">
        <v>199</v>
      </c>
      <c r="F11" s="20" t="s">
        <v>192</v>
      </c>
      <c r="G11" s="20" t="s">
        <v>200</v>
      </c>
    </row>
    <row r="12" customFormat="false" ht="27.75" hidden="false" customHeight="true" outlineLevel="0" collapsed="false">
      <c r="A12" s="20" t="s">
        <v>35</v>
      </c>
      <c r="B12" s="20" t="s">
        <v>68</v>
      </c>
      <c r="C12" s="20" t="s">
        <v>201</v>
      </c>
      <c r="D12" s="20" t="s">
        <v>202</v>
      </c>
      <c r="E12" s="20" t="s">
        <v>203</v>
      </c>
      <c r="F12" s="20" t="s">
        <v>204</v>
      </c>
      <c r="G12" s="20" t="s">
        <v>205</v>
      </c>
    </row>
    <row r="13" customFormat="false" ht="27.75" hidden="false" customHeight="true" outlineLevel="0" collapsed="false">
      <c r="A13" s="20" t="s">
        <v>35</v>
      </c>
      <c r="B13" s="20" t="s">
        <v>74</v>
      </c>
      <c r="C13" s="20" t="s">
        <v>206</v>
      </c>
      <c r="D13" s="20" t="s">
        <v>207</v>
      </c>
      <c r="E13" s="20" t="s">
        <v>208</v>
      </c>
      <c r="F13" s="20" t="s">
        <v>209</v>
      </c>
      <c r="G13" s="20" t="s">
        <v>210</v>
      </c>
    </row>
    <row r="14" customFormat="false" ht="27.75" hidden="false" customHeight="true" outlineLevel="0" collapsed="false">
      <c r="A14" s="20" t="s">
        <v>35</v>
      </c>
      <c r="B14" s="20" t="s">
        <v>79</v>
      </c>
      <c r="C14" s="20" t="s">
        <v>211</v>
      </c>
      <c r="D14" s="20" t="s">
        <v>212</v>
      </c>
      <c r="E14" s="20" t="s">
        <v>213</v>
      </c>
      <c r="F14" s="20" t="s">
        <v>72</v>
      </c>
      <c r="G14" s="20" t="s">
        <v>214</v>
      </c>
    </row>
    <row r="15" customFormat="false" ht="27.75" hidden="false" customHeight="true" outlineLevel="0" collapsed="false">
      <c r="A15" s="20" t="s">
        <v>35</v>
      </c>
      <c r="B15" s="20" t="s">
        <v>82</v>
      </c>
      <c r="C15" s="20" t="s">
        <v>215</v>
      </c>
      <c r="D15" s="20" t="s">
        <v>216</v>
      </c>
      <c r="E15" s="20" t="s">
        <v>217</v>
      </c>
      <c r="F15" s="20" t="s">
        <v>218</v>
      </c>
      <c r="G15" s="20" t="s">
        <v>219</v>
      </c>
    </row>
    <row r="16" customFormat="false" ht="15" hidden="false" customHeight="true" outlineLevel="0" collapsed="false">
      <c r="A16" s="20" t="s">
        <v>36</v>
      </c>
      <c r="B16" s="20" t="s">
        <v>68</v>
      </c>
      <c r="C16" s="20" t="s">
        <v>220</v>
      </c>
      <c r="D16" s="20" t="s">
        <v>221</v>
      </c>
      <c r="E16" s="20" t="s">
        <v>222</v>
      </c>
      <c r="F16" s="20" t="s">
        <v>223</v>
      </c>
      <c r="G16" s="20" t="s">
        <v>224</v>
      </c>
    </row>
    <row r="17" customFormat="false" ht="15" hidden="false" customHeight="true" outlineLevel="0" collapsed="false">
      <c r="A17" s="20" t="s">
        <v>36</v>
      </c>
      <c r="B17" s="20" t="s">
        <v>74</v>
      </c>
      <c r="C17" s="20" t="s">
        <v>225</v>
      </c>
      <c r="D17" s="20" t="s">
        <v>226</v>
      </c>
      <c r="E17" s="20" t="s">
        <v>227</v>
      </c>
      <c r="F17" s="20" t="s">
        <v>81</v>
      </c>
      <c r="G17" s="20" t="s">
        <v>228</v>
      </c>
    </row>
    <row r="18" customFormat="false" ht="15" hidden="false" customHeight="true" outlineLevel="0" collapsed="false">
      <c r="A18" s="20" t="s">
        <v>36</v>
      </c>
      <c r="B18" s="20" t="s">
        <v>79</v>
      </c>
      <c r="C18" s="20" t="s">
        <v>229</v>
      </c>
      <c r="D18" s="20" t="s">
        <v>230</v>
      </c>
      <c r="E18" s="20" t="s">
        <v>231</v>
      </c>
      <c r="F18" s="20" t="s">
        <v>232</v>
      </c>
      <c r="G18" s="20" t="s">
        <v>233</v>
      </c>
    </row>
    <row r="19" customFormat="false" ht="27.75" hidden="false" customHeight="true" outlineLevel="0" collapsed="false">
      <c r="A19" s="20" t="s">
        <v>36</v>
      </c>
      <c r="B19" s="20" t="s">
        <v>82</v>
      </c>
      <c r="C19" s="20" t="s">
        <v>234</v>
      </c>
      <c r="D19" s="20" t="s">
        <v>235</v>
      </c>
      <c r="E19" s="20" t="s">
        <v>236</v>
      </c>
      <c r="F19" s="20" t="s">
        <v>182</v>
      </c>
      <c r="G19" s="20" t="s">
        <v>237</v>
      </c>
    </row>
  </sheetData>
  <mergeCells count="1">
    <mergeCell ref="A1:G1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9" min="4" style="1" width="16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5" t="s">
        <v>238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31.5" hidden="false" customHeight="true" outlineLevel="0" collapsed="false">
      <c r="A3" s="10" t="s">
        <v>21</v>
      </c>
      <c r="B3" s="10" t="s">
        <v>22</v>
      </c>
      <c r="C3" s="10" t="s">
        <v>90</v>
      </c>
      <c r="D3" s="10" t="s">
        <v>239</v>
      </c>
      <c r="E3" s="10" t="s">
        <v>240</v>
      </c>
      <c r="F3" s="10" t="s">
        <v>241</v>
      </c>
      <c r="G3" s="10" t="s">
        <v>242</v>
      </c>
      <c r="H3" s="10" t="s">
        <v>243</v>
      </c>
      <c r="I3" s="10" t="s">
        <v>244</v>
      </c>
      <c r="J3" s="10" t="s">
        <v>91</v>
      </c>
    </row>
    <row r="4" customFormat="false" ht="15" hidden="false" customHeight="true" outlineLevel="0" collapsed="false">
      <c r="A4" s="11" t="str">
        <f aca="false">IF(Students!A4="","",Students!A4)</f>
        <v>SAMPLE01</v>
      </c>
      <c r="B4" s="11" t="str">
        <f aca="false">IF(A4="","",Students!B4)</f>
        <v>Nguyễn Văn A</v>
      </c>
      <c r="C4" s="7" t="n">
        <f aca="false">IF(A4="","",Students!E4)</f>
        <v>46251</v>
      </c>
      <c r="D4" s="7" t="n">
        <f aca="false">IF(A4="","",C4+7)</f>
        <v>46258</v>
      </c>
      <c r="E4" s="7" t="n">
        <f aca="false">IF(A4="","",C4+21)</f>
        <v>46272</v>
      </c>
      <c r="F4" s="7" t="n">
        <f aca="false">IF(A4="","",C4+35)</f>
        <v>46286</v>
      </c>
      <c r="G4" s="7" t="n">
        <f aca="false">IF(A4="","",C4+49)</f>
        <v>46300</v>
      </c>
      <c r="H4" s="7" t="n">
        <f aca="false">IF(A4="","",C4+63)</f>
        <v>46314</v>
      </c>
      <c r="I4" s="7" t="n">
        <f aca="false">IF(A4="","",C4+70)</f>
        <v>46321</v>
      </c>
      <c r="J4" s="7" t="n">
        <f aca="false">IF(A4="","",Students!F4)</f>
        <v>46321</v>
      </c>
    </row>
    <row r="5" customFormat="false" ht="15" hidden="false" customHeight="true" outlineLevel="0" collapsed="false">
      <c r="A5" s="11" t="str">
        <f aca="false">IF(Students!A5="","",Students!A5)</f>
        <v>SAMPLE02</v>
      </c>
      <c r="B5" s="11" t="str">
        <f aca="false">IF(A5="","",Students!B5)</f>
        <v>Trần Thị B</v>
      </c>
      <c r="C5" s="7" t="n">
        <f aca="false">IF(A5="","",Students!E5)</f>
        <v>46265</v>
      </c>
      <c r="D5" s="7" t="n">
        <f aca="false">IF(A5="","",C5+7)</f>
        <v>46272</v>
      </c>
      <c r="E5" s="7" t="n">
        <f aca="false">IF(A5="","",C5+21)</f>
        <v>46286</v>
      </c>
      <c r="F5" s="7" t="n">
        <f aca="false">IF(A5="","",C5+35)</f>
        <v>46300</v>
      </c>
      <c r="G5" s="7" t="n">
        <f aca="false">IF(A5="","",C5+49)</f>
        <v>46314</v>
      </c>
      <c r="H5" s="7" t="n">
        <f aca="false">IF(A5="","",C5+63)</f>
        <v>46328</v>
      </c>
      <c r="I5" s="7" t="n">
        <f aca="false">IF(A5="","",C5+70)</f>
        <v>46335</v>
      </c>
      <c r="J5" s="7" t="n">
        <f aca="false">IF(A5="","",Students!F5)</f>
        <v>46335</v>
      </c>
    </row>
    <row r="6" customFormat="false" ht="15" hidden="false" customHeight="true" outlineLevel="0" collapsed="false">
      <c r="A6" s="11" t="str">
        <f aca="false">IF(Students!A6="","",Students!A6)</f>
        <v>SAMPLE03</v>
      </c>
      <c r="B6" s="11" t="str">
        <f aca="false">IF(A6="","",Students!B6)</f>
        <v>Lê Văn C</v>
      </c>
      <c r="C6" s="7" t="n">
        <f aca="false">IF(A6="","",Students!E6)</f>
        <v>46279</v>
      </c>
      <c r="D6" s="7" t="n">
        <f aca="false">IF(A6="","",C6+7)</f>
        <v>46286</v>
      </c>
      <c r="E6" s="7" t="n">
        <f aca="false">IF(A6="","",C6+21)</f>
        <v>46300</v>
      </c>
      <c r="F6" s="7" t="n">
        <f aca="false">IF(A6="","",C6+35)</f>
        <v>46314</v>
      </c>
      <c r="G6" s="7" t="n">
        <f aca="false">IF(A6="","",C6+49)</f>
        <v>46328</v>
      </c>
      <c r="H6" s="7" t="n">
        <f aca="false">IF(A6="","",C6+63)</f>
        <v>46342</v>
      </c>
      <c r="I6" s="7" t="n">
        <f aca="false">IF(A6="","",C6+70)</f>
        <v>46349</v>
      </c>
      <c r="J6" s="7" t="n">
        <f aca="false">IF(A6="","",Students!F6)</f>
        <v>46349</v>
      </c>
    </row>
    <row r="7" customFormat="false" ht="15" hidden="false" customHeight="true" outlineLevel="0" collapsed="false">
      <c r="A7" s="11" t="str">
        <f aca="false">IF(Students!A7="","",Students!A7)</f>
        <v>SAMPLE04</v>
      </c>
      <c r="B7" s="11" t="str">
        <f aca="false">IF(A7="","",Students!B7)</f>
        <v>Phạm Thị D</v>
      </c>
      <c r="C7" s="7" t="n">
        <f aca="false">IF(A7="","",Students!E7)</f>
        <v>46293</v>
      </c>
      <c r="D7" s="7" t="n">
        <f aca="false">IF(A7="","",C7+7)</f>
        <v>46300</v>
      </c>
      <c r="E7" s="7" t="n">
        <f aca="false">IF(A7="","",C7+21)</f>
        <v>46314</v>
      </c>
      <c r="F7" s="7" t="n">
        <f aca="false">IF(A7="","",C7+35)</f>
        <v>46328</v>
      </c>
      <c r="G7" s="7" t="n">
        <f aca="false">IF(A7="","",C7+49)</f>
        <v>46342</v>
      </c>
      <c r="H7" s="7" t="n">
        <f aca="false">IF(A7="","",C7+63)</f>
        <v>46356</v>
      </c>
      <c r="I7" s="7" t="n">
        <f aca="false">IF(A7="","",C7+70)</f>
        <v>46363</v>
      </c>
      <c r="J7" s="7" t="n">
        <f aca="false">IF(A7="","",Students!F7)</f>
        <v>46363</v>
      </c>
    </row>
    <row r="8" customFormat="false" ht="15" hidden="false" customHeight="true" outlineLevel="0" collapsed="false">
      <c r="A8" s="11" t="str">
        <f aca="false">IF(Students!A8="","",Students!A8)</f>
        <v/>
      </c>
      <c r="B8" s="11" t="str">
        <f aca="false">IF(A8="","",Students!B8)</f>
        <v/>
      </c>
      <c r="C8" s="7" t="str">
        <f aca="false">IF(A8="","",Students!E8)</f>
        <v/>
      </c>
      <c r="D8" s="7" t="str">
        <f aca="false">IF(A8="","",C8+7)</f>
        <v/>
      </c>
      <c r="E8" s="7" t="str">
        <f aca="false">IF(A8="","",C8+21)</f>
        <v/>
      </c>
      <c r="F8" s="7" t="str">
        <f aca="false">IF(A8="","",C8+35)</f>
        <v/>
      </c>
      <c r="G8" s="7" t="str">
        <f aca="false">IF(A8="","",C8+49)</f>
        <v/>
      </c>
      <c r="H8" s="7" t="str">
        <f aca="false">IF(A8="","",C8+63)</f>
        <v/>
      </c>
      <c r="I8" s="7" t="str">
        <f aca="false">IF(A8="","",C8+70)</f>
        <v/>
      </c>
      <c r="J8" s="7" t="str">
        <f aca="false">IF(A8="","",Students!F8)</f>
        <v/>
      </c>
    </row>
    <row r="9" customFormat="false" ht="15" hidden="false" customHeight="true" outlineLevel="0" collapsed="false">
      <c r="A9" s="11" t="str">
        <f aca="false">IF(Students!A9="","",Students!A9)</f>
        <v/>
      </c>
      <c r="B9" s="11" t="str">
        <f aca="false">IF(A9="","",Students!B9)</f>
        <v/>
      </c>
      <c r="C9" s="7" t="str">
        <f aca="false">IF(A9="","",Students!E9)</f>
        <v/>
      </c>
      <c r="D9" s="7" t="str">
        <f aca="false">IF(A9="","",C9+7)</f>
        <v/>
      </c>
      <c r="E9" s="7" t="str">
        <f aca="false">IF(A9="","",C9+21)</f>
        <v/>
      </c>
      <c r="F9" s="7" t="str">
        <f aca="false">IF(A9="","",C9+35)</f>
        <v/>
      </c>
      <c r="G9" s="7" t="str">
        <f aca="false">IF(A9="","",C9+49)</f>
        <v/>
      </c>
      <c r="H9" s="7" t="str">
        <f aca="false">IF(A9="","",C9+63)</f>
        <v/>
      </c>
      <c r="I9" s="7" t="str">
        <f aca="false">IF(A9="","",C9+70)</f>
        <v/>
      </c>
      <c r="J9" s="7" t="str">
        <f aca="false">IF(A9="","",Students!F9)</f>
        <v/>
      </c>
    </row>
    <row r="10" customFormat="false" ht="15" hidden="false" customHeight="true" outlineLevel="0" collapsed="false">
      <c r="A10" s="11" t="str">
        <f aca="false">IF(Students!A10="","",Students!A10)</f>
        <v/>
      </c>
      <c r="B10" s="11" t="str">
        <f aca="false">IF(A10="","",Students!B10)</f>
        <v/>
      </c>
      <c r="C10" s="7" t="str">
        <f aca="false">IF(A10="","",Students!E10)</f>
        <v/>
      </c>
      <c r="D10" s="7" t="str">
        <f aca="false">IF(A10="","",C10+7)</f>
        <v/>
      </c>
      <c r="E10" s="7" t="str">
        <f aca="false">IF(A10="","",C10+21)</f>
        <v/>
      </c>
      <c r="F10" s="7" t="str">
        <f aca="false">IF(A10="","",C10+35)</f>
        <v/>
      </c>
      <c r="G10" s="7" t="str">
        <f aca="false">IF(A10="","",C10+49)</f>
        <v/>
      </c>
      <c r="H10" s="7" t="str">
        <f aca="false">IF(A10="","",C10+63)</f>
        <v/>
      </c>
      <c r="I10" s="7" t="str">
        <f aca="false">IF(A10="","",C10+70)</f>
        <v/>
      </c>
      <c r="J10" s="7" t="str">
        <f aca="false">IF(A10="","",Students!F10)</f>
        <v/>
      </c>
    </row>
    <row r="11" customFormat="false" ht="15" hidden="false" customHeight="true" outlineLevel="0" collapsed="false">
      <c r="A11" s="11" t="str">
        <f aca="false">IF(Students!A11="","",Students!A11)</f>
        <v/>
      </c>
      <c r="B11" s="11" t="str">
        <f aca="false">IF(A11="","",Students!B11)</f>
        <v/>
      </c>
      <c r="C11" s="7" t="str">
        <f aca="false">IF(A11="","",Students!E11)</f>
        <v/>
      </c>
      <c r="D11" s="7" t="str">
        <f aca="false">IF(A11="","",C11+7)</f>
        <v/>
      </c>
      <c r="E11" s="7" t="str">
        <f aca="false">IF(A11="","",C11+21)</f>
        <v/>
      </c>
      <c r="F11" s="7" t="str">
        <f aca="false">IF(A11="","",C11+35)</f>
        <v/>
      </c>
      <c r="G11" s="7" t="str">
        <f aca="false">IF(A11="","",C11+49)</f>
        <v/>
      </c>
      <c r="H11" s="7" t="str">
        <f aca="false">IF(A11="","",C11+63)</f>
        <v/>
      </c>
      <c r="I11" s="7" t="str">
        <f aca="false">IF(A11="","",C11+70)</f>
        <v/>
      </c>
      <c r="J11" s="7" t="str">
        <f aca="false">IF(A11="","",Students!F11)</f>
        <v/>
      </c>
    </row>
    <row r="12" customFormat="false" ht="15" hidden="false" customHeight="true" outlineLevel="0" collapsed="false">
      <c r="A12" s="11" t="str">
        <f aca="false">IF(Students!A12="","",Students!A12)</f>
        <v/>
      </c>
      <c r="B12" s="11" t="str">
        <f aca="false">IF(A12="","",Students!B12)</f>
        <v/>
      </c>
      <c r="C12" s="7" t="str">
        <f aca="false">IF(A12="","",Students!E12)</f>
        <v/>
      </c>
      <c r="D12" s="7" t="str">
        <f aca="false">IF(A12="","",C12+7)</f>
        <v/>
      </c>
      <c r="E12" s="7" t="str">
        <f aca="false">IF(A12="","",C12+21)</f>
        <v/>
      </c>
      <c r="F12" s="7" t="str">
        <f aca="false">IF(A12="","",C12+35)</f>
        <v/>
      </c>
      <c r="G12" s="7" t="str">
        <f aca="false">IF(A12="","",C12+49)</f>
        <v/>
      </c>
      <c r="H12" s="7" t="str">
        <f aca="false">IF(A12="","",C12+63)</f>
        <v/>
      </c>
      <c r="I12" s="7" t="str">
        <f aca="false">IF(A12="","",C12+70)</f>
        <v/>
      </c>
      <c r="J12" s="7" t="str">
        <f aca="false">IF(A12="","",Students!F12)</f>
        <v/>
      </c>
    </row>
    <row r="13" customFormat="false" ht="15" hidden="false" customHeight="true" outlineLevel="0" collapsed="false">
      <c r="A13" s="11" t="str">
        <f aca="false">IF(Students!A13="","",Students!A13)</f>
        <v/>
      </c>
      <c r="B13" s="11" t="str">
        <f aca="false">IF(A13="","",Students!B13)</f>
        <v/>
      </c>
      <c r="C13" s="7" t="str">
        <f aca="false">IF(A13="","",Students!E13)</f>
        <v/>
      </c>
      <c r="D13" s="7" t="str">
        <f aca="false">IF(A13="","",C13+7)</f>
        <v/>
      </c>
      <c r="E13" s="7" t="str">
        <f aca="false">IF(A13="","",C13+21)</f>
        <v/>
      </c>
      <c r="F13" s="7" t="str">
        <f aca="false">IF(A13="","",C13+35)</f>
        <v/>
      </c>
      <c r="G13" s="7" t="str">
        <f aca="false">IF(A13="","",C13+49)</f>
        <v/>
      </c>
      <c r="H13" s="7" t="str">
        <f aca="false">IF(A13="","",C13+63)</f>
        <v/>
      </c>
      <c r="I13" s="7" t="str">
        <f aca="false">IF(A13="","",C13+70)</f>
        <v/>
      </c>
      <c r="J13" s="7" t="str">
        <f aca="false">IF(A13="","",Students!F13)</f>
        <v/>
      </c>
    </row>
    <row r="14" customFormat="false" ht="15" hidden="false" customHeight="true" outlineLevel="0" collapsed="false">
      <c r="A14" s="11" t="str">
        <f aca="false">IF(Students!A14="","",Students!A14)</f>
        <v/>
      </c>
      <c r="B14" s="11" t="str">
        <f aca="false">IF(A14="","",Students!B14)</f>
        <v/>
      </c>
      <c r="C14" s="7" t="str">
        <f aca="false">IF(A14="","",Students!E14)</f>
        <v/>
      </c>
      <c r="D14" s="7" t="str">
        <f aca="false">IF(A14="","",C14+7)</f>
        <v/>
      </c>
      <c r="E14" s="7" t="str">
        <f aca="false">IF(A14="","",C14+21)</f>
        <v/>
      </c>
      <c r="F14" s="7" t="str">
        <f aca="false">IF(A14="","",C14+35)</f>
        <v/>
      </c>
      <c r="G14" s="7" t="str">
        <f aca="false">IF(A14="","",C14+49)</f>
        <v/>
      </c>
      <c r="H14" s="7" t="str">
        <f aca="false">IF(A14="","",C14+63)</f>
        <v/>
      </c>
      <c r="I14" s="7" t="str">
        <f aca="false">IF(A14="","",C14+70)</f>
        <v/>
      </c>
      <c r="J14" s="7" t="str">
        <f aca="false">IF(A14="","",Students!F14)</f>
        <v/>
      </c>
    </row>
    <row r="15" customFormat="false" ht="15" hidden="false" customHeight="true" outlineLevel="0" collapsed="false">
      <c r="A15" s="11" t="str">
        <f aca="false">IF(Students!A15="","",Students!A15)</f>
        <v/>
      </c>
      <c r="B15" s="11" t="str">
        <f aca="false">IF(A15="","",Students!B15)</f>
        <v/>
      </c>
      <c r="C15" s="7" t="str">
        <f aca="false">IF(A15="","",Students!E15)</f>
        <v/>
      </c>
      <c r="D15" s="7" t="str">
        <f aca="false">IF(A15="","",C15+7)</f>
        <v/>
      </c>
      <c r="E15" s="7" t="str">
        <f aca="false">IF(A15="","",C15+21)</f>
        <v/>
      </c>
      <c r="F15" s="7" t="str">
        <f aca="false">IF(A15="","",C15+35)</f>
        <v/>
      </c>
      <c r="G15" s="7" t="str">
        <f aca="false">IF(A15="","",C15+49)</f>
        <v/>
      </c>
      <c r="H15" s="7" t="str">
        <f aca="false">IF(A15="","",C15+63)</f>
        <v/>
      </c>
      <c r="I15" s="7" t="str">
        <f aca="false">IF(A15="","",C15+70)</f>
        <v/>
      </c>
      <c r="J15" s="7" t="str">
        <f aca="false">IF(A15="","",Students!F15)</f>
        <v/>
      </c>
    </row>
    <row r="16" customFormat="false" ht="15" hidden="false" customHeight="true" outlineLevel="0" collapsed="false">
      <c r="A16" s="11" t="str">
        <f aca="false">IF(Students!A16="","",Students!A16)</f>
        <v/>
      </c>
      <c r="B16" s="11" t="str">
        <f aca="false">IF(A16="","",Students!B16)</f>
        <v/>
      </c>
      <c r="C16" s="7" t="str">
        <f aca="false">IF(A16="","",Students!E16)</f>
        <v/>
      </c>
      <c r="D16" s="7" t="str">
        <f aca="false">IF(A16="","",C16+7)</f>
        <v/>
      </c>
      <c r="E16" s="7" t="str">
        <f aca="false">IF(A16="","",C16+21)</f>
        <v/>
      </c>
      <c r="F16" s="7" t="str">
        <f aca="false">IF(A16="","",C16+35)</f>
        <v/>
      </c>
      <c r="G16" s="7" t="str">
        <f aca="false">IF(A16="","",C16+49)</f>
        <v/>
      </c>
      <c r="H16" s="7" t="str">
        <f aca="false">IF(A16="","",C16+63)</f>
        <v/>
      </c>
      <c r="I16" s="7" t="str">
        <f aca="false">IF(A16="","",C16+70)</f>
        <v/>
      </c>
      <c r="J16" s="7" t="str">
        <f aca="false">IF(A16="","",Students!F16)</f>
        <v/>
      </c>
    </row>
    <row r="17" customFormat="false" ht="15" hidden="false" customHeight="true" outlineLevel="0" collapsed="false">
      <c r="A17" s="11" t="str">
        <f aca="false">IF(Students!A17="","",Students!A17)</f>
        <v/>
      </c>
      <c r="B17" s="11" t="str">
        <f aca="false">IF(A17="","",Students!B17)</f>
        <v/>
      </c>
      <c r="C17" s="7" t="str">
        <f aca="false">IF(A17="","",Students!E17)</f>
        <v/>
      </c>
      <c r="D17" s="7" t="str">
        <f aca="false">IF(A17="","",C17+7)</f>
        <v/>
      </c>
      <c r="E17" s="7" t="str">
        <f aca="false">IF(A17="","",C17+21)</f>
        <v/>
      </c>
      <c r="F17" s="7" t="str">
        <f aca="false">IF(A17="","",C17+35)</f>
        <v/>
      </c>
      <c r="G17" s="7" t="str">
        <f aca="false">IF(A17="","",C17+49)</f>
        <v/>
      </c>
      <c r="H17" s="7" t="str">
        <f aca="false">IF(A17="","",C17+63)</f>
        <v/>
      </c>
      <c r="I17" s="7" t="str">
        <f aca="false">IF(A17="","",C17+70)</f>
        <v/>
      </c>
      <c r="J17" s="7" t="str">
        <f aca="false">IF(A17="","",Students!F17)</f>
        <v/>
      </c>
    </row>
    <row r="18" customFormat="false" ht="15" hidden="false" customHeight="true" outlineLevel="0" collapsed="false">
      <c r="A18" s="11" t="str">
        <f aca="false">IF(Students!A18="","",Students!A18)</f>
        <v/>
      </c>
      <c r="B18" s="11" t="str">
        <f aca="false">IF(A18="","",Students!B18)</f>
        <v/>
      </c>
      <c r="C18" s="7" t="str">
        <f aca="false">IF(A18="","",Students!E18)</f>
        <v/>
      </c>
      <c r="D18" s="7" t="str">
        <f aca="false">IF(A18="","",C18+7)</f>
        <v/>
      </c>
      <c r="E18" s="7" t="str">
        <f aca="false">IF(A18="","",C18+21)</f>
        <v/>
      </c>
      <c r="F18" s="7" t="str">
        <f aca="false">IF(A18="","",C18+35)</f>
        <v/>
      </c>
      <c r="G18" s="7" t="str">
        <f aca="false">IF(A18="","",C18+49)</f>
        <v/>
      </c>
      <c r="H18" s="7" t="str">
        <f aca="false">IF(A18="","",C18+63)</f>
        <v/>
      </c>
      <c r="I18" s="7" t="str">
        <f aca="false">IF(A18="","",C18+70)</f>
        <v/>
      </c>
      <c r="J18" s="7" t="str">
        <f aca="false">IF(A18="","",Students!F18)</f>
        <v/>
      </c>
    </row>
    <row r="19" customFormat="false" ht="15" hidden="false" customHeight="true" outlineLevel="0" collapsed="false">
      <c r="A19" s="11" t="str">
        <f aca="false">IF(Students!A19="","",Students!A19)</f>
        <v/>
      </c>
      <c r="B19" s="11" t="str">
        <f aca="false">IF(A19="","",Students!B19)</f>
        <v/>
      </c>
      <c r="C19" s="7" t="str">
        <f aca="false">IF(A19="","",Students!E19)</f>
        <v/>
      </c>
      <c r="D19" s="7" t="str">
        <f aca="false">IF(A19="","",C19+7)</f>
        <v/>
      </c>
      <c r="E19" s="7" t="str">
        <f aca="false">IF(A19="","",C19+21)</f>
        <v/>
      </c>
      <c r="F19" s="7" t="str">
        <f aca="false">IF(A19="","",C19+35)</f>
        <v/>
      </c>
      <c r="G19" s="7" t="str">
        <f aca="false">IF(A19="","",C19+49)</f>
        <v/>
      </c>
      <c r="H19" s="7" t="str">
        <f aca="false">IF(A19="","",C19+63)</f>
        <v/>
      </c>
      <c r="I19" s="7" t="str">
        <f aca="false">IF(A19="","",C19+70)</f>
        <v/>
      </c>
      <c r="J19" s="7" t="str">
        <f aca="false">IF(A19="","",Students!F19)</f>
        <v/>
      </c>
    </row>
    <row r="20" customFormat="false" ht="15" hidden="false" customHeight="true" outlineLevel="0" collapsed="false">
      <c r="A20" s="11" t="str">
        <f aca="false">IF(Students!A20="","",Students!A20)</f>
        <v/>
      </c>
      <c r="B20" s="11" t="str">
        <f aca="false">IF(A20="","",Students!B20)</f>
        <v/>
      </c>
      <c r="C20" s="7" t="str">
        <f aca="false">IF(A20="","",Students!E20)</f>
        <v/>
      </c>
      <c r="D20" s="7" t="str">
        <f aca="false">IF(A20="","",C20+7)</f>
        <v/>
      </c>
      <c r="E20" s="7" t="str">
        <f aca="false">IF(A20="","",C20+21)</f>
        <v/>
      </c>
      <c r="F20" s="7" t="str">
        <f aca="false">IF(A20="","",C20+35)</f>
        <v/>
      </c>
      <c r="G20" s="7" t="str">
        <f aca="false">IF(A20="","",C20+49)</f>
        <v/>
      </c>
      <c r="H20" s="7" t="str">
        <f aca="false">IF(A20="","",C20+63)</f>
        <v/>
      </c>
      <c r="I20" s="7" t="str">
        <f aca="false">IF(A20="","",C20+70)</f>
        <v/>
      </c>
      <c r="J20" s="7" t="str">
        <f aca="false">IF(A20="","",Students!F20)</f>
        <v/>
      </c>
    </row>
    <row r="21" customFormat="false" ht="15" hidden="false" customHeight="true" outlineLevel="0" collapsed="false">
      <c r="A21" s="11" t="str">
        <f aca="false">IF(Students!A21="","",Students!A21)</f>
        <v/>
      </c>
      <c r="B21" s="11" t="str">
        <f aca="false">IF(A21="","",Students!B21)</f>
        <v/>
      </c>
      <c r="C21" s="7" t="str">
        <f aca="false">IF(A21="","",Students!E21)</f>
        <v/>
      </c>
      <c r="D21" s="7" t="str">
        <f aca="false">IF(A21="","",C21+7)</f>
        <v/>
      </c>
      <c r="E21" s="7" t="str">
        <f aca="false">IF(A21="","",C21+21)</f>
        <v/>
      </c>
      <c r="F21" s="7" t="str">
        <f aca="false">IF(A21="","",C21+35)</f>
        <v/>
      </c>
      <c r="G21" s="7" t="str">
        <f aca="false">IF(A21="","",C21+49)</f>
        <v/>
      </c>
      <c r="H21" s="7" t="str">
        <f aca="false">IF(A21="","",C21+63)</f>
        <v/>
      </c>
      <c r="I21" s="7" t="str">
        <f aca="false">IF(A21="","",C21+70)</f>
        <v/>
      </c>
      <c r="J21" s="7" t="str">
        <f aca="false">IF(A21="","",Students!F21)</f>
        <v/>
      </c>
    </row>
    <row r="22" customFormat="false" ht="15" hidden="false" customHeight="true" outlineLevel="0" collapsed="false">
      <c r="A22" s="11" t="str">
        <f aca="false">IF(Students!A22="","",Students!A22)</f>
        <v/>
      </c>
      <c r="B22" s="11" t="str">
        <f aca="false">IF(A22="","",Students!B22)</f>
        <v/>
      </c>
      <c r="C22" s="7" t="str">
        <f aca="false">IF(A22="","",Students!E22)</f>
        <v/>
      </c>
      <c r="D22" s="7" t="str">
        <f aca="false">IF(A22="","",C22+7)</f>
        <v/>
      </c>
      <c r="E22" s="7" t="str">
        <f aca="false">IF(A22="","",C22+21)</f>
        <v/>
      </c>
      <c r="F22" s="7" t="str">
        <f aca="false">IF(A22="","",C22+35)</f>
        <v/>
      </c>
      <c r="G22" s="7" t="str">
        <f aca="false">IF(A22="","",C22+49)</f>
        <v/>
      </c>
      <c r="H22" s="7" t="str">
        <f aca="false">IF(A22="","",C22+63)</f>
        <v/>
      </c>
      <c r="I22" s="7" t="str">
        <f aca="false">IF(A22="","",C22+70)</f>
        <v/>
      </c>
      <c r="J22" s="7" t="str">
        <f aca="false">IF(A22="","",Students!F22)</f>
        <v/>
      </c>
    </row>
    <row r="23" customFormat="false" ht="15" hidden="false" customHeight="true" outlineLevel="0" collapsed="false">
      <c r="A23" s="11" t="str">
        <f aca="false">IF(Students!A23="","",Students!A23)</f>
        <v/>
      </c>
      <c r="B23" s="11" t="str">
        <f aca="false">IF(A23="","",Students!B23)</f>
        <v/>
      </c>
      <c r="C23" s="7" t="str">
        <f aca="false">IF(A23="","",Students!E23)</f>
        <v/>
      </c>
      <c r="D23" s="7" t="str">
        <f aca="false">IF(A23="","",C23+7)</f>
        <v/>
      </c>
      <c r="E23" s="7" t="str">
        <f aca="false">IF(A23="","",C23+21)</f>
        <v/>
      </c>
      <c r="F23" s="7" t="str">
        <f aca="false">IF(A23="","",C23+35)</f>
        <v/>
      </c>
      <c r="G23" s="7" t="str">
        <f aca="false">IF(A23="","",C23+49)</f>
        <v/>
      </c>
      <c r="H23" s="7" t="str">
        <f aca="false">IF(A23="","",C23+63)</f>
        <v/>
      </c>
      <c r="I23" s="7" t="str">
        <f aca="false">IF(A23="","",C23+70)</f>
        <v/>
      </c>
      <c r="J23" s="7" t="str">
        <f aca="false">IF(A23="","",Students!F23)</f>
        <v/>
      </c>
    </row>
    <row r="24" customFormat="false" ht="15" hidden="false" customHeight="true" outlineLevel="0" collapsed="false">
      <c r="A24" s="11" t="str">
        <f aca="false">IF(Students!A24="","",Students!A24)</f>
        <v/>
      </c>
      <c r="B24" s="11" t="str">
        <f aca="false">IF(A24="","",Students!B24)</f>
        <v/>
      </c>
      <c r="C24" s="7" t="str">
        <f aca="false">IF(A24="","",Students!E24)</f>
        <v/>
      </c>
      <c r="D24" s="7" t="str">
        <f aca="false">IF(A24="","",C24+7)</f>
        <v/>
      </c>
      <c r="E24" s="7" t="str">
        <f aca="false">IF(A24="","",C24+21)</f>
        <v/>
      </c>
      <c r="F24" s="7" t="str">
        <f aca="false">IF(A24="","",C24+35)</f>
        <v/>
      </c>
      <c r="G24" s="7" t="str">
        <f aca="false">IF(A24="","",C24+49)</f>
        <v/>
      </c>
      <c r="H24" s="7" t="str">
        <f aca="false">IF(A24="","",C24+63)</f>
        <v/>
      </c>
      <c r="I24" s="7" t="str">
        <f aca="false">IF(A24="","",C24+70)</f>
        <v/>
      </c>
      <c r="J24" s="7" t="str">
        <f aca="false">IF(A24="","",Students!F24)</f>
        <v/>
      </c>
    </row>
    <row r="25" customFormat="false" ht="15" hidden="false" customHeight="true" outlineLevel="0" collapsed="false">
      <c r="A25" s="11" t="str">
        <f aca="false">IF(Students!A25="","",Students!A25)</f>
        <v/>
      </c>
      <c r="B25" s="11" t="str">
        <f aca="false">IF(A25="","",Students!B25)</f>
        <v/>
      </c>
      <c r="C25" s="7" t="str">
        <f aca="false">IF(A25="","",Students!E25)</f>
        <v/>
      </c>
      <c r="D25" s="7" t="str">
        <f aca="false">IF(A25="","",C25+7)</f>
        <v/>
      </c>
      <c r="E25" s="7" t="str">
        <f aca="false">IF(A25="","",C25+21)</f>
        <v/>
      </c>
      <c r="F25" s="7" t="str">
        <f aca="false">IF(A25="","",C25+35)</f>
        <v/>
      </c>
      <c r="G25" s="7" t="str">
        <f aca="false">IF(A25="","",C25+49)</f>
        <v/>
      </c>
      <c r="H25" s="7" t="str">
        <f aca="false">IF(A25="","",C25+63)</f>
        <v/>
      </c>
      <c r="I25" s="7" t="str">
        <f aca="false">IF(A25="","",C25+70)</f>
        <v/>
      </c>
      <c r="J25" s="7" t="str">
        <f aca="false">IF(A25="","",Students!F25)</f>
        <v/>
      </c>
    </row>
    <row r="26" customFormat="false" ht="15" hidden="false" customHeight="true" outlineLevel="0" collapsed="false">
      <c r="A26" s="11" t="str">
        <f aca="false">IF(Students!A26="","",Students!A26)</f>
        <v/>
      </c>
      <c r="B26" s="11" t="str">
        <f aca="false">IF(A26="","",Students!B26)</f>
        <v/>
      </c>
      <c r="C26" s="7" t="str">
        <f aca="false">IF(A26="","",Students!E26)</f>
        <v/>
      </c>
      <c r="D26" s="7" t="str">
        <f aca="false">IF(A26="","",C26+7)</f>
        <v/>
      </c>
      <c r="E26" s="7" t="str">
        <f aca="false">IF(A26="","",C26+21)</f>
        <v/>
      </c>
      <c r="F26" s="7" t="str">
        <f aca="false">IF(A26="","",C26+35)</f>
        <v/>
      </c>
      <c r="G26" s="7" t="str">
        <f aca="false">IF(A26="","",C26+49)</f>
        <v/>
      </c>
      <c r="H26" s="7" t="str">
        <f aca="false">IF(A26="","",C26+63)</f>
        <v/>
      </c>
      <c r="I26" s="7" t="str">
        <f aca="false">IF(A26="","",C26+70)</f>
        <v/>
      </c>
      <c r="J26" s="7" t="str">
        <f aca="false">IF(A26="","",Students!F26)</f>
        <v/>
      </c>
    </row>
    <row r="27" customFormat="false" ht="15" hidden="false" customHeight="true" outlineLevel="0" collapsed="false">
      <c r="A27" s="11" t="str">
        <f aca="false">IF(Students!A27="","",Students!A27)</f>
        <v/>
      </c>
      <c r="B27" s="11" t="str">
        <f aca="false">IF(A27="","",Students!B27)</f>
        <v/>
      </c>
      <c r="C27" s="7" t="str">
        <f aca="false">IF(A27="","",Students!E27)</f>
        <v/>
      </c>
      <c r="D27" s="7" t="str">
        <f aca="false">IF(A27="","",C27+7)</f>
        <v/>
      </c>
      <c r="E27" s="7" t="str">
        <f aca="false">IF(A27="","",C27+21)</f>
        <v/>
      </c>
      <c r="F27" s="7" t="str">
        <f aca="false">IF(A27="","",C27+35)</f>
        <v/>
      </c>
      <c r="G27" s="7" t="str">
        <f aca="false">IF(A27="","",C27+49)</f>
        <v/>
      </c>
      <c r="H27" s="7" t="str">
        <f aca="false">IF(A27="","",C27+63)</f>
        <v/>
      </c>
      <c r="I27" s="7" t="str">
        <f aca="false">IF(A27="","",C27+70)</f>
        <v/>
      </c>
      <c r="J27" s="7" t="str">
        <f aca="false">IF(A27="","",Students!F27)</f>
        <v/>
      </c>
    </row>
    <row r="28" customFormat="false" ht="15" hidden="false" customHeight="true" outlineLevel="0" collapsed="false">
      <c r="A28" s="11" t="str">
        <f aca="false">IF(Students!A28="","",Students!A28)</f>
        <v/>
      </c>
      <c r="B28" s="11" t="str">
        <f aca="false">IF(A28="","",Students!B28)</f>
        <v/>
      </c>
      <c r="C28" s="7" t="str">
        <f aca="false">IF(A28="","",Students!E28)</f>
        <v/>
      </c>
      <c r="D28" s="7" t="str">
        <f aca="false">IF(A28="","",C28+7)</f>
        <v/>
      </c>
      <c r="E28" s="7" t="str">
        <f aca="false">IF(A28="","",C28+21)</f>
        <v/>
      </c>
      <c r="F28" s="7" t="str">
        <f aca="false">IF(A28="","",C28+35)</f>
        <v/>
      </c>
      <c r="G28" s="7" t="str">
        <f aca="false">IF(A28="","",C28+49)</f>
        <v/>
      </c>
      <c r="H28" s="7" t="str">
        <f aca="false">IF(A28="","",C28+63)</f>
        <v/>
      </c>
      <c r="I28" s="7" t="str">
        <f aca="false">IF(A28="","",C28+70)</f>
        <v/>
      </c>
      <c r="J28" s="7" t="str">
        <f aca="false">IF(A28="","",Students!F28)</f>
        <v/>
      </c>
    </row>
    <row r="29" customFormat="false" ht="15" hidden="false" customHeight="true" outlineLevel="0" collapsed="false">
      <c r="A29" s="11" t="str">
        <f aca="false">IF(Students!A29="","",Students!A29)</f>
        <v/>
      </c>
      <c r="B29" s="11" t="str">
        <f aca="false">IF(A29="","",Students!B29)</f>
        <v/>
      </c>
      <c r="C29" s="7" t="str">
        <f aca="false">IF(A29="","",Students!E29)</f>
        <v/>
      </c>
      <c r="D29" s="7" t="str">
        <f aca="false">IF(A29="","",C29+7)</f>
        <v/>
      </c>
      <c r="E29" s="7" t="str">
        <f aca="false">IF(A29="","",C29+21)</f>
        <v/>
      </c>
      <c r="F29" s="7" t="str">
        <f aca="false">IF(A29="","",C29+35)</f>
        <v/>
      </c>
      <c r="G29" s="7" t="str">
        <f aca="false">IF(A29="","",C29+49)</f>
        <v/>
      </c>
      <c r="H29" s="7" t="str">
        <f aca="false">IF(A29="","",C29+63)</f>
        <v/>
      </c>
      <c r="I29" s="7" t="str">
        <f aca="false">IF(A29="","",C29+70)</f>
        <v/>
      </c>
      <c r="J29" s="7" t="str">
        <f aca="false">IF(A29="","",Students!F29)</f>
        <v/>
      </c>
    </row>
    <row r="30" customFormat="false" ht="15" hidden="false" customHeight="true" outlineLevel="0" collapsed="false">
      <c r="A30" s="11" t="str">
        <f aca="false">IF(Students!A30="","",Students!A30)</f>
        <v/>
      </c>
      <c r="B30" s="11" t="str">
        <f aca="false">IF(A30="","",Students!B30)</f>
        <v/>
      </c>
      <c r="C30" s="7" t="str">
        <f aca="false">IF(A30="","",Students!E30)</f>
        <v/>
      </c>
      <c r="D30" s="7" t="str">
        <f aca="false">IF(A30="","",C30+7)</f>
        <v/>
      </c>
      <c r="E30" s="7" t="str">
        <f aca="false">IF(A30="","",C30+21)</f>
        <v/>
      </c>
      <c r="F30" s="7" t="str">
        <f aca="false">IF(A30="","",C30+35)</f>
        <v/>
      </c>
      <c r="G30" s="7" t="str">
        <f aca="false">IF(A30="","",C30+49)</f>
        <v/>
      </c>
      <c r="H30" s="7" t="str">
        <f aca="false">IF(A30="","",C30+63)</f>
        <v/>
      </c>
      <c r="I30" s="7" t="str">
        <f aca="false">IF(A30="","",C30+70)</f>
        <v/>
      </c>
      <c r="J30" s="7" t="str">
        <f aca="false">IF(A30="","",Students!F30)</f>
        <v/>
      </c>
    </row>
    <row r="31" customFormat="false" ht="15" hidden="false" customHeight="true" outlineLevel="0" collapsed="false">
      <c r="A31" s="11" t="str">
        <f aca="false">IF(Students!A31="","",Students!A31)</f>
        <v/>
      </c>
      <c r="B31" s="11" t="str">
        <f aca="false">IF(A31="","",Students!B31)</f>
        <v/>
      </c>
      <c r="C31" s="7" t="str">
        <f aca="false">IF(A31="","",Students!E31)</f>
        <v/>
      </c>
      <c r="D31" s="7" t="str">
        <f aca="false">IF(A31="","",C31+7)</f>
        <v/>
      </c>
      <c r="E31" s="7" t="str">
        <f aca="false">IF(A31="","",C31+21)</f>
        <v/>
      </c>
      <c r="F31" s="7" t="str">
        <f aca="false">IF(A31="","",C31+35)</f>
        <v/>
      </c>
      <c r="G31" s="7" t="str">
        <f aca="false">IF(A31="","",C31+49)</f>
        <v/>
      </c>
      <c r="H31" s="7" t="str">
        <f aca="false">IF(A31="","",C31+63)</f>
        <v/>
      </c>
      <c r="I31" s="7" t="str">
        <f aca="false">IF(A31="","",C31+70)</f>
        <v/>
      </c>
      <c r="J31" s="7" t="str">
        <f aca="false">IF(A31="","",Students!F31)</f>
        <v/>
      </c>
    </row>
    <row r="32" customFormat="false" ht="15" hidden="false" customHeight="true" outlineLevel="0" collapsed="false">
      <c r="A32" s="11" t="str">
        <f aca="false">IF(Students!A32="","",Students!A32)</f>
        <v/>
      </c>
      <c r="B32" s="11" t="str">
        <f aca="false">IF(A32="","",Students!B32)</f>
        <v/>
      </c>
      <c r="C32" s="7" t="str">
        <f aca="false">IF(A32="","",Students!E32)</f>
        <v/>
      </c>
      <c r="D32" s="7" t="str">
        <f aca="false">IF(A32="","",C32+7)</f>
        <v/>
      </c>
      <c r="E32" s="7" t="str">
        <f aca="false">IF(A32="","",C32+21)</f>
        <v/>
      </c>
      <c r="F32" s="7" t="str">
        <f aca="false">IF(A32="","",C32+35)</f>
        <v/>
      </c>
      <c r="G32" s="7" t="str">
        <f aca="false">IF(A32="","",C32+49)</f>
        <v/>
      </c>
      <c r="H32" s="7" t="str">
        <f aca="false">IF(A32="","",C32+63)</f>
        <v/>
      </c>
      <c r="I32" s="7" t="str">
        <f aca="false">IF(A32="","",C32+70)</f>
        <v/>
      </c>
      <c r="J32" s="7" t="str">
        <f aca="false">IF(A32="","",Students!F32)</f>
        <v/>
      </c>
    </row>
    <row r="33" customFormat="false" ht="15" hidden="false" customHeight="true" outlineLevel="0" collapsed="false">
      <c r="A33" s="11" t="str">
        <f aca="false">IF(Students!A33="","",Students!A33)</f>
        <v/>
      </c>
      <c r="B33" s="11" t="str">
        <f aca="false">IF(A33="","",Students!B33)</f>
        <v/>
      </c>
      <c r="C33" s="7" t="str">
        <f aca="false">IF(A33="","",Students!E33)</f>
        <v/>
      </c>
      <c r="D33" s="7" t="str">
        <f aca="false">IF(A33="","",C33+7)</f>
        <v/>
      </c>
      <c r="E33" s="7" t="str">
        <f aca="false">IF(A33="","",C33+21)</f>
        <v/>
      </c>
      <c r="F33" s="7" t="str">
        <f aca="false">IF(A33="","",C33+35)</f>
        <v/>
      </c>
      <c r="G33" s="7" t="str">
        <f aca="false">IF(A33="","",C33+49)</f>
        <v/>
      </c>
      <c r="H33" s="7" t="str">
        <f aca="false">IF(A33="","",C33+63)</f>
        <v/>
      </c>
      <c r="I33" s="7" t="str">
        <f aca="false">IF(A33="","",C33+70)</f>
        <v/>
      </c>
      <c r="J33" s="7" t="str">
        <f aca="false">IF(A33="","",Students!F33)</f>
        <v/>
      </c>
    </row>
    <row r="34" customFormat="false" ht="15" hidden="false" customHeight="true" outlineLevel="0" collapsed="false">
      <c r="A34" s="11" t="str">
        <f aca="false">IF(Students!A34="","",Students!A34)</f>
        <v/>
      </c>
      <c r="B34" s="11" t="str">
        <f aca="false">IF(A34="","",Students!B34)</f>
        <v/>
      </c>
      <c r="C34" s="7" t="str">
        <f aca="false">IF(A34="","",Students!E34)</f>
        <v/>
      </c>
      <c r="D34" s="7" t="str">
        <f aca="false">IF(A34="","",C34+7)</f>
        <v/>
      </c>
      <c r="E34" s="7" t="str">
        <f aca="false">IF(A34="","",C34+21)</f>
        <v/>
      </c>
      <c r="F34" s="7" t="str">
        <f aca="false">IF(A34="","",C34+35)</f>
        <v/>
      </c>
      <c r="G34" s="7" t="str">
        <f aca="false">IF(A34="","",C34+49)</f>
        <v/>
      </c>
      <c r="H34" s="7" t="str">
        <f aca="false">IF(A34="","",C34+63)</f>
        <v/>
      </c>
      <c r="I34" s="7" t="str">
        <f aca="false">IF(A34="","",C34+70)</f>
        <v/>
      </c>
      <c r="J34" s="7" t="str">
        <f aca="false">IF(A34="","",Students!F34)</f>
        <v/>
      </c>
    </row>
    <row r="35" customFormat="false" ht="15" hidden="false" customHeight="true" outlineLevel="0" collapsed="false">
      <c r="A35" s="11" t="str">
        <f aca="false">IF(Students!A35="","",Students!A35)</f>
        <v/>
      </c>
      <c r="B35" s="11" t="str">
        <f aca="false">IF(A35="","",Students!B35)</f>
        <v/>
      </c>
      <c r="C35" s="7" t="str">
        <f aca="false">IF(A35="","",Students!E35)</f>
        <v/>
      </c>
      <c r="D35" s="7" t="str">
        <f aca="false">IF(A35="","",C35+7)</f>
        <v/>
      </c>
      <c r="E35" s="7" t="str">
        <f aca="false">IF(A35="","",C35+21)</f>
        <v/>
      </c>
      <c r="F35" s="7" t="str">
        <f aca="false">IF(A35="","",C35+35)</f>
        <v/>
      </c>
      <c r="G35" s="7" t="str">
        <f aca="false">IF(A35="","",C35+49)</f>
        <v/>
      </c>
      <c r="H35" s="7" t="str">
        <f aca="false">IF(A35="","",C35+63)</f>
        <v/>
      </c>
      <c r="I35" s="7" t="str">
        <f aca="false">IF(A35="","",C35+70)</f>
        <v/>
      </c>
      <c r="J35" s="7" t="str">
        <f aca="false">IF(A35="","",Students!F35)</f>
        <v/>
      </c>
    </row>
    <row r="36" customFormat="false" ht="15" hidden="false" customHeight="true" outlineLevel="0" collapsed="false">
      <c r="A36" s="11" t="str">
        <f aca="false">IF(Students!A36="","",Students!A36)</f>
        <v/>
      </c>
      <c r="B36" s="11" t="str">
        <f aca="false">IF(A36="","",Students!B36)</f>
        <v/>
      </c>
      <c r="C36" s="7" t="str">
        <f aca="false">IF(A36="","",Students!E36)</f>
        <v/>
      </c>
      <c r="D36" s="7" t="str">
        <f aca="false">IF(A36="","",C36+7)</f>
        <v/>
      </c>
      <c r="E36" s="7" t="str">
        <f aca="false">IF(A36="","",C36+21)</f>
        <v/>
      </c>
      <c r="F36" s="7" t="str">
        <f aca="false">IF(A36="","",C36+35)</f>
        <v/>
      </c>
      <c r="G36" s="7" t="str">
        <f aca="false">IF(A36="","",C36+49)</f>
        <v/>
      </c>
      <c r="H36" s="7" t="str">
        <f aca="false">IF(A36="","",C36+63)</f>
        <v/>
      </c>
      <c r="I36" s="7" t="str">
        <f aca="false">IF(A36="","",C36+70)</f>
        <v/>
      </c>
      <c r="J36" s="7" t="str">
        <f aca="false">IF(A36="","",Students!F36)</f>
        <v/>
      </c>
    </row>
    <row r="37" customFormat="false" ht="15" hidden="false" customHeight="true" outlineLevel="0" collapsed="false">
      <c r="A37" s="11" t="str">
        <f aca="false">IF(Students!A37="","",Students!A37)</f>
        <v/>
      </c>
      <c r="B37" s="11" t="str">
        <f aca="false">IF(A37="","",Students!B37)</f>
        <v/>
      </c>
      <c r="C37" s="7" t="str">
        <f aca="false">IF(A37="","",Students!E37)</f>
        <v/>
      </c>
      <c r="D37" s="7" t="str">
        <f aca="false">IF(A37="","",C37+7)</f>
        <v/>
      </c>
      <c r="E37" s="7" t="str">
        <f aca="false">IF(A37="","",C37+21)</f>
        <v/>
      </c>
      <c r="F37" s="7" t="str">
        <f aca="false">IF(A37="","",C37+35)</f>
        <v/>
      </c>
      <c r="G37" s="7" t="str">
        <f aca="false">IF(A37="","",C37+49)</f>
        <v/>
      </c>
      <c r="H37" s="7" t="str">
        <f aca="false">IF(A37="","",C37+63)</f>
        <v/>
      </c>
      <c r="I37" s="7" t="str">
        <f aca="false">IF(A37="","",C37+70)</f>
        <v/>
      </c>
      <c r="J37" s="7" t="str">
        <f aca="false">IF(A37="","",Students!F37)</f>
        <v/>
      </c>
    </row>
    <row r="38" customFormat="false" ht="15" hidden="false" customHeight="true" outlineLevel="0" collapsed="false">
      <c r="A38" s="11" t="str">
        <f aca="false">IF(Students!A38="","",Students!A38)</f>
        <v/>
      </c>
      <c r="B38" s="11" t="str">
        <f aca="false">IF(A38="","",Students!B38)</f>
        <v/>
      </c>
      <c r="C38" s="7" t="str">
        <f aca="false">IF(A38="","",Students!E38)</f>
        <v/>
      </c>
      <c r="D38" s="7" t="str">
        <f aca="false">IF(A38="","",C38+7)</f>
        <v/>
      </c>
      <c r="E38" s="7" t="str">
        <f aca="false">IF(A38="","",C38+21)</f>
        <v/>
      </c>
      <c r="F38" s="7" t="str">
        <f aca="false">IF(A38="","",C38+35)</f>
        <v/>
      </c>
      <c r="G38" s="7" t="str">
        <f aca="false">IF(A38="","",C38+49)</f>
        <v/>
      </c>
      <c r="H38" s="7" t="str">
        <f aca="false">IF(A38="","",C38+63)</f>
        <v/>
      </c>
      <c r="I38" s="7" t="str">
        <f aca="false">IF(A38="","",C38+70)</f>
        <v/>
      </c>
      <c r="J38" s="7" t="str">
        <f aca="false">IF(A38="","",Students!F38)</f>
        <v/>
      </c>
    </row>
    <row r="39" customFormat="false" ht="15" hidden="false" customHeight="true" outlineLevel="0" collapsed="false">
      <c r="A39" s="11" t="str">
        <f aca="false">IF(Students!A39="","",Students!A39)</f>
        <v/>
      </c>
      <c r="B39" s="11" t="str">
        <f aca="false">IF(A39="","",Students!B39)</f>
        <v/>
      </c>
      <c r="C39" s="7" t="str">
        <f aca="false">IF(A39="","",Students!E39)</f>
        <v/>
      </c>
      <c r="D39" s="7" t="str">
        <f aca="false">IF(A39="","",C39+7)</f>
        <v/>
      </c>
      <c r="E39" s="7" t="str">
        <f aca="false">IF(A39="","",C39+21)</f>
        <v/>
      </c>
      <c r="F39" s="7" t="str">
        <f aca="false">IF(A39="","",C39+35)</f>
        <v/>
      </c>
      <c r="G39" s="7" t="str">
        <f aca="false">IF(A39="","",C39+49)</f>
        <v/>
      </c>
      <c r="H39" s="7" t="str">
        <f aca="false">IF(A39="","",C39+63)</f>
        <v/>
      </c>
      <c r="I39" s="7" t="str">
        <f aca="false">IF(A39="","",C39+70)</f>
        <v/>
      </c>
      <c r="J39" s="7" t="str">
        <f aca="false">IF(A39="","",Students!F39)</f>
        <v/>
      </c>
    </row>
    <row r="40" customFormat="false" ht="15" hidden="false" customHeight="true" outlineLevel="0" collapsed="false">
      <c r="A40" s="11" t="str">
        <f aca="false">IF(Students!A40="","",Students!A40)</f>
        <v/>
      </c>
      <c r="B40" s="11" t="str">
        <f aca="false">IF(A40="","",Students!B40)</f>
        <v/>
      </c>
      <c r="C40" s="7" t="str">
        <f aca="false">IF(A40="","",Students!E40)</f>
        <v/>
      </c>
      <c r="D40" s="7" t="str">
        <f aca="false">IF(A40="","",C40+7)</f>
        <v/>
      </c>
      <c r="E40" s="7" t="str">
        <f aca="false">IF(A40="","",C40+21)</f>
        <v/>
      </c>
      <c r="F40" s="7" t="str">
        <f aca="false">IF(A40="","",C40+35)</f>
        <v/>
      </c>
      <c r="G40" s="7" t="str">
        <f aca="false">IF(A40="","",C40+49)</f>
        <v/>
      </c>
      <c r="H40" s="7" t="str">
        <f aca="false">IF(A40="","",C40+63)</f>
        <v/>
      </c>
      <c r="I40" s="7" t="str">
        <f aca="false">IF(A40="","",C40+70)</f>
        <v/>
      </c>
      <c r="J40" s="7" t="str">
        <f aca="false">IF(A40="","",Students!F40)</f>
        <v/>
      </c>
    </row>
    <row r="41" customFormat="false" ht="15" hidden="false" customHeight="true" outlineLevel="0" collapsed="false">
      <c r="A41" s="11" t="str">
        <f aca="false">IF(Students!A41="","",Students!A41)</f>
        <v/>
      </c>
      <c r="B41" s="11" t="str">
        <f aca="false">IF(A41="","",Students!B41)</f>
        <v/>
      </c>
      <c r="C41" s="7" t="str">
        <f aca="false">IF(A41="","",Students!E41)</f>
        <v/>
      </c>
      <c r="D41" s="7" t="str">
        <f aca="false">IF(A41="","",C41+7)</f>
        <v/>
      </c>
      <c r="E41" s="7" t="str">
        <f aca="false">IF(A41="","",C41+21)</f>
        <v/>
      </c>
      <c r="F41" s="7" t="str">
        <f aca="false">IF(A41="","",C41+35)</f>
        <v/>
      </c>
      <c r="G41" s="7" t="str">
        <f aca="false">IF(A41="","",C41+49)</f>
        <v/>
      </c>
      <c r="H41" s="7" t="str">
        <f aca="false">IF(A41="","",C41+63)</f>
        <v/>
      </c>
      <c r="I41" s="7" t="str">
        <f aca="false">IF(A41="","",C41+70)</f>
        <v/>
      </c>
      <c r="J41" s="7" t="str">
        <f aca="false">IF(A41="","",Students!F41)</f>
        <v/>
      </c>
    </row>
    <row r="42" customFormat="false" ht="15" hidden="false" customHeight="true" outlineLevel="0" collapsed="false">
      <c r="A42" s="11" t="str">
        <f aca="false">IF(Students!A42="","",Students!A42)</f>
        <v/>
      </c>
      <c r="B42" s="11" t="str">
        <f aca="false">IF(A42="","",Students!B42)</f>
        <v/>
      </c>
      <c r="C42" s="7" t="str">
        <f aca="false">IF(A42="","",Students!E42)</f>
        <v/>
      </c>
      <c r="D42" s="7" t="str">
        <f aca="false">IF(A42="","",C42+7)</f>
        <v/>
      </c>
      <c r="E42" s="7" t="str">
        <f aca="false">IF(A42="","",C42+21)</f>
        <v/>
      </c>
      <c r="F42" s="7" t="str">
        <f aca="false">IF(A42="","",C42+35)</f>
        <v/>
      </c>
      <c r="G42" s="7" t="str">
        <f aca="false">IF(A42="","",C42+49)</f>
        <v/>
      </c>
      <c r="H42" s="7" t="str">
        <f aca="false">IF(A42="","",C42+63)</f>
        <v/>
      </c>
      <c r="I42" s="7" t="str">
        <f aca="false">IF(A42="","",C42+70)</f>
        <v/>
      </c>
      <c r="J42" s="7" t="str">
        <f aca="false">IF(A42="","",Students!F42)</f>
        <v/>
      </c>
    </row>
    <row r="43" customFormat="false" ht="15" hidden="false" customHeight="true" outlineLevel="0" collapsed="false">
      <c r="A43" s="11" t="str">
        <f aca="false">IF(Students!A43="","",Students!A43)</f>
        <v/>
      </c>
      <c r="B43" s="11" t="str">
        <f aca="false">IF(A43="","",Students!B43)</f>
        <v/>
      </c>
      <c r="C43" s="7" t="str">
        <f aca="false">IF(A43="","",Students!E43)</f>
        <v/>
      </c>
      <c r="D43" s="7" t="str">
        <f aca="false">IF(A43="","",C43+7)</f>
        <v/>
      </c>
      <c r="E43" s="7" t="str">
        <f aca="false">IF(A43="","",C43+21)</f>
        <v/>
      </c>
      <c r="F43" s="7" t="str">
        <f aca="false">IF(A43="","",C43+35)</f>
        <v/>
      </c>
      <c r="G43" s="7" t="str">
        <f aca="false">IF(A43="","",C43+49)</f>
        <v/>
      </c>
      <c r="H43" s="7" t="str">
        <f aca="false">IF(A43="","",C43+63)</f>
        <v/>
      </c>
      <c r="I43" s="7" t="str">
        <f aca="false">IF(A43="","",C43+70)</f>
        <v/>
      </c>
      <c r="J43" s="7" t="str">
        <f aca="false">IF(A43="","",Students!F43)</f>
        <v/>
      </c>
    </row>
    <row r="44" customFormat="false" ht="15" hidden="false" customHeight="true" outlineLevel="0" collapsed="false">
      <c r="A44" s="11" t="str">
        <f aca="false">IF(Students!A44="","",Students!A44)</f>
        <v/>
      </c>
      <c r="B44" s="11" t="str">
        <f aca="false">IF(A44="","",Students!B44)</f>
        <v/>
      </c>
      <c r="C44" s="7" t="str">
        <f aca="false">IF(A44="","",Students!E44)</f>
        <v/>
      </c>
      <c r="D44" s="7" t="str">
        <f aca="false">IF(A44="","",C44+7)</f>
        <v/>
      </c>
      <c r="E44" s="7" t="str">
        <f aca="false">IF(A44="","",C44+21)</f>
        <v/>
      </c>
      <c r="F44" s="7" t="str">
        <f aca="false">IF(A44="","",C44+35)</f>
        <v/>
      </c>
      <c r="G44" s="7" t="str">
        <f aca="false">IF(A44="","",C44+49)</f>
        <v/>
      </c>
      <c r="H44" s="7" t="str">
        <f aca="false">IF(A44="","",C44+63)</f>
        <v/>
      </c>
      <c r="I44" s="7" t="str">
        <f aca="false">IF(A44="","",C44+70)</f>
        <v/>
      </c>
      <c r="J44" s="7" t="str">
        <f aca="false">IF(A44="","",Students!F44)</f>
        <v/>
      </c>
    </row>
    <row r="45" customFormat="false" ht="15" hidden="false" customHeight="true" outlineLevel="0" collapsed="false">
      <c r="A45" s="11" t="str">
        <f aca="false">IF(Students!A45="","",Students!A45)</f>
        <v/>
      </c>
      <c r="B45" s="11" t="str">
        <f aca="false">IF(A45="","",Students!B45)</f>
        <v/>
      </c>
      <c r="C45" s="7" t="str">
        <f aca="false">IF(A45="","",Students!E45)</f>
        <v/>
      </c>
      <c r="D45" s="7" t="str">
        <f aca="false">IF(A45="","",C45+7)</f>
        <v/>
      </c>
      <c r="E45" s="7" t="str">
        <f aca="false">IF(A45="","",C45+21)</f>
        <v/>
      </c>
      <c r="F45" s="7" t="str">
        <f aca="false">IF(A45="","",C45+35)</f>
        <v/>
      </c>
      <c r="G45" s="7" t="str">
        <f aca="false">IF(A45="","",C45+49)</f>
        <v/>
      </c>
      <c r="H45" s="7" t="str">
        <f aca="false">IF(A45="","",C45+63)</f>
        <v/>
      </c>
      <c r="I45" s="7" t="str">
        <f aca="false">IF(A45="","",C45+70)</f>
        <v/>
      </c>
      <c r="J45" s="7" t="str">
        <f aca="false">IF(A45="","",Students!F45)</f>
        <v/>
      </c>
    </row>
    <row r="46" customFormat="false" ht="15" hidden="false" customHeight="true" outlineLevel="0" collapsed="false">
      <c r="A46" s="11" t="str">
        <f aca="false">IF(Students!A46="","",Students!A46)</f>
        <v/>
      </c>
      <c r="B46" s="11" t="str">
        <f aca="false">IF(A46="","",Students!B46)</f>
        <v/>
      </c>
      <c r="C46" s="7" t="str">
        <f aca="false">IF(A46="","",Students!E46)</f>
        <v/>
      </c>
      <c r="D46" s="7" t="str">
        <f aca="false">IF(A46="","",C46+7)</f>
        <v/>
      </c>
      <c r="E46" s="7" t="str">
        <f aca="false">IF(A46="","",C46+21)</f>
        <v/>
      </c>
      <c r="F46" s="7" t="str">
        <f aca="false">IF(A46="","",C46+35)</f>
        <v/>
      </c>
      <c r="G46" s="7" t="str">
        <f aca="false">IF(A46="","",C46+49)</f>
        <v/>
      </c>
      <c r="H46" s="7" t="str">
        <f aca="false">IF(A46="","",C46+63)</f>
        <v/>
      </c>
      <c r="I46" s="7" t="str">
        <f aca="false">IF(A46="","",C46+70)</f>
        <v/>
      </c>
      <c r="J46" s="7" t="str">
        <f aca="false">IF(A46="","",Students!F46)</f>
        <v/>
      </c>
    </row>
    <row r="47" customFormat="false" ht="15" hidden="false" customHeight="true" outlineLevel="0" collapsed="false">
      <c r="A47" s="11" t="str">
        <f aca="false">IF(Students!A47="","",Students!A47)</f>
        <v/>
      </c>
      <c r="B47" s="11" t="str">
        <f aca="false">IF(A47="","",Students!B47)</f>
        <v/>
      </c>
      <c r="C47" s="7" t="str">
        <f aca="false">IF(A47="","",Students!E47)</f>
        <v/>
      </c>
      <c r="D47" s="7" t="str">
        <f aca="false">IF(A47="","",C47+7)</f>
        <v/>
      </c>
      <c r="E47" s="7" t="str">
        <f aca="false">IF(A47="","",C47+21)</f>
        <v/>
      </c>
      <c r="F47" s="7" t="str">
        <f aca="false">IF(A47="","",C47+35)</f>
        <v/>
      </c>
      <c r="G47" s="7" t="str">
        <f aca="false">IF(A47="","",C47+49)</f>
        <v/>
      </c>
      <c r="H47" s="7" t="str">
        <f aca="false">IF(A47="","",C47+63)</f>
        <v/>
      </c>
      <c r="I47" s="7" t="str">
        <f aca="false">IF(A47="","",C47+70)</f>
        <v/>
      </c>
      <c r="J47" s="7" t="str">
        <f aca="false">IF(A47="","",Students!F47)</f>
        <v/>
      </c>
    </row>
    <row r="48" customFormat="false" ht="15" hidden="false" customHeight="true" outlineLevel="0" collapsed="false">
      <c r="A48" s="11" t="str">
        <f aca="false">IF(Students!A48="","",Students!A48)</f>
        <v/>
      </c>
      <c r="B48" s="11" t="str">
        <f aca="false">IF(A48="","",Students!B48)</f>
        <v/>
      </c>
      <c r="C48" s="7" t="str">
        <f aca="false">IF(A48="","",Students!E48)</f>
        <v/>
      </c>
      <c r="D48" s="7" t="str">
        <f aca="false">IF(A48="","",C48+7)</f>
        <v/>
      </c>
      <c r="E48" s="7" t="str">
        <f aca="false">IF(A48="","",C48+21)</f>
        <v/>
      </c>
      <c r="F48" s="7" t="str">
        <f aca="false">IF(A48="","",C48+35)</f>
        <v/>
      </c>
      <c r="G48" s="7" t="str">
        <f aca="false">IF(A48="","",C48+49)</f>
        <v/>
      </c>
      <c r="H48" s="7" t="str">
        <f aca="false">IF(A48="","",C48+63)</f>
        <v/>
      </c>
      <c r="I48" s="7" t="str">
        <f aca="false">IF(A48="","",C48+70)</f>
        <v/>
      </c>
      <c r="J48" s="7" t="str">
        <f aca="false">IF(A48="","",Students!F48)</f>
        <v/>
      </c>
    </row>
    <row r="49" customFormat="false" ht="15" hidden="false" customHeight="true" outlineLevel="0" collapsed="false">
      <c r="A49" s="11" t="str">
        <f aca="false">IF(Students!A49="","",Students!A49)</f>
        <v/>
      </c>
      <c r="B49" s="11" t="str">
        <f aca="false">IF(A49="","",Students!B49)</f>
        <v/>
      </c>
      <c r="C49" s="7" t="str">
        <f aca="false">IF(A49="","",Students!E49)</f>
        <v/>
      </c>
      <c r="D49" s="7" t="str">
        <f aca="false">IF(A49="","",C49+7)</f>
        <v/>
      </c>
      <c r="E49" s="7" t="str">
        <f aca="false">IF(A49="","",C49+21)</f>
        <v/>
      </c>
      <c r="F49" s="7" t="str">
        <f aca="false">IF(A49="","",C49+35)</f>
        <v/>
      </c>
      <c r="G49" s="7" t="str">
        <f aca="false">IF(A49="","",C49+49)</f>
        <v/>
      </c>
      <c r="H49" s="7" t="str">
        <f aca="false">IF(A49="","",C49+63)</f>
        <v/>
      </c>
      <c r="I49" s="7" t="str">
        <f aca="false">IF(A49="","",C49+70)</f>
        <v/>
      </c>
      <c r="J49" s="7" t="str">
        <f aca="false">IF(A49="","",Students!F49)</f>
        <v/>
      </c>
    </row>
    <row r="50" customFormat="false" ht="15" hidden="false" customHeight="true" outlineLevel="0" collapsed="false">
      <c r="A50" s="11" t="str">
        <f aca="false">IF(Students!A50="","",Students!A50)</f>
        <v/>
      </c>
      <c r="B50" s="11" t="str">
        <f aca="false">IF(A50="","",Students!B50)</f>
        <v/>
      </c>
      <c r="C50" s="7" t="str">
        <f aca="false">IF(A50="","",Students!E50)</f>
        <v/>
      </c>
      <c r="D50" s="7" t="str">
        <f aca="false">IF(A50="","",C50+7)</f>
        <v/>
      </c>
      <c r="E50" s="7" t="str">
        <f aca="false">IF(A50="","",C50+21)</f>
        <v/>
      </c>
      <c r="F50" s="7" t="str">
        <f aca="false">IF(A50="","",C50+35)</f>
        <v/>
      </c>
      <c r="G50" s="7" t="str">
        <f aca="false">IF(A50="","",C50+49)</f>
        <v/>
      </c>
      <c r="H50" s="7" t="str">
        <f aca="false">IF(A50="","",C50+63)</f>
        <v/>
      </c>
      <c r="I50" s="7" t="str">
        <f aca="false">IF(A50="","",C50+70)</f>
        <v/>
      </c>
      <c r="J50" s="7" t="str">
        <f aca="false">IF(A50="","",Students!F50)</f>
        <v/>
      </c>
    </row>
    <row r="51" customFormat="false" ht="15" hidden="false" customHeight="true" outlineLevel="0" collapsed="false">
      <c r="A51" s="11" t="str">
        <f aca="false">IF(Students!A51="","",Students!A51)</f>
        <v/>
      </c>
      <c r="B51" s="11" t="str">
        <f aca="false">IF(A51="","",Students!B51)</f>
        <v/>
      </c>
      <c r="C51" s="7" t="str">
        <f aca="false">IF(A51="","",Students!E51)</f>
        <v/>
      </c>
      <c r="D51" s="7" t="str">
        <f aca="false">IF(A51="","",C51+7)</f>
        <v/>
      </c>
      <c r="E51" s="7" t="str">
        <f aca="false">IF(A51="","",C51+21)</f>
        <v/>
      </c>
      <c r="F51" s="7" t="str">
        <f aca="false">IF(A51="","",C51+35)</f>
        <v/>
      </c>
      <c r="G51" s="7" t="str">
        <f aca="false">IF(A51="","",C51+49)</f>
        <v/>
      </c>
      <c r="H51" s="7" t="str">
        <f aca="false">IF(A51="","",C51+63)</f>
        <v/>
      </c>
      <c r="I51" s="7" t="str">
        <f aca="false">IF(A51="","",C51+70)</f>
        <v/>
      </c>
      <c r="J51" s="7" t="str">
        <f aca="false">IF(A51="","",Students!F51)</f>
        <v/>
      </c>
    </row>
    <row r="52" customFormat="false" ht="15" hidden="false" customHeight="true" outlineLevel="0" collapsed="false">
      <c r="A52" s="11" t="str">
        <f aca="false">IF(Students!A52="","",Students!A52)</f>
        <v/>
      </c>
      <c r="B52" s="11" t="str">
        <f aca="false">IF(A52="","",Students!B52)</f>
        <v/>
      </c>
      <c r="C52" s="7" t="str">
        <f aca="false">IF(A52="","",Students!E52)</f>
        <v/>
      </c>
      <c r="D52" s="7" t="str">
        <f aca="false">IF(A52="","",C52+7)</f>
        <v/>
      </c>
      <c r="E52" s="7" t="str">
        <f aca="false">IF(A52="","",C52+21)</f>
        <v/>
      </c>
      <c r="F52" s="7" t="str">
        <f aca="false">IF(A52="","",C52+35)</f>
        <v/>
      </c>
      <c r="G52" s="7" t="str">
        <f aca="false">IF(A52="","",C52+49)</f>
        <v/>
      </c>
      <c r="H52" s="7" t="str">
        <f aca="false">IF(A52="","",C52+63)</f>
        <v/>
      </c>
      <c r="I52" s="7" t="str">
        <f aca="false">IF(A52="","",C52+70)</f>
        <v/>
      </c>
      <c r="J52" s="7" t="str">
        <f aca="false">IF(A52="","",Students!F52)</f>
        <v/>
      </c>
    </row>
    <row r="53" customFormat="false" ht="15" hidden="false" customHeight="true" outlineLevel="0" collapsed="false">
      <c r="A53" s="11" t="str">
        <f aca="false">IF(Students!A53="","",Students!A53)</f>
        <v/>
      </c>
      <c r="B53" s="11" t="str">
        <f aca="false">IF(A53="","",Students!B53)</f>
        <v/>
      </c>
      <c r="C53" s="7" t="str">
        <f aca="false">IF(A53="","",Students!E53)</f>
        <v/>
      </c>
      <c r="D53" s="7" t="str">
        <f aca="false">IF(A53="","",C53+7)</f>
        <v/>
      </c>
      <c r="E53" s="7" t="str">
        <f aca="false">IF(A53="","",C53+21)</f>
        <v/>
      </c>
      <c r="F53" s="7" t="str">
        <f aca="false">IF(A53="","",C53+35)</f>
        <v/>
      </c>
      <c r="G53" s="7" t="str">
        <f aca="false">IF(A53="","",C53+49)</f>
        <v/>
      </c>
      <c r="H53" s="7" t="str">
        <f aca="false">IF(A53="","",C53+63)</f>
        <v/>
      </c>
      <c r="I53" s="7" t="str">
        <f aca="false">IF(A53="","",C53+70)</f>
        <v/>
      </c>
      <c r="J53" s="7" t="str">
        <f aca="false">IF(A53="","",Students!F53)</f>
        <v/>
      </c>
    </row>
    <row r="54" customFormat="false" ht="15" hidden="false" customHeight="true" outlineLevel="0" collapsed="false">
      <c r="A54" s="11" t="str">
        <f aca="false">IF(Students!A54="","",Students!A54)</f>
        <v/>
      </c>
      <c r="B54" s="11" t="str">
        <f aca="false">IF(A54="","",Students!B54)</f>
        <v/>
      </c>
      <c r="C54" s="7" t="str">
        <f aca="false">IF(A54="","",Students!E54)</f>
        <v/>
      </c>
      <c r="D54" s="7" t="str">
        <f aca="false">IF(A54="","",C54+7)</f>
        <v/>
      </c>
      <c r="E54" s="7" t="str">
        <f aca="false">IF(A54="","",C54+21)</f>
        <v/>
      </c>
      <c r="F54" s="7" t="str">
        <f aca="false">IF(A54="","",C54+35)</f>
        <v/>
      </c>
      <c r="G54" s="7" t="str">
        <f aca="false">IF(A54="","",C54+49)</f>
        <v/>
      </c>
      <c r="H54" s="7" t="str">
        <f aca="false">IF(A54="","",C54+63)</f>
        <v/>
      </c>
      <c r="I54" s="7" t="str">
        <f aca="false">IF(A54="","",C54+70)</f>
        <v/>
      </c>
      <c r="J54" s="7" t="str">
        <f aca="false">IF(A54="","",Students!F54)</f>
        <v/>
      </c>
    </row>
    <row r="55" customFormat="false" ht="15" hidden="false" customHeight="true" outlineLevel="0" collapsed="false">
      <c r="A55" s="11" t="str">
        <f aca="false">IF(Students!A55="","",Students!A55)</f>
        <v/>
      </c>
      <c r="B55" s="11" t="str">
        <f aca="false">IF(A55="","",Students!B55)</f>
        <v/>
      </c>
      <c r="C55" s="7" t="str">
        <f aca="false">IF(A55="","",Students!E55)</f>
        <v/>
      </c>
      <c r="D55" s="7" t="str">
        <f aca="false">IF(A55="","",C55+7)</f>
        <v/>
      </c>
      <c r="E55" s="7" t="str">
        <f aca="false">IF(A55="","",C55+21)</f>
        <v/>
      </c>
      <c r="F55" s="7" t="str">
        <f aca="false">IF(A55="","",C55+35)</f>
        <v/>
      </c>
      <c r="G55" s="7" t="str">
        <f aca="false">IF(A55="","",C55+49)</f>
        <v/>
      </c>
      <c r="H55" s="7" t="str">
        <f aca="false">IF(A55="","",C55+63)</f>
        <v/>
      </c>
      <c r="I55" s="7" t="str">
        <f aca="false">IF(A55="","",C55+70)</f>
        <v/>
      </c>
      <c r="J55" s="7" t="str">
        <f aca="false">IF(A55="","",Students!F55)</f>
        <v/>
      </c>
    </row>
    <row r="56" customFormat="false" ht="15" hidden="false" customHeight="true" outlineLevel="0" collapsed="false">
      <c r="A56" s="11" t="str">
        <f aca="false">IF(Students!A56="","",Students!A56)</f>
        <v/>
      </c>
      <c r="B56" s="11" t="str">
        <f aca="false">IF(A56="","",Students!B56)</f>
        <v/>
      </c>
      <c r="C56" s="7" t="str">
        <f aca="false">IF(A56="","",Students!E56)</f>
        <v/>
      </c>
      <c r="D56" s="7" t="str">
        <f aca="false">IF(A56="","",C56+7)</f>
        <v/>
      </c>
      <c r="E56" s="7" t="str">
        <f aca="false">IF(A56="","",C56+21)</f>
        <v/>
      </c>
      <c r="F56" s="7" t="str">
        <f aca="false">IF(A56="","",C56+35)</f>
        <v/>
      </c>
      <c r="G56" s="7" t="str">
        <f aca="false">IF(A56="","",C56+49)</f>
        <v/>
      </c>
      <c r="H56" s="7" t="str">
        <f aca="false">IF(A56="","",C56+63)</f>
        <v/>
      </c>
      <c r="I56" s="7" t="str">
        <f aca="false">IF(A56="","",C56+70)</f>
        <v/>
      </c>
      <c r="J56" s="7" t="str">
        <f aca="false">IF(A56="","",Students!F56)</f>
        <v/>
      </c>
    </row>
    <row r="57" customFormat="false" ht="15" hidden="false" customHeight="true" outlineLevel="0" collapsed="false">
      <c r="A57" s="11" t="str">
        <f aca="false">IF(Students!A57="","",Students!A57)</f>
        <v/>
      </c>
      <c r="B57" s="11" t="str">
        <f aca="false">IF(A57="","",Students!B57)</f>
        <v/>
      </c>
      <c r="C57" s="7" t="str">
        <f aca="false">IF(A57="","",Students!E57)</f>
        <v/>
      </c>
      <c r="D57" s="7" t="str">
        <f aca="false">IF(A57="","",C57+7)</f>
        <v/>
      </c>
      <c r="E57" s="7" t="str">
        <f aca="false">IF(A57="","",C57+21)</f>
        <v/>
      </c>
      <c r="F57" s="7" t="str">
        <f aca="false">IF(A57="","",C57+35)</f>
        <v/>
      </c>
      <c r="G57" s="7" t="str">
        <f aca="false">IF(A57="","",C57+49)</f>
        <v/>
      </c>
      <c r="H57" s="7" t="str">
        <f aca="false">IF(A57="","",C57+63)</f>
        <v/>
      </c>
      <c r="I57" s="7" t="str">
        <f aca="false">IF(A57="","",C57+70)</f>
        <v/>
      </c>
      <c r="J57" s="7" t="str">
        <f aca="false">IF(A57="","",Students!F57)</f>
        <v/>
      </c>
    </row>
    <row r="58" customFormat="false" ht="15" hidden="false" customHeight="true" outlineLevel="0" collapsed="false">
      <c r="A58" s="11" t="str">
        <f aca="false">IF(Students!A58="","",Students!A58)</f>
        <v/>
      </c>
      <c r="B58" s="11" t="str">
        <f aca="false">IF(A58="","",Students!B58)</f>
        <v/>
      </c>
      <c r="C58" s="7" t="str">
        <f aca="false">IF(A58="","",Students!E58)</f>
        <v/>
      </c>
      <c r="D58" s="7" t="str">
        <f aca="false">IF(A58="","",C58+7)</f>
        <v/>
      </c>
      <c r="E58" s="7" t="str">
        <f aca="false">IF(A58="","",C58+21)</f>
        <v/>
      </c>
      <c r="F58" s="7" t="str">
        <f aca="false">IF(A58="","",C58+35)</f>
        <v/>
      </c>
      <c r="G58" s="7" t="str">
        <f aca="false">IF(A58="","",C58+49)</f>
        <v/>
      </c>
      <c r="H58" s="7" t="str">
        <f aca="false">IF(A58="","",C58+63)</f>
        <v/>
      </c>
      <c r="I58" s="7" t="str">
        <f aca="false">IF(A58="","",C58+70)</f>
        <v/>
      </c>
      <c r="J58" s="7" t="str">
        <f aca="false">IF(A58="","",Students!F58)</f>
        <v/>
      </c>
    </row>
    <row r="59" customFormat="false" ht="15" hidden="false" customHeight="true" outlineLevel="0" collapsed="false">
      <c r="A59" s="11" t="str">
        <f aca="false">IF(Students!A59="","",Students!A59)</f>
        <v/>
      </c>
      <c r="B59" s="11" t="str">
        <f aca="false">IF(A59="","",Students!B59)</f>
        <v/>
      </c>
      <c r="C59" s="7" t="str">
        <f aca="false">IF(A59="","",Students!E59)</f>
        <v/>
      </c>
      <c r="D59" s="7" t="str">
        <f aca="false">IF(A59="","",C59+7)</f>
        <v/>
      </c>
      <c r="E59" s="7" t="str">
        <f aca="false">IF(A59="","",C59+21)</f>
        <v/>
      </c>
      <c r="F59" s="7" t="str">
        <f aca="false">IF(A59="","",C59+35)</f>
        <v/>
      </c>
      <c r="G59" s="7" t="str">
        <f aca="false">IF(A59="","",C59+49)</f>
        <v/>
      </c>
      <c r="H59" s="7" t="str">
        <f aca="false">IF(A59="","",C59+63)</f>
        <v/>
      </c>
      <c r="I59" s="7" t="str">
        <f aca="false">IF(A59="","",C59+70)</f>
        <v/>
      </c>
      <c r="J59" s="7" t="str">
        <f aca="false">IF(A59="","",Students!F59)</f>
        <v/>
      </c>
    </row>
    <row r="60" customFormat="false" ht="15" hidden="false" customHeight="true" outlineLevel="0" collapsed="false">
      <c r="A60" s="11" t="str">
        <f aca="false">IF(Students!A60="","",Students!A60)</f>
        <v/>
      </c>
      <c r="B60" s="11" t="str">
        <f aca="false">IF(A60="","",Students!B60)</f>
        <v/>
      </c>
      <c r="C60" s="7" t="str">
        <f aca="false">IF(A60="","",Students!E60)</f>
        <v/>
      </c>
      <c r="D60" s="7" t="str">
        <f aca="false">IF(A60="","",C60+7)</f>
        <v/>
      </c>
      <c r="E60" s="7" t="str">
        <f aca="false">IF(A60="","",C60+21)</f>
        <v/>
      </c>
      <c r="F60" s="7" t="str">
        <f aca="false">IF(A60="","",C60+35)</f>
        <v/>
      </c>
      <c r="G60" s="7" t="str">
        <f aca="false">IF(A60="","",C60+49)</f>
        <v/>
      </c>
      <c r="H60" s="7" t="str">
        <f aca="false">IF(A60="","",C60+63)</f>
        <v/>
      </c>
      <c r="I60" s="7" t="str">
        <f aca="false">IF(A60="","",C60+70)</f>
        <v/>
      </c>
      <c r="J60" s="7" t="str">
        <f aca="false">IF(A60="","",Students!F60)</f>
        <v/>
      </c>
    </row>
    <row r="61" customFormat="false" ht="15" hidden="false" customHeight="true" outlineLevel="0" collapsed="false">
      <c r="A61" s="11" t="str">
        <f aca="false">IF(Students!A61="","",Students!A61)</f>
        <v/>
      </c>
      <c r="B61" s="11" t="str">
        <f aca="false">IF(A61="","",Students!B61)</f>
        <v/>
      </c>
      <c r="C61" s="7" t="str">
        <f aca="false">IF(A61="","",Students!E61)</f>
        <v/>
      </c>
      <c r="D61" s="7" t="str">
        <f aca="false">IF(A61="","",C61+7)</f>
        <v/>
      </c>
      <c r="E61" s="7" t="str">
        <f aca="false">IF(A61="","",C61+21)</f>
        <v/>
      </c>
      <c r="F61" s="7" t="str">
        <f aca="false">IF(A61="","",C61+35)</f>
        <v/>
      </c>
      <c r="G61" s="7" t="str">
        <f aca="false">IF(A61="","",C61+49)</f>
        <v/>
      </c>
      <c r="H61" s="7" t="str">
        <f aca="false">IF(A61="","",C61+63)</f>
        <v/>
      </c>
      <c r="I61" s="7" t="str">
        <f aca="false">IF(A61="","",C61+70)</f>
        <v/>
      </c>
      <c r="J61" s="7" t="str">
        <f aca="false">IF(A61="","",Students!F61)</f>
        <v/>
      </c>
    </row>
    <row r="62" customFormat="false" ht="15" hidden="false" customHeight="true" outlineLevel="0" collapsed="false">
      <c r="A62" s="11" t="str">
        <f aca="false">IF(Students!A62="","",Students!A62)</f>
        <v/>
      </c>
      <c r="B62" s="11" t="str">
        <f aca="false">IF(A62="","",Students!B62)</f>
        <v/>
      </c>
      <c r="C62" s="7" t="str">
        <f aca="false">IF(A62="","",Students!E62)</f>
        <v/>
      </c>
      <c r="D62" s="7" t="str">
        <f aca="false">IF(A62="","",C62+7)</f>
        <v/>
      </c>
      <c r="E62" s="7" t="str">
        <f aca="false">IF(A62="","",C62+21)</f>
        <v/>
      </c>
      <c r="F62" s="7" t="str">
        <f aca="false">IF(A62="","",C62+35)</f>
        <v/>
      </c>
      <c r="G62" s="7" t="str">
        <f aca="false">IF(A62="","",C62+49)</f>
        <v/>
      </c>
      <c r="H62" s="7" t="str">
        <f aca="false">IF(A62="","",C62+63)</f>
        <v/>
      </c>
      <c r="I62" s="7" t="str">
        <f aca="false">IF(A62="","",C62+70)</f>
        <v/>
      </c>
      <c r="J62" s="7" t="str">
        <f aca="false">IF(A62="","",Students!F62)</f>
        <v/>
      </c>
    </row>
    <row r="63" customFormat="false" ht="15" hidden="false" customHeight="true" outlineLevel="0" collapsed="false">
      <c r="A63" s="11" t="str">
        <f aca="false">IF(Students!A63="","",Students!A63)</f>
        <v/>
      </c>
      <c r="B63" s="11" t="str">
        <f aca="false">IF(A63="","",Students!B63)</f>
        <v/>
      </c>
      <c r="C63" s="7" t="str">
        <f aca="false">IF(A63="","",Students!E63)</f>
        <v/>
      </c>
      <c r="D63" s="7" t="str">
        <f aca="false">IF(A63="","",C63+7)</f>
        <v/>
      </c>
      <c r="E63" s="7" t="str">
        <f aca="false">IF(A63="","",C63+21)</f>
        <v/>
      </c>
      <c r="F63" s="7" t="str">
        <f aca="false">IF(A63="","",C63+35)</f>
        <v/>
      </c>
      <c r="G63" s="7" t="str">
        <f aca="false">IF(A63="","",C63+49)</f>
        <v/>
      </c>
      <c r="H63" s="7" t="str">
        <f aca="false">IF(A63="","",C63+63)</f>
        <v/>
      </c>
      <c r="I63" s="7" t="str">
        <f aca="false">IF(A63="","",C63+70)</f>
        <v/>
      </c>
      <c r="J63" s="7" t="str">
        <f aca="false">IF(A63="","",Students!F63)</f>
        <v/>
      </c>
    </row>
    <row r="64" customFormat="false" ht="15" hidden="false" customHeight="true" outlineLevel="0" collapsed="false">
      <c r="A64" s="11" t="str">
        <f aca="false">IF(Students!A64="","",Students!A64)</f>
        <v/>
      </c>
      <c r="B64" s="11" t="str">
        <f aca="false">IF(A64="","",Students!B64)</f>
        <v/>
      </c>
      <c r="C64" s="7" t="str">
        <f aca="false">IF(A64="","",Students!E64)</f>
        <v/>
      </c>
      <c r="D64" s="7" t="str">
        <f aca="false">IF(A64="","",C64+7)</f>
        <v/>
      </c>
      <c r="E64" s="7" t="str">
        <f aca="false">IF(A64="","",C64+21)</f>
        <v/>
      </c>
      <c r="F64" s="7" t="str">
        <f aca="false">IF(A64="","",C64+35)</f>
        <v/>
      </c>
      <c r="G64" s="7" t="str">
        <f aca="false">IF(A64="","",C64+49)</f>
        <v/>
      </c>
      <c r="H64" s="7" t="str">
        <f aca="false">IF(A64="","",C64+63)</f>
        <v/>
      </c>
      <c r="I64" s="7" t="str">
        <f aca="false">IF(A64="","",C64+70)</f>
        <v/>
      </c>
      <c r="J64" s="7" t="str">
        <f aca="false">IF(A64="","",Students!F64)</f>
        <v/>
      </c>
    </row>
    <row r="65" customFormat="false" ht="15" hidden="false" customHeight="true" outlineLevel="0" collapsed="false">
      <c r="A65" s="11" t="str">
        <f aca="false">IF(Students!A65="","",Students!A65)</f>
        <v/>
      </c>
      <c r="B65" s="11" t="str">
        <f aca="false">IF(A65="","",Students!B65)</f>
        <v/>
      </c>
      <c r="C65" s="7" t="str">
        <f aca="false">IF(A65="","",Students!E65)</f>
        <v/>
      </c>
      <c r="D65" s="7" t="str">
        <f aca="false">IF(A65="","",C65+7)</f>
        <v/>
      </c>
      <c r="E65" s="7" t="str">
        <f aca="false">IF(A65="","",C65+21)</f>
        <v/>
      </c>
      <c r="F65" s="7" t="str">
        <f aca="false">IF(A65="","",C65+35)</f>
        <v/>
      </c>
      <c r="G65" s="7" t="str">
        <f aca="false">IF(A65="","",C65+49)</f>
        <v/>
      </c>
      <c r="H65" s="7" t="str">
        <f aca="false">IF(A65="","",C65+63)</f>
        <v/>
      </c>
      <c r="I65" s="7" t="str">
        <f aca="false">IF(A65="","",C65+70)</f>
        <v/>
      </c>
      <c r="J65" s="7" t="str">
        <f aca="false">IF(A65="","",Students!F65)</f>
        <v/>
      </c>
    </row>
    <row r="66" customFormat="false" ht="15" hidden="false" customHeight="true" outlineLevel="0" collapsed="false">
      <c r="A66" s="11" t="str">
        <f aca="false">IF(Students!A66="","",Students!A66)</f>
        <v/>
      </c>
      <c r="B66" s="11" t="str">
        <f aca="false">IF(A66="","",Students!B66)</f>
        <v/>
      </c>
      <c r="C66" s="7" t="str">
        <f aca="false">IF(A66="","",Students!E66)</f>
        <v/>
      </c>
      <c r="D66" s="7" t="str">
        <f aca="false">IF(A66="","",C66+7)</f>
        <v/>
      </c>
      <c r="E66" s="7" t="str">
        <f aca="false">IF(A66="","",C66+21)</f>
        <v/>
      </c>
      <c r="F66" s="7" t="str">
        <f aca="false">IF(A66="","",C66+35)</f>
        <v/>
      </c>
      <c r="G66" s="7" t="str">
        <f aca="false">IF(A66="","",C66+49)</f>
        <v/>
      </c>
      <c r="H66" s="7" t="str">
        <f aca="false">IF(A66="","",C66+63)</f>
        <v/>
      </c>
      <c r="I66" s="7" t="str">
        <f aca="false">IF(A66="","",C66+70)</f>
        <v/>
      </c>
      <c r="J66" s="7" t="str">
        <f aca="false">IF(A66="","",Students!F66)</f>
        <v/>
      </c>
    </row>
    <row r="67" customFormat="false" ht="15" hidden="false" customHeight="true" outlineLevel="0" collapsed="false">
      <c r="A67" s="11" t="str">
        <f aca="false">IF(Students!A67="","",Students!A67)</f>
        <v/>
      </c>
      <c r="B67" s="11" t="str">
        <f aca="false">IF(A67="","",Students!B67)</f>
        <v/>
      </c>
      <c r="C67" s="7" t="str">
        <f aca="false">IF(A67="","",Students!E67)</f>
        <v/>
      </c>
      <c r="D67" s="7" t="str">
        <f aca="false">IF(A67="","",C67+7)</f>
        <v/>
      </c>
      <c r="E67" s="7" t="str">
        <f aca="false">IF(A67="","",C67+21)</f>
        <v/>
      </c>
      <c r="F67" s="7" t="str">
        <f aca="false">IF(A67="","",C67+35)</f>
        <v/>
      </c>
      <c r="G67" s="7" t="str">
        <f aca="false">IF(A67="","",C67+49)</f>
        <v/>
      </c>
      <c r="H67" s="7" t="str">
        <f aca="false">IF(A67="","",C67+63)</f>
        <v/>
      </c>
      <c r="I67" s="7" t="str">
        <f aca="false">IF(A67="","",C67+70)</f>
        <v/>
      </c>
      <c r="J67" s="7" t="str">
        <f aca="false">IF(A67="","",Students!F67)</f>
        <v/>
      </c>
    </row>
    <row r="68" customFormat="false" ht="15" hidden="false" customHeight="true" outlineLevel="0" collapsed="false">
      <c r="A68" s="11" t="str">
        <f aca="false">IF(Students!A68="","",Students!A68)</f>
        <v/>
      </c>
      <c r="B68" s="11" t="str">
        <f aca="false">IF(A68="","",Students!B68)</f>
        <v/>
      </c>
      <c r="C68" s="7" t="str">
        <f aca="false">IF(A68="","",Students!E68)</f>
        <v/>
      </c>
      <c r="D68" s="7" t="str">
        <f aca="false">IF(A68="","",C68+7)</f>
        <v/>
      </c>
      <c r="E68" s="7" t="str">
        <f aca="false">IF(A68="","",C68+21)</f>
        <v/>
      </c>
      <c r="F68" s="7" t="str">
        <f aca="false">IF(A68="","",C68+35)</f>
        <v/>
      </c>
      <c r="G68" s="7" t="str">
        <f aca="false">IF(A68="","",C68+49)</f>
        <v/>
      </c>
      <c r="H68" s="7" t="str">
        <f aca="false">IF(A68="","",C68+63)</f>
        <v/>
      </c>
      <c r="I68" s="7" t="str">
        <f aca="false">IF(A68="","",C68+70)</f>
        <v/>
      </c>
      <c r="J68" s="7" t="str">
        <f aca="false">IF(A68="","",Students!F68)</f>
        <v/>
      </c>
    </row>
    <row r="69" customFormat="false" ht="15" hidden="false" customHeight="true" outlineLevel="0" collapsed="false">
      <c r="A69" s="11" t="str">
        <f aca="false">IF(Students!A69="","",Students!A69)</f>
        <v/>
      </c>
      <c r="B69" s="11" t="str">
        <f aca="false">IF(A69="","",Students!B69)</f>
        <v/>
      </c>
      <c r="C69" s="7" t="str">
        <f aca="false">IF(A69="","",Students!E69)</f>
        <v/>
      </c>
      <c r="D69" s="7" t="str">
        <f aca="false">IF(A69="","",C69+7)</f>
        <v/>
      </c>
      <c r="E69" s="7" t="str">
        <f aca="false">IF(A69="","",C69+21)</f>
        <v/>
      </c>
      <c r="F69" s="7" t="str">
        <f aca="false">IF(A69="","",C69+35)</f>
        <v/>
      </c>
      <c r="G69" s="7" t="str">
        <f aca="false">IF(A69="","",C69+49)</f>
        <v/>
      </c>
      <c r="H69" s="7" t="str">
        <f aca="false">IF(A69="","",C69+63)</f>
        <v/>
      </c>
      <c r="I69" s="7" t="str">
        <f aca="false">IF(A69="","",C69+70)</f>
        <v/>
      </c>
      <c r="J69" s="7" t="str">
        <f aca="false">IF(A69="","",Students!F69)</f>
        <v/>
      </c>
    </row>
    <row r="70" customFormat="false" ht="15" hidden="false" customHeight="true" outlineLevel="0" collapsed="false">
      <c r="A70" s="11" t="str">
        <f aca="false">IF(Students!A70="","",Students!A70)</f>
        <v/>
      </c>
      <c r="B70" s="11" t="str">
        <f aca="false">IF(A70="","",Students!B70)</f>
        <v/>
      </c>
      <c r="C70" s="7" t="str">
        <f aca="false">IF(A70="","",Students!E70)</f>
        <v/>
      </c>
      <c r="D70" s="7" t="str">
        <f aca="false">IF(A70="","",C70+7)</f>
        <v/>
      </c>
      <c r="E70" s="7" t="str">
        <f aca="false">IF(A70="","",C70+21)</f>
        <v/>
      </c>
      <c r="F70" s="7" t="str">
        <f aca="false">IF(A70="","",C70+35)</f>
        <v/>
      </c>
      <c r="G70" s="7" t="str">
        <f aca="false">IF(A70="","",C70+49)</f>
        <v/>
      </c>
      <c r="H70" s="7" t="str">
        <f aca="false">IF(A70="","",C70+63)</f>
        <v/>
      </c>
      <c r="I70" s="7" t="str">
        <f aca="false">IF(A70="","",C70+70)</f>
        <v/>
      </c>
      <c r="J70" s="7" t="str">
        <f aca="false">IF(A70="","",Students!F70)</f>
        <v/>
      </c>
    </row>
    <row r="71" customFormat="false" ht="15" hidden="false" customHeight="true" outlineLevel="0" collapsed="false">
      <c r="A71" s="11" t="str">
        <f aca="false">IF(Students!A71="","",Students!A71)</f>
        <v/>
      </c>
      <c r="B71" s="11" t="str">
        <f aca="false">IF(A71="","",Students!B71)</f>
        <v/>
      </c>
      <c r="C71" s="7" t="str">
        <f aca="false">IF(A71="","",Students!E71)</f>
        <v/>
      </c>
      <c r="D71" s="7" t="str">
        <f aca="false">IF(A71="","",C71+7)</f>
        <v/>
      </c>
      <c r="E71" s="7" t="str">
        <f aca="false">IF(A71="","",C71+21)</f>
        <v/>
      </c>
      <c r="F71" s="7" t="str">
        <f aca="false">IF(A71="","",C71+35)</f>
        <v/>
      </c>
      <c r="G71" s="7" t="str">
        <f aca="false">IF(A71="","",C71+49)</f>
        <v/>
      </c>
      <c r="H71" s="7" t="str">
        <f aca="false">IF(A71="","",C71+63)</f>
        <v/>
      </c>
      <c r="I71" s="7" t="str">
        <f aca="false">IF(A71="","",C71+70)</f>
        <v/>
      </c>
      <c r="J71" s="7" t="str">
        <f aca="false">IF(A71="","",Students!F71)</f>
        <v/>
      </c>
    </row>
    <row r="72" customFormat="false" ht="15" hidden="false" customHeight="true" outlineLevel="0" collapsed="false">
      <c r="A72" s="11" t="str">
        <f aca="false">IF(Students!A72="","",Students!A72)</f>
        <v/>
      </c>
      <c r="B72" s="11" t="str">
        <f aca="false">IF(A72="","",Students!B72)</f>
        <v/>
      </c>
      <c r="C72" s="7" t="str">
        <f aca="false">IF(A72="","",Students!E72)</f>
        <v/>
      </c>
      <c r="D72" s="7" t="str">
        <f aca="false">IF(A72="","",C72+7)</f>
        <v/>
      </c>
      <c r="E72" s="7" t="str">
        <f aca="false">IF(A72="","",C72+21)</f>
        <v/>
      </c>
      <c r="F72" s="7" t="str">
        <f aca="false">IF(A72="","",C72+35)</f>
        <v/>
      </c>
      <c r="G72" s="7" t="str">
        <f aca="false">IF(A72="","",C72+49)</f>
        <v/>
      </c>
      <c r="H72" s="7" t="str">
        <f aca="false">IF(A72="","",C72+63)</f>
        <v/>
      </c>
      <c r="I72" s="7" t="str">
        <f aca="false">IF(A72="","",C72+70)</f>
        <v/>
      </c>
      <c r="J72" s="7" t="str">
        <f aca="false">IF(A72="","",Students!F72)</f>
        <v/>
      </c>
    </row>
    <row r="73" customFormat="false" ht="15" hidden="false" customHeight="true" outlineLevel="0" collapsed="false">
      <c r="A73" s="11" t="str">
        <f aca="false">IF(Students!A73="","",Students!A73)</f>
        <v/>
      </c>
      <c r="B73" s="11" t="str">
        <f aca="false">IF(A73="","",Students!B73)</f>
        <v/>
      </c>
      <c r="C73" s="7" t="str">
        <f aca="false">IF(A73="","",Students!E73)</f>
        <v/>
      </c>
      <c r="D73" s="7" t="str">
        <f aca="false">IF(A73="","",C73+7)</f>
        <v/>
      </c>
      <c r="E73" s="7" t="str">
        <f aca="false">IF(A73="","",C73+21)</f>
        <v/>
      </c>
      <c r="F73" s="7" t="str">
        <f aca="false">IF(A73="","",C73+35)</f>
        <v/>
      </c>
      <c r="G73" s="7" t="str">
        <f aca="false">IF(A73="","",C73+49)</f>
        <v/>
      </c>
      <c r="H73" s="7" t="str">
        <f aca="false">IF(A73="","",C73+63)</f>
        <v/>
      </c>
      <c r="I73" s="7" t="str">
        <f aca="false">IF(A73="","",C73+70)</f>
        <v/>
      </c>
      <c r="J73" s="7" t="str">
        <f aca="false">IF(A73="","",Students!F73)</f>
        <v/>
      </c>
    </row>
    <row r="74" customFormat="false" ht="15" hidden="false" customHeight="true" outlineLevel="0" collapsed="false">
      <c r="A74" s="11" t="str">
        <f aca="false">IF(Students!A74="","",Students!A74)</f>
        <v/>
      </c>
      <c r="B74" s="11" t="str">
        <f aca="false">IF(A74="","",Students!B74)</f>
        <v/>
      </c>
      <c r="C74" s="7" t="str">
        <f aca="false">IF(A74="","",Students!E74)</f>
        <v/>
      </c>
      <c r="D74" s="7" t="str">
        <f aca="false">IF(A74="","",C74+7)</f>
        <v/>
      </c>
      <c r="E74" s="7" t="str">
        <f aca="false">IF(A74="","",C74+21)</f>
        <v/>
      </c>
      <c r="F74" s="7" t="str">
        <f aca="false">IF(A74="","",C74+35)</f>
        <v/>
      </c>
      <c r="G74" s="7" t="str">
        <f aca="false">IF(A74="","",C74+49)</f>
        <v/>
      </c>
      <c r="H74" s="7" t="str">
        <f aca="false">IF(A74="","",C74+63)</f>
        <v/>
      </c>
      <c r="I74" s="7" t="str">
        <f aca="false">IF(A74="","",C74+70)</f>
        <v/>
      </c>
      <c r="J74" s="7" t="str">
        <f aca="false">IF(A74="","",Students!F74)</f>
        <v/>
      </c>
    </row>
    <row r="75" customFormat="false" ht="15" hidden="false" customHeight="true" outlineLevel="0" collapsed="false">
      <c r="A75" s="11" t="str">
        <f aca="false">IF(Students!A75="","",Students!A75)</f>
        <v/>
      </c>
      <c r="B75" s="11" t="str">
        <f aca="false">IF(A75="","",Students!B75)</f>
        <v/>
      </c>
      <c r="C75" s="7" t="str">
        <f aca="false">IF(A75="","",Students!E75)</f>
        <v/>
      </c>
      <c r="D75" s="7" t="str">
        <f aca="false">IF(A75="","",C75+7)</f>
        <v/>
      </c>
      <c r="E75" s="7" t="str">
        <f aca="false">IF(A75="","",C75+21)</f>
        <v/>
      </c>
      <c r="F75" s="7" t="str">
        <f aca="false">IF(A75="","",C75+35)</f>
        <v/>
      </c>
      <c r="G75" s="7" t="str">
        <f aca="false">IF(A75="","",C75+49)</f>
        <v/>
      </c>
      <c r="H75" s="7" t="str">
        <f aca="false">IF(A75="","",C75+63)</f>
        <v/>
      </c>
      <c r="I75" s="7" t="str">
        <f aca="false">IF(A75="","",C75+70)</f>
        <v/>
      </c>
      <c r="J75" s="7" t="str">
        <f aca="false">IF(A75="","",Students!F75)</f>
        <v/>
      </c>
    </row>
    <row r="76" customFormat="false" ht="15" hidden="false" customHeight="true" outlineLevel="0" collapsed="false">
      <c r="A76" s="11" t="str">
        <f aca="false">IF(Students!A76="","",Students!A76)</f>
        <v/>
      </c>
      <c r="B76" s="11" t="str">
        <f aca="false">IF(A76="","",Students!B76)</f>
        <v/>
      </c>
      <c r="C76" s="7" t="str">
        <f aca="false">IF(A76="","",Students!E76)</f>
        <v/>
      </c>
      <c r="D76" s="7" t="str">
        <f aca="false">IF(A76="","",C76+7)</f>
        <v/>
      </c>
      <c r="E76" s="7" t="str">
        <f aca="false">IF(A76="","",C76+21)</f>
        <v/>
      </c>
      <c r="F76" s="7" t="str">
        <f aca="false">IF(A76="","",C76+35)</f>
        <v/>
      </c>
      <c r="G76" s="7" t="str">
        <f aca="false">IF(A76="","",C76+49)</f>
        <v/>
      </c>
      <c r="H76" s="7" t="str">
        <f aca="false">IF(A76="","",C76+63)</f>
        <v/>
      </c>
      <c r="I76" s="7" t="str">
        <f aca="false">IF(A76="","",C76+70)</f>
        <v/>
      </c>
      <c r="J76" s="7" t="str">
        <f aca="false">IF(A76="","",Students!F76)</f>
        <v/>
      </c>
    </row>
    <row r="77" customFormat="false" ht="15" hidden="false" customHeight="true" outlineLevel="0" collapsed="false">
      <c r="A77" s="11" t="str">
        <f aca="false">IF(Students!A77="","",Students!A77)</f>
        <v/>
      </c>
      <c r="B77" s="11" t="str">
        <f aca="false">IF(A77="","",Students!B77)</f>
        <v/>
      </c>
      <c r="C77" s="7" t="str">
        <f aca="false">IF(A77="","",Students!E77)</f>
        <v/>
      </c>
      <c r="D77" s="7" t="str">
        <f aca="false">IF(A77="","",C77+7)</f>
        <v/>
      </c>
      <c r="E77" s="7" t="str">
        <f aca="false">IF(A77="","",C77+21)</f>
        <v/>
      </c>
      <c r="F77" s="7" t="str">
        <f aca="false">IF(A77="","",C77+35)</f>
        <v/>
      </c>
      <c r="G77" s="7" t="str">
        <f aca="false">IF(A77="","",C77+49)</f>
        <v/>
      </c>
      <c r="H77" s="7" t="str">
        <f aca="false">IF(A77="","",C77+63)</f>
        <v/>
      </c>
      <c r="I77" s="7" t="str">
        <f aca="false">IF(A77="","",C77+70)</f>
        <v/>
      </c>
      <c r="J77" s="7" t="str">
        <f aca="false">IF(A77="","",Students!F77)</f>
        <v/>
      </c>
    </row>
    <row r="78" customFormat="false" ht="15" hidden="false" customHeight="true" outlineLevel="0" collapsed="false">
      <c r="A78" s="11" t="str">
        <f aca="false">IF(Students!A78="","",Students!A78)</f>
        <v/>
      </c>
      <c r="B78" s="11" t="str">
        <f aca="false">IF(A78="","",Students!B78)</f>
        <v/>
      </c>
      <c r="C78" s="7" t="str">
        <f aca="false">IF(A78="","",Students!E78)</f>
        <v/>
      </c>
      <c r="D78" s="7" t="str">
        <f aca="false">IF(A78="","",C78+7)</f>
        <v/>
      </c>
      <c r="E78" s="7" t="str">
        <f aca="false">IF(A78="","",C78+21)</f>
        <v/>
      </c>
      <c r="F78" s="7" t="str">
        <f aca="false">IF(A78="","",C78+35)</f>
        <v/>
      </c>
      <c r="G78" s="7" t="str">
        <f aca="false">IF(A78="","",C78+49)</f>
        <v/>
      </c>
      <c r="H78" s="7" t="str">
        <f aca="false">IF(A78="","",C78+63)</f>
        <v/>
      </c>
      <c r="I78" s="7" t="str">
        <f aca="false">IF(A78="","",C78+70)</f>
        <v/>
      </c>
      <c r="J78" s="7" t="str">
        <f aca="false">IF(A78="","",Students!F78)</f>
        <v/>
      </c>
    </row>
    <row r="79" customFormat="false" ht="15" hidden="false" customHeight="true" outlineLevel="0" collapsed="false">
      <c r="A79" s="11" t="str">
        <f aca="false">IF(Students!A79="","",Students!A79)</f>
        <v/>
      </c>
      <c r="B79" s="11" t="str">
        <f aca="false">IF(A79="","",Students!B79)</f>
        <v/>
      </c>
      <c r="C79" s="7" t="str">
        <f aca="false">IF(A79="","",Students!E79)</f>
        <v/>
      </c>
      <c r="D79" s="7" t="str">
        <f aca="false">IF(A79="","",C79+7)</f>
        <v/>
      </c>
      <c r="E79" s="7" t="str">
        <f aca="false">IF(A79="","",C79+21)</f>
        <v/>
      </c>
      <c r="F79" s="7" t="str">
        <f aca="false">IF(A79="","",C79+35)</f>
        <v/>
      </c>
      <c r="G79" s="7" t="str">
        <f aca="false">IF(A79="","",C79+49)</f>
        <v/>
      </c>
      <c r="H79" s="7" t="str">
        <f aca="false">IF(A79="","",C79+63)</f>
        <v/>
      </c>
      <c r="I79" s="7" t="str">
        <f aca="false">IF(A79="","",C79+70)</f>
        <v/>
      </c>
      <c r="J79" s="7" t="str">
        <f aca="false">IF(A79="","",Students!F79)</f>
        <v/>
      </c>
    </row>
    <row r="80" customFormat="false" ht="15" hidden="false" customHeight="true" outlineLevel="0" collapsed="false">
      <c r="A80" s="11" t="str">
        <f aca="false">IF(Students!A80="","",Students!A80)</f>
        <v/>
      </c>
      <c r="B80" s="11" t="str">
        <f aca="false">IF(A80="","",Students!B80)</f>
        <v/>
      </c>
      <c r="C80" s="7" t="str">
        <f aca="false">IF(A80="","",Students!E80)</f>
        <v/>
      </c>
      <c r="D80" s="7" t="str">
        <f aca="false">IF(A80="","",C80+7)</f>
        <v/>
      </c>
      <c r="E80" s="7" t="str">
        <f aca="false">IF(A80="","",C80+21)</f>
        <v/>
      </c>
      <c r="F80" s="7" t="str">
        <f aca="false">IF(A80="","",C80+35)</f>
        <v/>
      </c>
      <c r="G80" s="7" t="str">
        <f aca="false">IF(A80="","",C80+49)</f>
        <v/>
      </c>
      <c r="H80" s="7" t="str">
        <f aca="false">IF(A80="","",C80+63)</f>
        <v/>
      </c>
      <c r="I80" s="7" t="str">
        <f aca="false">IF(A80="","",C80+70)</f>
        <v/>
      </c>
      <c r="J80" s="7" t="str">
        <f aca="false">IF(A80="","",Students!F80)</f>
        <v/>
      </c>
    </row>
    <row r="81" customFormat="false" ht="15" hidden="false" customHeight="true" outlineLevel="0" collapsed="false">
      <c r="A81" s="11" t="str">
        <f aca="false">IF(Students!A81="","",Students!A81)</f>
        <v/>
      </c>
      <c r="B81" s="11" t="str">
        <f aca="false">IF(A81="","",Students!B81)</f>
        <v/>
      </c>
      <c r="C81" s="7" t="str">
        <f aca="false">IF(A81="","",Students!E81)</f>
        <v/>
      </c>
      <c r="D81" s="7" t="str">
        <f aca="false">IF(A81="","",C81+7)</f>
        <v/>
      </c>
      <c r="E81" s="7" t="str">
        <f aca="false">IF(A81="","",C81+21)</f>
        <v/>
      </c>
      <c r="F81" s="7" t="str">
        <f aca="false">IF(A81="","",C81+35)</f>
        <v/>
      </c>
      <c r="G81" s="7" t="str">
        <f aca="false">IF(A81="","",C81+49)</f>
        <v/>
      </c>
      <c r="H81" s="7" t="str">
        <f aca="false">IF(A81="","",C81+63)</f>
        <v/>
      </c>
      <c r="I81" s="7" t="str">
        <f aca="false">IF(A81="","",C81+70)</f>
        <v/>
      </c>
      <c r="J81" s="7" t="str">
        <f aca="false">IF(A81="","",Students!F81)</f>
        <v/>
      </c>
    </row>
    <row r="82" customFormat="false" ht="15" hidden="false" customHeight="true" outlineLevel="0" collapsed="false">
      <c r="A82" s="11" t="str">
        <f aca="false">IF(Students!A82="","",Students!A82)</f>
        <v/>
      </c>
      <c r="B82" s="11" t="str">
        <f aca="false">IF(A82="","",Students!B82)</f>
        <v/>
      </c>
      <c r="C82" s="7" t="str">
        <f aca="false">IF(A82="","",Students!E82)</f>
        <v/>
      </c>
      <c r="D82" s="7" t="str">
        <f aca="false">IF(A82="","",C82+7)</f>
        <v/>
      </c>
      <c r="E82" s="7" t="str">
        <f aca="false">IF(A82="","",C82+21)</f>
        <v/>
      </c>
      <c r="F82" s="7" t="str">
        <f aca="false">IF(A82="","",C82+35)</f>
        <v/>
      </c>
      <c r="G82" s="7" t="str">
        <f aca="false">IF(A82="","",C82+49)</f>
        <v/>
      </c>
      <c r="H82" s="7" t="str">
        <f aca="false">IF(A82="","",C82+63)</f>
        <v/>
      </c>
      <c r="I82" s="7" t="str">
        <f aca="false">IF(A82="","",C82+70)</f>
        <v/>
      </c>
      <c r="J82" s="7" t="str">
        <f aca="false">IF(A82="","",Students!F82)</f>
        <v/>
      </c>
    </row>
    <row r="83" customFormat="false" ht="15" hidden="false" customHeight="true" outlineLevel="0" collapsed="false">
      <c r="A83" s="11" t="str">
        <f aca="false">IF(Students!A83="","",Students!A83)</f>
        <v/>
      </c>
      <c r="B83" s="11" t="str">
        <f aca="false">IF(A83="","",Students!B83)</f>
        <v/>
      </c>
      <c r="C83" s="7" t="str">
        <f aca="false">IF(A83="","",Students!E83)</f>
        <v/>
      </c>
      <c r="D83" s="7" t="str">
        <f aca="false">IF(A83="","",C83+7)</f>
        <v/>
      </c>
      <c r="E83" s="7" t="str">
        <f aca="false">IF(A83="","",C83+21)</f>
        <v/>
      </c>
      <c r="F83" s="7" t="str">
        <f aca="false">IF(A83="","",C83+35)</f>
        <v/>
      </c>
      <c r="G83" s="7" t="str">
        <f aca="false">IF(A83="","",C83+49)</f>
        <v/>
      </c>
      <c r="H83" s="7" t="str">
        <f aca="false">IF(A83="","",C83+63)</f>
        <v/>
      </c>
      <c r="I83" s="7" t="str">
        <f aca="false">IF(A83="","",C83+70)</f>
        <v/>
      </c>
      <c r="J83" s="7" t="str">
        <f aca="false">IF(A83="","",Students!F83)</f>
        <v/>
      </c>
    </row>
    <row r="84" customFormat="false" ht="15" hidden="false" customHeight="true" outlineLevel="0" collapsed="false">
      <c r="A84" s="11" t="str">
        <f aca="false">IF(Students!A84="","",Students!A84)</f>
        <v/>
      </c>
      <c r="B84" s="11" t="str">
        <f aca="false">IF(A84="","",Students!B84)</f>
        <v/>
      </c>
      <c r="C84" s="7" t="str">
        <f aca="false">IF(A84="","",Students!E84)</f>
        <v/>
      </c>
      <c r="D84" s="7" t="str">
        <f aca="false">IF(A84="","",C84+7)</f>
        <v/>
      </c>
      <c r="E84" s="7" t="str">
        <f aca="false">IF(A84="","",C84+21)</f>
        <v/>
      </c>
      <c r="F84" s="7" t="str">
        <f aca="false">IF(A84="","",C84+35)</f>
        <v/>
      </c>
      <c r="G84" s="7" t="str">
        <f aca="false">IF(A84="","",C84+49)</f>
        <v/>
      </c>
      <c r="H84" s="7" t="str">
        <f aca="false">IF(A84="","",C84+63)</f>
        <v/>
      </c>
      <c r="I84" s="7" t="str">
        <f aca="false">IF(A84="","",C84+70)</f>
        <v/>
      </c>
      <c r="J84" s="7" t="str">
        <f aca="false">IF(A84="","",Students!F84)</f>
        <v/>
      </c>
    </row>
    <row r="85" customFormat="false" ht="15" hidden="false" customHeight="true" outlineLevel="0" collapsed="false">
      <c r="A85" s="11" t="str">
        <f aca="false">IF(Students!A85="","",Students!A85)</f>
        <v/>
      </c>
      <c r="B85" s="11" t="str">
        <f aca="false">IF(A85="","",Students!B85)</f>
        <v/>
      </c>
      <c r="C85" s="7" t="str">
        <f aca="false">IF(A85="","",Students!E85)</f>
        <v/>
      </c>
      <c r="D85" s="7" t="str">
        <f aca="false">IF(A85="","",C85+7)</f>
        <v/>
      </c>
      <c r="E85" s="7" t="str">
        <f aca="false">IF(A85="","",C85+21)</f>
        <v/>
      </c>
      <c r="F85" s="7" t="str">
        <f aca="false">IF(A85="","",C85+35)</f>
        <v/>
      </c>
      <c r="G85" s="7" t="str">
        <f aca="false">IF(A85="","",C85+49)</f>
        <v/>
      </c>
      <c r="H85" s="7" t="str">
        <f aca="false">IF(A85="","",C85+63)</f>
        <v/>
      </c>
      <c r="I85" s="7" t="str">
        <f aca="false">IF(A85="","",C85+70)</f>
        <v/>
      </c>
      <c r="J85" s="7" t="str">
        <f aca="false">IF(A85="","",Students!F85)</f>
        <v/>
      </c>
    </row>
    <row r="86" customFormat="false" ht="15" hidden="false" customHeight="true" outlineLevel="0" collapsed="false">
      <c r="A86" s="11" t="str">
        <f aca="false">IF(Students!A86="","",Students!A86)</f>
        <v/>
      </c>
      <c r="B86" s="11" t="str">
        <f aca="false">IF(A86="","",Students!B86)</f>
        <v/>
      </c>
      <c r="C86" s="7" t="str">
        <f aca="false">IF(A86="","",Students!E86)</f>
        <v/>
      </c>
      <c r="D86" s="7" t="str">
        <f aca="false">IF(A86="","",C86+7)</f>
        <v/>
      </c>
      <c r="E86" s="7" t="str">
        <f aca="false">IF(A86="","",C86+21)</f>
        <v/>
      </c>
      <c r="F86" s="7" t="str">
        <f aca="false">IF(A86="","",C86+35)</f>
        <v/>
      </c>
      <c r="G86" s="7" t="str">
        <f aca="false">IF(A86="","",C86+49)</f>
        <v/>
      </c>
      <c r="H86" s="7" t="str">
        <f aca="false">IF(A86="","",C86+63)</f>
        <v/>
      </c>
      <c r="I86" s="7" t="str">
        <f aca="false">IF(A86="","",C86+70)</f>
        <v/>
      </c>
      <c r="J86" s="7" t="str">
        <f aca="false">IF(A86="","",Students!F86)</f>
        <v/>
      </c>
    </row>
    <row r="87" customFormat="false" ht="15" hidden="false" customHeight="true" outlineLevel="0" collapsed="false">
      <c r="A87" s="11" t="str">
        <f aca="false">IF(Students!A87="","",Students!A87)</f>
        <v/>
      </c>
      <c r="B87" s="11" t="str">
        <f aca="false">IF(A87="","",Students!B87)</f>
        <v/>
      </c>
      <c r="C87" s="7" t="str">
        <f aca="false">IF(A87="","",Students!E87)</f>
        <v/>
      </c>
      <c r="D87" s="7" t="str">
        <f aca="false">IF(A87="","",C87+7)</f>
        <v/>
      </c>
      <c r="E87" s="7" t="str">
        <f aca="false">IF(A87="","",C87+21)</f>
        <v/>
      </c>
      <c r="F87" s="7" t="str">
        <f aca="false">IF(A87="","",C87+35)</f>
        <v/>
      </c>
      <c r="G87" s="7" t="str">
        <f aca="false">IF(A87="","",C87+49)</f>
        <v/>
      </c>
      <c r="H87" s="7" t="str">
        <f aca="false">IF(A87="","",C87+63)</f>
        <v/>
      </c>
      <c r="I87" s="7" t="str">
        <f aca="false">IF(A87="","",C87+70)</f>
        <v/>
      </c>
      <c r="J87" s="7" t="str">
        <f aca="false">IF(A87="","",Students!F87)</f>
        <v/>
      </c>
    </row>
    <row r="88" customFormat="false" ht="15" hidden="false" customHeight="true" outlineLevel="0" collapsed="false">
      <c r="A88" s="11" t="str">
        <f aca="false">IF(Students!A88="","",Students!A88)</f>
        <v/>
      </c>
      <c r="B88" s="11" t="str">
        <f aca="false">IF(A88="","",Students!B88)</f>
        <v/>
      </c>
      <c r="C88" s="7" t="str">
        <f aca="false">IF(A88="","",Students!E88)</f>
        <v/>
      </c>
      <c r="D88" s="7" t="str">
        <f aca="false">IF(A88="","",C88+7)</f>
        <v/>
      </c>
      <c r="E88" s="7" t="str">
        <f aca="false">IF(A88="","",C88+21)</f>
        <v/>
      </c>
      <c r="F88" s="7" t="str">
        <f aca="false">IF(A88="","",C88+35)</f>
        <v/>
      </c>
      <c r="G88" s="7" t="str">
        <f aca="false">IF(A88="","",C88+49)</f>
        <v/>
      </c>
      <c r="H88" s="7" t="str">
        <f aca="false">IF(A88="","",C88+63)</f>
        <v/>
      </c>
      <c r="I88" s="7" t="str">
        <f aca="false">IF(A88="","",C88+70)</f>
        <v/>
      </c>
      <c r="J88" s="7" t="str">
        <f aca="false">IF(A88="","",Students!F88)</f>
        <v/>
      </c>
    </row>
    <row r="89" customFormat="false" ht="15" hidden="false" customHeight="true" outlineLevel="0" collapsed="false">
      <c r="A89" s="11" t="str">
        <f aca="false">IF(Students!A89="","",Students!A89)</f>
        <v/>
      </c>
      <c r="B89" s="11" t="str">
        <f aca="false">IF(A89="","",Students!B89)</f>
        <v/>
      </c>
      <c r="C89" s="7" t="str">
        <f aca="false">IF(A89="","",Students!E89)</f>
        <v/>
      </c>
      <c r="D89" s="7" t="str">
        <f aca="false">IF(A89="","",C89+7)</f>
        <v/>
      </c>
      <c r="E89" s="7" t="str">
        <f aca="false">IF(A89="","",C89+21)</f>
        <v/>
      </c>
      <c r="F89" s="7" t="str">
        <f aca="false">IF(A89="","",C89+35)</f>
        <v/>
      </c>
      <c r="G89" s="7" t="str">
        <f aca="false">IF(A89="","",C89+49)</f>
        <v/>
      </c>
      <c r="H89" s="7" t="str">
        <f aca="false">IF(A89="","",C89+63)</f>
        <v/>
      </c>
      <c r="I89" s="7" t="str">
        <f aca="false">IF(A89="","",C89+70)</f>
        <v/>
      </c>
      <c r="J89" s="7" t="str">
        <f aca="false">IF(A89="","",Students!F89)</f>
        <v/>
      </c>
    </row>
    <row r="90" customFormat="false" ht="15" hidden="false" customHeight="true" outlineLevel="0" collapsed="false">
      <c r="A90" s="11" t="str">
        <f aca="false">IF(Students!A90="","",Students!A90)</f>
        <v/>
      </c>
      <c r="B90" s="11" t="str">
        <f aca="false">IF(A90="","",Students!B90)</f>
        <v/>
      </c>
      <c r="C90" s="7" t="str">
        <f aca="false">IF(A90="","",Students!E90)</f>
        <v/>
      </c>
      <c r="D90" s="7" t="str">
        <f aca="false">IF(A90="","",C90+7)</f>
        <v/>
      </c>
      <c r="E90" s="7" t="str">
        <f aca="false">IF(A90="","",C90+21)</f>
        <v/>
      </c>
      <c r="F90" s="7" t="str">
        <f aca="false">IF(A90="","",C90+35)</f>
        <v/>
      </c>
      <c r="G90" s="7" t="str">
        <f aca="false">IF(A90="","",C90+49)</f>
        <v/>
      </c>
      <c r="H90" s="7" t="str">
        <f aca="false">IF(A90="","",C90+63)</f>
        <v/>
      </c>
      <c r="I90" s="7" t="str">
        <f aca="false">IF(A90="","",C90+70)</f>
        <v/>
      </c>
      <c r="J90" s="7" t="str">
        <f aca="false">IF(A90="","",Students!F90)</f>
        <v/>
      </c>
    </row>
    <row r="91" customFormat="false" ht="15" hidden="false" customHeight="true" outlineLevel="0" collapsed="false">
      <c r="A91" s="11" t="str">
        <f aca="false">IF(Students!A91="","",Students!A91)</f>
        <v/>
      </c>
      <c r="B91" s="11" t="str">
        <f aca="false">IF(A91="","",Students!B91)</f>
        <v/>
      </c>
      <c r="C91" s="7" t="str">
        <f aca="false">IF(A91="","",Students!E91)</f>
        <v/>
      </c>
      <c r="D91" s="7" t="str">
        <f aca="false">IF(A91="","",C91+7)</f>
        <v/>
      </c>
      <c r="E91" s="7" t="str">
        <f aca="false">IF(A91="","",C91+21)</f>
        <v/>
      </c>
      <c r="F91" s="7" t="str">
        <f aca="false">IF(A91="","",C91+35)</f>
        <v/>
      </c>
      <c r="G91" s="7" t="str">
        <f aca="false">IF(A91="","",C91+49)</f>
        <v/>
      </c>
      <c r="H91" s="7" t="str">
        <f aca="false">IF(A91="","",C91+63)</f>
        <v/>
      </c>
      <c r="I91" s="7" t="str">
        <f aca="false">IF(A91="","",C91+70)</f>
        <v/>
      </c>
      <c r="J91" s="7" t="str">
        <f aca="false">IF(A91="","",Students!F91)</f>
        <v/>
      </c>
    </row>
    <row r="92" customFormat="false" ht="15" hidden="false" customHeight="true" outlineLevel="0" collapsed="false">
      <c r="A92" s="11" t="str">
        <f aca="false">IF(Students!A92="","",Students!A92)</f>
        <v/>
      </c>
      <c r="B92" s="11" t="str">
        <f aca="false">IF(A92="","",Students!B92)</f>
        <v/>
      </c>
      <c r="C92" s="7" t="str">
        <f aca="false">IF(A92="","",Students!E92)</f>
        <v/>
      </c>
      <c r="D92" s="7" t="str">
        <f aca="false">IF(A92="","",C92+7)</f>
        <v/>
      </c>
      <c r="E92" s="7" t="str">
        <f aca="false">IF(A92="","",C92+21)</f>
        <v/>
      </c>
      <c r="F92" s="7" t="str">
        <f aca="false">IF(A92="","",C92+35)</f>
        <v/>
      </c>
      <c r="G92" s="7" t="str">
        <f aca="false">IF(A92="","",C92+49)</f>
        <v/>
      </c>
      <c r="H92" s="7" t="str">
        <f aca="false">IF(A92="","",C92+63)</f>
        <v/>
      </c>
      <c r="I92" s="7" t="str">
        <f aca="false">IF(A92="","",C92+70)</f>
        <v/>
      </c>
      <c r="J92" s="7" t="str">
        <f aca="false">IF(A92="","",Students!F92)</f>
        <v/>
      </c>
    </row>
    <row r="93" customFormat="false" ht="15" hidden="false" customHeight="true" outlineLevel="0" collapsed="false">
      <c r="A93" s="11" t="str">
        <f aca="false">IF(Students!A93="","",Students!A93)</f>
        <v/>
      </c>
      <c r="B93" s="11" t="str">
        <f aca="false">IF(A93="","",Students!B93)</f>
        <v/>
      </c>
      <c r="C93" s="7" t="str">
        <f aca="false">IF(A93="","",Students!E93)</f>
        <v/>
      </c>
      <c r="D93" s="7" t="str">
        <f aca="false">IF(A93="","",C93+7)</f>
        <v/>
      </c>
      <c r="E93" s="7" t="str">
        <f aca="false">IF(A93="","",C93+21)</f>
        <v/>
      </c>
      <c r="F93" s="7" t="str">
        <f aca="false">IF(A93="","",C93+35)</f>
        <v/>
      </c>
      <c r="G93" s="7" t="str">
        <f aca="false">IF(A93="","",C93+49)</f>
        <v/>
      </c>
      <c r="H93" s="7" t="str">
        <f aca="false">IF(A93="","",C93+63)</f>
        <v/>
      </c>
      <c r="I93" s="7" t="str">
        <f aca="false">IF(A93="","",C93+70)</f>
        <v/>
      </c>
      <c r="J93" s="7" t="str">
        <f aca="false">IF(A93="","",Students!F93)</f>
        <v/>
      </c>
    </row>
    <row r="94" customFormat="false" ht="15" hidden="false" customHeight="true" outlineLevel="0" collapsed="false">
      <c r="A94" s="11" t="str">
        <f aca="false">IF(Students!A94="","",Students!A94)</f>
        <v/>
      </c>
      <c r="B94" s="11" t="str">
        <f aca="false">IF(A94="","",Students!B94)</f>
        <v/>
      </c>
      <c r="C94" s="7" t="str">
        <f aca="false">IF(A94="","",Students!E94)</f>
        <v/>
      </c>
      <c r="D94" s="7" t="str">
        <f aca="false">IF(A94="","",C94+7)</f>
        <v/>
      </c>
      <c r="E94" s="7" t="str">
        <f aca="false">IF(A94="","",C94+21)</f>
        <v/>
      </c>
      <c r="F94" s="7" t="str">
        <f aca="false">IF(A94="","",C94+35)</f>
        <v/>
      </c>
      <c r="G94" s="7" t="str">
        <f aca="false">IF(A94="","",C94+49)</f>
        <v/>
      </c>
      <c r="H94" s="7" t="str">
        <f aca="false">IF(A94="","",C94+63)</f>
        <v/>
      </c>
      <c r="I94" s="7" t="str">
        <f aca="false">IF(A94="","",C94+70)</f>
        <v/>
      </c>
      <c r="J94" s="7" t="str">
        <f aca="false">IF(A94="","",Students!F94)</f>
        <v/>
      </c>
    </row>
    <row r="95" customFormat="false" ht="15" hidden="false" customHeight="true" outlineLevel="0" collapsed="false">
      <c r="A95" s="11" t="str">
        <f aca="false">IF(Students!A95="","",Students!A95)</f>
        <v/>
      </c>
      <c r="B95" s="11" t="str">
        <f aca="false">IF(A95="","",Students!B95)</f>
        <v/>
      </c>
      <c r="C95" s="7" t="str">
        <f aca="false">IF(A95="","",Students!E95)</f>
        <v/>
      </c>
      <c r="D95" s="7" t="str">
        <f aca="false">IF(A95="","",C95+7)</f>
        <v/>
      </c>
      <c r="E95" s="7" t="str">
        <f aca="false">IF(A95="","",C95+21)</f>
        <v/>
      </c>
      <c r="F95" s="7" t="str">
        <f aca="false">IF(A95="","",C95+35)</f>
        <v/>
      </c>
      <c r="G95" s="7" t="str">
        <f aca="false">IF(A95="","",C95+49)</f>
        <v/>
      </c>
      <c r="H95" s="7" t="str">
        <f aca="false">IF(A95="","",C95+63)</f>
        <v/>
      </c>
      <c r="I95" s="7" t="str">
        <f aca="false">IF(A95="","",C95+70)</f>
        <v/>
      </c>
      <c r="J95" s="7" t="str">
        <f aca="false">IF(A95="","",Students!F95)</f>
        <v/>
      </c>
    </row>
    <row r="96" customFormat="false" ht="15" hidden="false" customHeight="true" outlineLevel="0" collapsed="false">
      <c r="A96" s="11" t="str">
        <f aca="false">IF(Students!A96="","",Students!A96)</f>
        <v/>
      </c>
      <c r="B96" s="11" t="str">
        <f aca="false">IF(A96="","",Students!B96)</f>
        <v/>
      </c>
      <c r="C96" s="7" t="str">
        <f aca="false">IF(A96="","",Students!E96)</f>
        <v/>
      </c>
      <c r="D96" s="7" t="str">
        <f aca="false">IF(A96="","",C96+7)</f>
        <v/>
      </c>
      <c r="E96" s="7" t="str">
        <f aca="false">IF(A96="","",C96+21)</f>
        <v/>
      </c>
      <c r="F96" s="7" t="str">
        <f aca="false">IF(A96="","",C96+35)</f>
        <v/>
      </c>
      <c r="G96" s="7" t="str">
        <f aca="false">IF(A96="","",C96+49)</f>
        <v/>
      </c>
      <c r="H96" s="7" t="str">
        <f aca="false">IF(A96="","",C96+63)</f>
        <v/>
      </c>
      <c r="I96" s="7" t="str">
        <f aca="false">IF(A96="","",C96+70)</f>
        <v/>
      </c>
      <c r="J96" s="7" t="str">
        <f aca="false">IF(A96="","",Students!F96)</f>
        <v/>
      </c>
    </row>
    <row r="97" customFormat="false" ht="15" hidden="false" customHeight="true" outlineLevel="0" collapsed="false">
      <c r="A97" s="11" t="str">
        <f aca="false">IF(Students!A97="","",Students!A97)</f>
        <v/>
      </c>
      <c r="B97" s="11" t="str">
        <f aca="false">IF(A97="","",Students!B97)</f>
        <v/>
      </c>
      <c r="C97" s="7" t="str">
        <f aca="false">IF(A97="","",Students!E97)</f>
        <v/>
      </c>
      <c r="D97" s="7" t="str">
        <f aca="false">IF(A97="","",C97+7)</f>
        <v/>
      </c>
      <c r="E97" s="7" t="str">
        <f aca="false">IF(A97="","",C97+21)</f>
        <v/>
      </c>
      <c r="F97" s="7" t="str">
        <f aca="false">IF(A97="","",C97+35)</f>
        <v/>
      </c>
      <c r="G97" s="7" t="str">
        <f aca="false">IF(A97="","",C97+49)</f>
        <v/>
      </c>
      <c r="H97" s="7" t="str">
        <f aca="false">IF(A97="","",C97+63)</f>
        <v/>
      </c>
      <c r="I97" s="7" t="str">
        <f aca="false">IF(A97="","",C97+70)</f>
        <v/>
      </c>
      <c r="J97" s="7" t="str">
        <f aca="false">IF(A97="","",Students!F97)</f>
        <v/>
      </c>
    </row>
    <row r="98" customFormat="false" ht="15" hidden="false" customHeight="true" outlineLevel="0" collapsed="false">
      <c r="A98" s="11" t="str">
        <f aca="false">IF(Students!A98="","",Students!A98)</f>
        <v/>
      </c>
      <c r="B98" s="11" t="str">
        <f aca="false">IF(A98="","",Students!B98)</f>
        <v/>
      </c>
      <c r="C98" s="7" t="str">
        <f aca="false">IF(A98="","",Students!E98)</f>
        <v/>
      </c>
      <c r="D98" s="7" t="str">
        <f aca="false">IF(A98="","",C98+7)</f>
        <v/>
      </c>
      <c r="E98" s="7" t="str">
        <f aca="false">IF(A98="","",C98+21)</f>
        <v/>
      </c>
      <c r="F98" s="7" t="str">
        <f aca="false">IF(A98="","",C98+35)</f>
        <v/>
      </c>
      <c r="G98" s="7" t="str">
        <f aca="false">IF(A98="","",C98+49)</f>
        <v/>
      </c>
      <c r="H98" s="7" t="str">
        <f aca="false">IF(A98="","",C98+63)</f>
        <v/>
      </c>
      <c r="I98" s="7" t="str">
        <f aca="false">IF(A98="","",C98+70)</f>
        <v/>
      </c>
      <c r="J98" s="7" t="str">
        <f aca="false">IF(A98="","",Students!F98)</f>
        <v/>
      </c>
    </row>
    <row r="99" customFormat="false" ht="15" hidden="false" customHeight="true" outlineLevel="0" collapsed="false">
      <c r="A99" s="11" t="str">
        <f aca="false">IF(Students!A99="","",Students!A99)</f>
        <v/>
      </c>
      <c r="B99" s="11" t="str">
        <f aca="false">IF(A99="","",Students!B99)</f>
        <v/>
      </c>
      <c r="C99" s="7" t="str">
        <f aca="false">IF(A99="","",Students!E99)</f>
        <v/>
      </c>
      <c r="D99" s="7" t="str">
        <f aca="false">IF(A99="","",C99+7)</f>
        <v/>
      </c>
      <c r="E99" s="7" t="str">
        <f aca="false">IF(A99="","",C99+21)</f>
        <v/>
      </c>
      <c r="F99" s="7" t="str">
        <f aca="false">IF(A99="","",C99+35)</f>
        <v/>
      </c>
      <c r="G99" s="7" t="str">
        <f aca="false">IF(A99="","",C99+49)</f>
        <v/>
      </c>
      <c r="H99" s="7" t="str">
        <f aca="false">IF(A99="","",C99+63)</f>
        <v/>
      </c>
      <c r="I99" s="7" t="str">
        <f aca="false">IF(A99="","",C99+70)</f>
        <v/>
      </c>
      <c r="J99" s="7" t="str">
        <f aca="false">IF(A99="","",Students!F99)</f>
        <v/>
      </c>
    </row>
    <row r="100" customFormat="false" ht="15" hidden="false" customHeight="true" outlineLevel="0" collapsed="false">
      <c r="A100" s="11" t="str">
        <f aca="false">IF(Students!A100="","",Students!A100)</f>
        <v/>
      </c>
      <c r="B100" s="11" t="str">
        <f aca="false">IF(A100="","",Students!B100)</f>
        <v/>
      </c>
      <c r="C100" s="7" t="str">
        <f aca="false">IF(A100="","",Students!E100)</f>
        <v/>
      </c>
      <c r="D100" s="7" t="str">
        <f aca="false">IF(A100="","",C100+7)</f>
        <v/>
      </c>
      <c r="E100" s="7" t="str">
        <f aca="false">IF(A100="","",C100+21)</f>
        <v/>
      </c>
      <c r="F100" s="7" t="str">
        <f aca="false">IF(A100="","",C100+35)</f>
        <v/>
      </c>
      <c r="G100" s="7" t="str">
        <f aca="false">IF(A100="","",C100+49)</f>
        <v/>
      </c>
      <c r="H100" s="7" t="str">
        <f aca="false">IF(A100="","",C100+63)</f>
        <v/>
      </c>
      <c r="I100" s="7" t="str">
        <f aca="false">IF(A100="","",C100+70)</f>
        <v/>
      </c>
      <c r="J100" s="7" t="str">
        <f aca="false">IF(A100="","",Students!F100)</f>
        <v/>
      </c>
    </row>
    <row r="101" customFormat="false" ht="15" hidden="false" customHeight="true" outlineLevel="0" collapsed="false">
      <c r="A101" s="11" t="str">
        <f aca="false">IF(Students!A101="","",Students!A101)</f>
        <v/>
      </c>
      <c r="B101" s="11" t="str">
        <f aca="false">IF(A101="","",Students!B101)</f>
        <v/>
      </c>
      <c r="C101" s="7" t="str">
        <f aca="false">IF(A101="","",Students!E101)</f>
        <v/>
      </c>
      <c r="D101" s="7" t="str">
        <f aca="false">IF(A101="","",C101+7)</f>
        <v/>
      </c>
      <c r="E101" s="7" t="str">
        <f aca="false">IF(A101="","",C101+21)</f>
        <v/>
      </c>
      <c r="F101" s="7" t="str">
        <f aca="false">IF(A101="","",C101+35)</f>
        <v/>
      </c>
      <c r="G101" s="7" t="str">
        <f aca="false">IF(A101="","",C101+49)</f>
        <v/>
      </c>
      <c r="H101" s="7" t="str">
        <f aca="false">IF(A101="","",C101+63)</f>
        <v/>
      </c>
      <c r="I101" s="7" t="str">
        <f aca="false">IF(A101="","",C101+70)</f>
        <v/>
      </c>
      <c r="J101" s="7" t="str">
        <f aca="false">IF(A101="","",Students!F101)</f>
        <v/>
      </c>
    </row>
    <row r="102" customFormat="false" ht="15" hidden="false" customHeight="true" outlineLevel="0" collapsed="false">
      <c r="A102" s="11" t="str">
        <f aca="false">IF(Students!A102="","",Students!A102)</f>
        <v/>
      </c>
      <c r="B102" s="11" t="str">
        <f aca="false">IF(A102="","",Students!B102)</f>
        <v/>
      </c>
      <c r="C102" s="7" t="str">
        <f aca="false">IF(A102="","",Students!E102)</f>
        <v/>
      </c>
      <c r="D102" s="7" t="str">
        <f aca="false">IF(A102="","",C102+7)</f>
        <v/>
      </c>
      <c r="E102" s="7" t="str">
        <f aca="false">IF(A102="","",C102+21)</f>
        <v/>
      </c>
      <c r="F102" s="7" t="str">
        <f aca="false">IF(A102="","",C102+35)</f>
        <v/>
      </c>
      <c r="G102" s="7" t="str">
        <f aca="false">IF(A102="","",C102+49)</f>
        <v/>
      </c>
      <c r="H102" s="7" t="str">
        <f aca="false">IF(A102="","",C102+63)</f>
        <v/>
      </c>
      <c r="I102" s="7" t="str">
        <f aca="false">IF(A102="","",C102+70)</f>
        <v/>
      </c>
      <c r="J102" s="7" t="str">
        <f aca="false">IF(A102="","",Students!F102)</f>
        <v/>
      </c>
    </row>
    <row r="103" customFormat="false" ht="15" hidden="false" customHeight="true" outlineLevel="0" collapsed="false">
      <c r="A103" s="11" t="str">
        <f aca="false">IF(Students!A103="","",Students!A103)</f>
        <v/>
      </c>
      <c r="B103" s="11" t="str">
        <f aca="false">IF(A103="","",Students!B103)</f>
        <v/>
      </c>
      <c r="C103" s="7" t="str">
        <f aca="false">IF(A103="","",Students!E103)</f>
        <v/>
      </c>
      <c r="D103" s="7" t="str">
        <f aca="false">IF(A103="","",C103+7)</f>
        <v/>
      </c>
      <c r="E103" s="7" t="str">
        <f aca="false">IF(A103="","",C103+21)</f>
        <v/>
      </c>
      <c r="F103" s="7" t="str">
        <f aca="false">IF(A103="","",C103+35)</f>
        <v/>
      </c>
      <c r="G103" s="7" t="str">
        <f aca="false">IF(A103="","",C103+49)</f>
        <v/>
      </c>
      <c r="H103" s="7" t="str">
        <f aca="false">IF(A103="","",C103+63)</f>
        <v/>
      </c>
      <c r="I103" s="7" t="str">
        <f aca="false">IF(A103="","",C103+70)</f>
        <v/>
      </c>
      <c r="J103" s="7" t="str">
        <f aca="false">IF(A103="","",Students!F103)</f>
        <v/>
      </c>
    </row>
    <row r="104" customFormat="false" ht="15" hidden="false" customHeight="true" outlineLevel="0" collapsed="false">
      <c r="A104" s="11" t="str">
        <f aca="false">IF(Students!A104="","",Students!A104)</f>
        <v/>
      </c>
      <c r="B104" s="11" t="str">
        <f aca="false">IF(A104="","",Students!B104)</f>
        <v/>
      </c>
      <c r="C104" s="7" t="str">
        <f aca="false">IF(A104="","",Students!E104)</f>
        <v/>
      </c>
      <c r="D104" s="7" t="str">
        <f aca="false">IF(A104="","",C104+7)</f>
        <v/>
      </c>
      <c r="E104" s="7" t="str">
        <f aca="false">IF(A104="","",C104+21)</f>
        <v/>
      </c>
      <c r="F104" s="7" t="str">
        <f aca="false">IF(A104="","",C104+35)</f>
        <v/>
      </c>
      <c r="G104" s="7" t="str">
        <f aca="false">IF(A104="","",C104+49)</f>
        <v/>
      </c>
      <c r="H104" s="7" t="str">
        <f aca="false">IF(A104="","",C104+63)</f>
        <v/>
      </c>
      <c r="I104" s="7" t="str">
        <f aca="false">IF(A104="","",C104+70)</f>
        <v/>
      </c>
      <c r="J104" s="7" t="str">
        <f aca="false">IF(A104="","",Students!F104)</f>
        <v/>
      </c>
    </row>
    <row r="105" customFormat="false" ht="15" hidden="false" customHeight="true" outlineLevel="0" collapsed="false">
      <c r="A105" s="11" t="str">
        <f aca="false">IF(Students!A105="","",Students!A105)</f>
        <v/>
      </c>
      <c r="B105" s="11" t="str">
        <f aca="false">IF(A105="","",Students!B105)</f>
        <v/>
      </c>
      <c r="C105" s="7" t="str">
        <f aca="false">IF(A105="","",Students!E105)</f>
        <v/>
      </c>
      <c r="D105" s="7" t="str">
        <f aca="false">IF(A105="","",C105+7)</f>
        <v/>
      </c>
      <c r="E105" s="7" t="str">
        <f aca="false">IF(A105="","",C105+21)</f>
        <v/>
      </c>
      <c r="F105" s="7" t="str">
        <f aca="false">IF(A105="","",C105+35)</f>
        <v/>
      </c>
      <c r="G105" s="7" t="str">
        <f aca="false">IF(A105="","",C105+49)</f>
        <v/>
      </c>
      <c r="H105" s="7" t="str">
        <f aca="false">IF(A105="","",C105+63)</f>
        <v/>
      </c>
      <c r="I105" s="7" t="str">
        <f aca="false">IF(A105="","",C105+70)</f>
        <v/>
      </c>
      <c r="J105" s="7" t="str">
        <f aca="false">IF(A105="","",Students!F105)</f>
        <v/>
      </c>
    </row>
    <row r="106" customFormat="false" ht="15" hidden="false" customHeight="true" outlineLevel="0" collapsed="false">
      <c r="A106" s="11" t="str">
        <f aca="false">IF(Students!A106="","",Students!A106)</f>
        <v/>
      </c>
      <c r="B106" s="11" t="str">
        <f aca="false">IF(A106="","",Students!B106)</f>
        <v/>
      </c>
      <c r="C106" s="7" t="str">
        <f aca="false">IF(A106="","",Students!E106)</f>
        <v/>
      </c>
      <c r="D106" s="7" t="str">
        <f aca="false">IF(A106="","",C106+7)</f>
        <v/>
      </c>
      <c r="E106" s="7" t="str">
        <f aca="false">IF(A106="","",C106+21)</f>
        <v/>
      </c>
      <c r="F106" s="7" t="str">
        <f aca="false">IF(A106="","",C106+35)</f>
        <v/>
      </c>
      <c r="G106" s="7" t="str">
        <f aca="false">IF(A106="","",C106+49)</f>
        <v/>
      </c>
      <c r="H106" s="7" t="str">
        <f aca="false">IF(A106="","",C106+63)</f>
        <v/>
      </c>
      <c r="I106" s="7" t="str">
        <f aca="false">IF(A106="","",C106+70)</f>
        <v/>
      </c>
      <c r="J106" s="7" t="str">
        <f aca="false">IF(A106="","",Students!F106)</f>
        <v/>
      </c>
    </row>
    <row r="107" customFormat="false" ht="15" hidden="false" customHeight="true" outlineLevel="0" collapsed="false">
      <c r="A107" s="11" t="str">
        <f aca="false">IF(Students!A107="","",Students!A107)</f>
        <v/>
      </c>
      <c r="B107" s="11" t="str">
        <f aca="false">IF(A107="","",Students!B107)</f>
        <v/>
      </c>
      <c r="C107" s="7" t="str">
        <f aca="false">IF(A107="","",Students!E107)</f>
        <v/>
      </c>
      <c r="D107" s="7" t="str">
        <f aca="false">IF(A107="","",C107+7)</f>
        <v/>
      </c>
      <c r="E107" s="7" t="str">
        <f aca="false">IF(A107="","",C107+21)</f>
        <v/>
      </c>
      <c r="F107" s="7" t="str">
        <f aca="false">IF(A107="","",C107+35)</f>
        <v/>
      </c>
      <c r="G107" s="7" t="str">
        <f aca="false">IF(A107="","",C107+49)</f>
        <v/>
      </c>
      <c r="H107" s="7" t="str">
        <f aca="false">IF(A107="","",C107+63)</f>
        <v/>
      </c>
      <c r="I107" s="7" t="str">
        <f aca="false">IF(A107="","",C107+70)</f>
        <v/>
      </c>
      <c r="J107" s="7" t="str">
        <f aca="false">IF(A107="","",Students!F107)</f>
        <v/>
      </c>
    </row>
    <row r="108" customFormat="false" ht="15" hidden="false" customHeight="true" outlineLevel="0" collapsed="false">
      <c r="A108" s="11" t="str">
        <f aca="false">IF(Students!A108="","",Students!A108)</f>
        <v/>
      </c>
      <c r="B108" s="11" t="str">
        <f aca="false">IF(A108="","",Students!B108)</f>
        <v/>
      </c>
      <c r="C108" s="7" t="str">
        <f aca="false">IF(A108="","",Students!E108)</f>
        <v/>
      </c>
      <c r="D108" s="7" t="str">
        <f aca="false">IF(A108="","",C108+7)</f>
        <v/>
      </c>
      <c r="E108" s="7" t="str">
        <f aca="false">IF(A108="","",C108+21)</f>
        <v/>
      </c>
      <c r="F108" s="7" t="str">
        <f aca="false">IF(A108="","",C108+35)</f>
        <v/>
      </c>
      <c r="G108" s="7" t="str">
        <f aca="false">IF(A108="","",C108+49)</f>
        <v/>
      </c>
      <c r="H108" s="7" t="str">
        <f aca="false">IF(A108="","",C108+63)</f>
        <v/>
      </c>
      <c r="I108" s="7" t="str">
        <f aca="false">IF(A108="","",C108+70)</f>
        <v/>
      </c>
      <c r="J108" s="7" t="str">
        <f aca="false">IF(A108="","",Students!F108)</f>
        <v/>
      </c>
    </row>
    <row r="109" customFormat="false" ht="15" hidden="false" customHeight="true" outlineLevel="0" collapsed="false">
      <c r="A109" s="11" t="str">
        <f aca="false">IF(Students!A109="","",Students!A109)</f>
        <v/>
      </c>
      <c r="B109" s="11" t="str">
        <f aca="false">IF(A109="","",Students!B109)</f>
        <v/>
      </c>
      <c r="C109" s="7" t="str">
        <f aca="false">IF(A109="","",Students!E109)</f>
        <v/>
      </c>
      <c r="D109" s="7" t="str">
        <f aca="false">IF(A109="","",C109+7)</f>
        <v/>
      </c>
      <c r="E109" s="7" t="str">
        <f aca="false">IF(A109="","",C109+21)</f>
        <v/>
      </c>
      <c r="F109" s="7" t="str">
        <f aca="false">IF(A109="","",C109+35)</f>
        <v/>
      </c>
      <c r="G109" s="7" t="str">
        <f aca="false">IF(A109="","",C109+49)</f>
        <v/>
      </c>
      <c r="H109" s="7" t="str">
        <f aca="false">IF(A109="","",C109+63)</f>
        <v/>
      </c>
      <c r="I109" s="7" t="str">
        <f aca="false">IF(A109="","",C109+70)</f>
        <v/>
      </c>
      <c r="J109" s="7" t="str">
        <f aca="false">IF(A109="","",Students!F109)</f>
        <v/>
      </c>
    </row>
    <row r="110" customFormat="false" ht="15" hidden="false" customHeight="true" outlineLevel="0" collapsed="false">
      <c r="A110" s="11" t="str">
        <f aca="false">IF(Students!A110="","",Students!A110)</f>
        <v/>
      </c>
      <c r="B110" s="11" t="str">
        <f aca="false">IF(A110="","",Students!B110)</f>
        <v/>
      </c>
      <c r="C110" s="7" t="str">
        <f aca="false">IF(A110="","",Students!E110)</f>
        <v/>
      </c>
      <c r="D110" s="7" t="str">
        <f aca="false">IF(A110="","",C110+7)</f>
        <v/>
      </c>
      <c r="E110" s="7" t="str">
        <f aca="false">IF(A110="","",C110+21)</f>
        <v/>
      </c>
      <c r="F110" s="7" t="str">
        <f aca="false">IF(A110="","",C110+35)</f>
        <v/>
      </c>
      <c r="G110" s="7" t="str">
        <f aca="false">IF(A110="","",C110+49)</f>
        <v/>
      </c>
      <c r="H110" s="7" t="str">
        <f aca="false">IF(A110="","",C110+63)</f>
        <v/>
      </c>
      <c r="I110" s="7" t="str">
        <f aca="false">IF(A110="","",C110+70)</f>
        <v/>
      </c>
      <c r="J110" s="7" t="str">
        <f aca="false">IF(A110="","",Students!F110)</f>
        <v/>
      </c>
    </row>
    <row r="111" customFormat="false" ht="15" hidden="false" customHeight="true" outlineLevel="0" collapsed="false">
      <c r="A111" s="11" t="str">
        <f aca="false">IF(Students!A111="","",Students!A111)</f>
        <v/>
      </c>
      <c r="B111" s="11" t="str">
        <f aca="false">IF(A111="","",Students!B111)</f>
        <v/>
      </c>
      <c r="C111" s="7" t="str">
        <f aca="false">IF(A111="","",Students!E111)</f>
        <v/>
      </c>
      <c r="D111" s="7" t="str">
        <f aca="false">IF(A111="","",C111+7)</f>
        <v/>
      </c>
      <c r="E111" s="7" t="str">
        <f aca="false">IF(A111="","",C111+21)</f>
        <v/>
      </c>
      <c r="F111" s="7" t="str">
        <f aca="false">IF(A111="","",C111+35)</f>
        <v/>
      </c>
      <c r="G111" s="7" t="str">
        <f aca="false">IF(A111="","",C111+49)</f>
        <v/>
      </c>
      <c r="H111" s="7" t="str">
        <f aca="false">IF(A111="","",C111+63)</f>
        <v/>
      </c>
      <c r="I111" s="7" t="str">
        <f aca="false">IF(A111="","",C111+70)</f>
        <v/>
      </c>
      <c r="J111" s="7" t="str">
        <f aca="false">IF(A111="","",Students!F111)</f>
        <v/>
      </c>
    </row>
    <row r="112" customFormat="false" ht="15" hidden="false" customHeight="true" outlineLevel="0" collapsed="false">
      <c r="A112" s="11" t="str">
        <f aca="false">IF(Students!A112="","",Students!A112)</f>
        <v/>
      </c>
      <c r="B112" s="11" t="str">
        <f aca="false">IF(A112="","",Students!B112)</f>
        <v/>
      </c>
      <c r="C112" s="7" t="str">
        <f aca="false">IF(A112="","",Students!E112)</f>
        <v/>
      </c>
      <c r="D112" s="7" t="str">
        <f aca="false">IF(A112="","",C112+7)</f>
        <v/>
      </c>
      <c r="E112" s="7" t="str">
        <f aca="false">IF(A112="","",C112+21)</f>
        <v/>
      </c>
      <c r="F112" s="7" t="str">
        <f aca="false">IF(A112="","",C112+35)</f>
        <v/>
      </c>
      <c r="G112" s="7" t="str">
        <f aca="false">IF(A112="","",C112+49)</f>
        <v/>
      </c>
      <c r="H112" s="7" t="str">
        <f aca="false">IF(A112="","",C112+63)</f>
        <v/>
      </c>
      <c r="I112" s="7" t="str">
        <f aca="false">IF(A112="","",C112+70)</f>
        <v/>
      </c>
      <c r="J112" s="7" t="str">
        <f aca="false">IF(A112="","",Students!F112)</f>
        <v/>
      </c>
    </row>
    <row r="113" customFormat="false" ht="15" hidden="false" customHeight="true" outlineLevel="0" collapsed="false">
      <c r="A113" s="11" t="str">
        <f aca="false">IF(Students!A113="","",Students!A113)</f>
        <v/>
      </c>
      <c r="B113" s="11" t="str">
        <f aca="false">IF(A113="","",Students!B113)</f>
        <v/>
      </c>
      <c r="C113" s="7" t="str">
        <f aca="false">IF(A113="","",Students!E113)</f>
        <v/>
      </c>
      <c r="D113" s="7" t="str">
        <f aca="false">IF(A113="","",C113+7)</f>
        <v/>
      </c>
      <c r="E113" s="7" t="str">
        <f aca="false">IF(A113="","",C113+21)</f>
        <v/>
      </c>
      <c r="F113" s="7" t="str">
        <f aca="false">IF(A113="","",C113+35)</f>
        <v/>
      </c>
      <c r="G113" s="7" t="str">
        <f aca="false">IF(A113="","",C113+49)</f>
        <v/>
      </c>
      <c r="H113" s="7" t="str">
        <f aca="false">IF(A113="","",C113+63)</f>
        <v/>
      </c>
      <c r="I113" s="7" t="str">
        <f aca="false">IF(A113="","",C113+70)</f>
        <v/>
      </c>
      <c r="J113" s="7" t="str">
        <f aca="false">IF(A113="","",Students!F113)</f>
        <v/>
      </c>
    </row>
    <row r="114" customFormat="false" ht="15" hidden="false" customHeight="true" outlineLevel="0" collapsed="false">
      <c r="A114" s="11" t="str">
        <f aca="false">IF(Students!A114="","",Students!A114)</f>
        <v/>
      </c>
      <c r="B114" s="11" t="str">
        <f aca="false">IF(A114="","",Students!B114)</f>
        <v/>
      </c>
      <c r="C114" s="7" t="str">
        <f aca="false">IF(A114="","",Students!E114)</f>
        <v/>
      </c>
      <c r="D114" s="7" t="str">
        <f aca="false">IF(A114="","",C114+7)</f>
        <v/>
      </c>
      <c r="E114" s="7" t="str">
        <f aca="false">IF(A114="","",C114+21)</f>
        <v/>
      </c>
      <c r="F114" s="7" t="str">
        <f aca="false">IF(A114="","",C114+35)</f>
        <v/>
      </c>
      <c r="G114" s="7" t="str">
        <f aca="false">IF(A114="","",C114+49)</f>
        <v/>
      </c>
      <c r="H114" s="7" t="str">
        <f aca="false">IF(A114="","",C114+63)</f>
        <v/>
      </c>
      <c r="I114" s="7" t="str">
        <f aca="false">IF(A114="","",C114+70)</f>
        <v/>
      </c>
      <c r="J114" s="7" t="str">
        <f aca="false">IF(A114="","",Students!F114)</f>
        <v/>
      </c>
    </row>
    <row r="115" customFormat="false" ht="15" hidden="false" customHeight="true" outlineLevel="0" collapsed="false">
      <c r="A115" s="11" t="str">
        <f aca="false">IF(Students!A115="","",Students!A115)</f>
        <v/>
      </c>
      <c r="B115" s="11" t="str">
        <f aca="false">IF(A115="","",Students!B115)</f>
        <v/>
      </c>
      <c r="C115" s="7" t="str">
        <f aca="false">IF(A115="","",Students!E115)</f>
        <v/>
      </c>
      <c r="D115" s="7" t="str">
        <f aca="false">IF(A115="","",C115+7)</f>
        <v/>
      </c>
      <c r="E115" s="7" t="str">
        <f aca="false">IF(A115="","",C115+21)</f>
        <v/>
      </c>
      <c r="F115" s="7" t="str">
        <f aca="false">IF(A115="","",C115+35)</f>
        <v/>
      </c>
      <c r="G115" s="7" t="str">
        <f aca="false">IF(A115="","",C115+49)</f>
        <v/>
      </c>
      <c r="H115" s="7" t="str">
        <f aca="false">IF(A115="","",C115+63)</f>
        <v/>
      </c>
      <c r="I115" s="7" t="str">
        <f aca="false">IF(A115="","",C115+70)</f>
        <v/>
      </c>
      <c r="J115" s="7" t="str">
        <f aca="false">IF(A115="","",Students!F115)</f>
        <v/>
      </c>
    </row>
    <row r="116" customFormat="false" ht="15" hidden="false" customHeight="true" outlineLevel="0" collapsed="false">
      <c r="A116" s="11" t="str">
        <f aca="false">IF(Students!A116="","",Students!A116)</f>
        <v/>
      </c>
      <c r="B116" s="11" t="str">
        <f aca="false">IF(A116="","",Students!B116)</f>
        <v/>
      </c>
      <c r="C116" s="7" t="str">
        <f aca="false">IF(A116="","",Students!E116)</f>
        <v/>
      </c>
      <c r="D116" s="7" t="str">
        <f aca="false">IF(A116="","",C116+7)</f>
        <v/>
      </c>
      <c r="E116" s="7" t="str">
        <f aca="false">IF(A116="","",C116+21)</f>
        <v/>
      </c>
      <c r="F116" s="7" t="str">
        <f aca="false">IF(A116="","",C116+35)</f>
        <v/>
      </c>
      <c r="G116" s="7" t="str">
        <f aca="false">IF(A116="","",C116+49)</f>
        <v/>
      </c>
      <c r="H116" s="7" t="str">
        <f aca="false">IF(A116="","",C116+63)</f>
        <v/>
      </c>
      <c r="I116" s="7" t="str">
        <f aca="false">IF(A116="","",C116+70)</f>
        <v/>
      </c>
      <c r="J116" s="7" t="str">
        <f aca="false">IF(A116="","",Students!F116)</f>
        <v/>
      </c>
    </row>
    <row r="117" customFormat="false" ht="15" hidden="false" customHeight="true" outlineLevel="0" collapsed="false">
      <c r="A117" s="11" t="str">
        <f aca="false">IF(Students!A117="","",Students!A117)</f>
        <v/>
      </c>
      <c r="B117" s="11" t="str">
        <f aca="false">IF(A117="","",Students!B117)</f>
        <v/>
      </c>
      <c r="C117" s="7" t="str">
        <f aca="false">IF(A117="","",Students!E117)</f>
        <v/>
      </c>
      <c r="D117" s="7" t="str">
        <f aca="false">IF(A117="","",C117+7)</f>
        <v/>
      </c>
      <c r="E117" s="7" t="str">
        <f aca="false">IF(A117="","",C117+21)</f>
        <v/>
      </c>
      <c r="F117" s="7" t="str">
        <f aca="false">IF(A117="","",C117+35)</f>
        <v/>
      </c>
      <c r="G117" s="7" t="str">
        <f aca="false">IF(A117="","",C117+49)</f>
        <v/>
      </c>
      <c r="H117" s="7" t="str">
        <f aca="false">IF(A117="","",C117+63)</f>
        <v/>
      </c>
      <c r="I117" s="7" t="str">
        <f aca="false">IF(A117="","",C117+70)</f>
        <v/>
      </c>
      <c r="J117" s="7" t="str">
        <f aca="false">IF(A117="","",Students!F117)</f>
        <v/>
      </c>
    </row>
    <row r="118" customFormat="false" ht="15" hidden="false" customHeight="true" outlineLevel="0" collapsed="false">
      <c r="A118" s="11" t="str">
        <f aca="false">IF(Students!A118="","",Students!A118)</f>
        <v/>
      </c>
      <c r="B118" s="11" t="str">
        <f aca="false">IF(A118="","",Students!B118)</f>
        <v/>
      </c>
      <c r="C118" s="7" t="str">
        <f aca="false">IF(A118="","",Students!E118)</f>
        <v/>
      </c>
      <c r="D118" s="7" t="str">
        <f aca="false">IF(A118="","",C118+7)</f>
        <v/>
      </c>
      <c r="E118" s="7" t="str">
        <f aca="false">IF(A118="","",C118+21)</f>
        <v/>
      </c>
      <c r="F118" s="7" t="str">
        <f aca="false">IF(A118="","",C118+35)</f>
        <v/>
      </c>
      <c r="G118" s="7" t="str">
        <f aca="false">IF(A118="","",C118+49)</f>
        <v/>
      </c>
      <c r="H118" s="7" t="str">
        <f aca="false">IF(A118="","",C118+63)</f>
        <v/>
      </c>
      <c r="I118" s="7" t="str">
        <f aca="false">IF(A118="","",C118+70)</f>
        <v/>
      </c>
      <c r="J118" s="7" t="str">
        <f aca="false">IF(A118="","",Students!F118)</f>
        <v/>
      </c>
    </row>
    <row r="119" customFormat="false" ht="15" hidden="false" customHeight="true" outlineLevel="0" collapsed="false">
      <c r="A119" s="11" t="str">
        <f aca="false">IF(Students!A119="","",Students!A119)</f>
        <v/>
      </c>
      <c r="B119" s="11" t="str">
        <f aca="false">IF(A119="","",Students!B119)</f>
        <v/>
      </c>
      <c r="C119" s="7" t="str">
        <f aca="false">IF(A119="","",Students!E119)</f>
        <v/>
      </c>
      <c r="D119" s="7" t="str">
        <f aca="false">IF(A119="","",C119+7)</f>
        <v/>
      </c>
      <c r="E119" s="7" t="str">
        <f aca="false">IF(A119="","",C119+21)</f>
        <v/>
      </c>
      <c r="F119" s="7" t="str">
        <f aca="false">IF(A119="","",C119+35)</f>
        <v/>
      </c>
      <c r="G119" s="7" t="str">
        <f aca="false">IF(A119="","",C119+49)</f>
        <v/>
      </c>
      <c r="H119" s="7" t="str">
        <f aca="false">IF(A119="","",C119+63)</f>
        <v/>
      </c>
      <c r="I119" s="7" t="str">
        <f aca="false">IF(A119="","",C119+70)</f>
        <v/>
      </c>
      <c r="J119" s="7" t="str">
        <f aca="false">IF(A119="","",Students!F119)</f>
        <v/>
      </c>
    </row>
    <row r="120" customFormat="false" ht="15" hidden="false" customHeight="true" outlineLevel="0" collapsed="false">
      <c r="A120" s="11" t="str">
        <f aca="false">IF(Students!A120="","",Students!A120)</f>
        <v/>
      </c>
      <c r="B120" s="11" t="str">
        <f aca="false">IF(A120="","",Students!B120)</f>
        <v/>
      </c>
      <c r="C120" s="7" t="str">
        <f aca="false">IF(A120="","",Students!E120)</f>
        <v/>
      </c>
      <c r="D120" s="7" t="str">
        <f aca="false">IF(A120="","",C120+7)</f>
        <v/>
      </c>
      <c r="E120" s="7" t="str">
        <f aca="false">IF(A120="","",C120+21)</f>
        <v/>
      </c>
      <c r="F120" s="7" t="str">
        <f aca="false">IF(A120="","",C120+35)</f>
        <v/>
      </c>
      <c r="G120" s="7" t="str">
        <f aca="false">IF(A120="","",C120+49)</f>
        <v/>
      </c>
      <c r="H120" s="7" t="str">
        <f aca="false">IF(A120="","",C120+63)</f>
        <v/>
      </c>
      <c r="I120" s="7" t="str">
        <f aca="false">IF(A120="","",C120+70)</f>
        <v/>
      </c>
      <c r="J120" s="7" t="str">
        <f aca="false">IF(A120="","",Students!F120)</f>
        <v/>
      </c>
    </row>
    <row r="121" customFormat="false" ht="15" hidden="false" customHeight="true" outlineLevel="0" collapsed="false">
      <c r="A121" s="11" t="str">
        <f aca="false">IF(Students!A121="","",Students!A121)</f>
        <v/>
      </c>
      <c r="B121" s="11" t="str">
        <f aca="false">IF(A121="","",Students!B121)</f>
        <v/>
      </c>
      <c r="C121" s="7" t="str">
        <f aca="false">IF(A121="","",Students!E121)</f>
        <v/>
      </c>
      <c r="D121" s="7" t="str">
        <f aca="false">IF(A121="","",C121+7)</f>
        <v/>
      </c>
      <c r="E121" s="7" t="str">
        <f aca="false">IF(A121="","",C121+21)</f>
        <v/>
      </c>
      <c r="F121" s="7" t="str">
        <f aca="false">IF(A121="","",C121+35)</f>
        <v/>
      </c>
      <c r="G121" s="7" t="str">
        <f aca="false">IF(A121="","",C121+49)</f>
        <v/>
      </c>
      <c r="H121" s="7" t="str">
        <f aca="false">IF(A121="","",C121+63)</f>
        <v/>
      </c>
      <c r="I121" s="7" t="str">
        <f aca="false">IF(A121="","",C121+70)</f>
        <v/>
      </c>
      <c r="J121" s="7" t="str">
        <f aca="false">IF(A121="","",Students!F121)</f>
        <v/>
      </c>
    </row>
    <row r="122" customFormat="false" ht="15" hidden="false" customHeight="true" outlineLevel="0" collapsed="false">
      <c r="A122" s="11" t="str">
        <f aca="false">IF(Students!A122="","",Students!A122)</f>
        <v/>
      </c>
      <c r="B122" s="11" t="str">
        <f aca="false">IF(A122="","",Students!B122)</f>
        <v/>
      </c>
      <c r="C122" s="7" t="str">
        <f aca="false">IF(A122="","",Students!E122)</f>
        <v/>
      </c>
      <c r="D122" s="7" t="str">
        <f aca="false">IF(A122="","",C122+7)</f>
        <v/>
      </c>
      <c r="E122" s="7" t="str">
        <f aca="false">IF(A122="","",C122+21)</f>
        <v/>
      </c>
      <c r="F122" s="7" t="str">
        <f aca="false">IF(A122="","",C122+35)</f>
        <v/>
      </c>
      <c r="G122" s="7" t="str">
        <f aca="false">IF(A122="","",C122+49)</f>
        <v/>
      </c>
      <c r="H122" s="7" t="str">
        <f aca="false">IF(A122="","",C122+63)</f>
        <v/>
      </c>
      <c r="I122" s="7" t="str">
        <f aca="false">IF(A122="","",C122+70)</f>
        <v/>
      </c>
      <c r="J122" s="7" t="str">
        <f aca="false">IF(A122="","",Students!F122)</f>
        <v/>
      </c>
    </row>
    <row r="123" customFormat="false" ht="15" hidden="false" customHeight="true" outlineLevel="0" collapsed="false">
      <c r="A123" s="11" t="str">
        <f aca="false">IF(Students!A123="","",Students!A123)</f>
        <v/>
      </c>
      <c r="B123" s="11" t="str">
        <f aca="false">IF(A123="","",Students!B123)</f>
        <v/>
      </c>
      <c r="C123" s="7" t="str">
        <f aca="false">IF(A123="","",Students!E123)</f>
        <v/>
      </c>
      <c r="D123" s="7" t="str">
        <f aca="false">IF(A123="","",C123+7)</f>
        <v/>
      </c>
      <c r="E123" s="7" t="str">
        <f aca="false">IF(A123="","",C123+21)</f>
        <v/>
      </c>
      <c r="F123" s="7" t="str">
        <f aca="false">IF(A123="","",C123+35)</f>
        <v/>
      </c>
      <c r="G123" s="7" t="str">
        <f aca="false">IF(A123="","",C123+49)</f>
        <v/>
      </c>
      <c r="H123" s="7" t="str">
        <f aca="false">IF(A123="","",C123+63)</f>
        <v/>
      </c>
      <c r="I123" s="7" t="str">
        <f aca="false">IF(A123="","",C123+70)</f>
        <v/>
      </c>
      <c r="J123" s="7" t="str">
        <f aca="false">IF(A123="","",Students!F123)</f>
        <v/>
      </c>
    </row>
    <row r="124" customFormat="false" ht="15" hidden="false" customHeight="true" outlineLevel="0" collapsed="false">
      <c r="A124" s="11" t="str">
        <f aca="false">IF(Students!A124="","",Students!A124)</f>
        <v/>
      </c>
      <c r="B124" s="11" t="str">
        <f aca="false">IF(A124="","",Students!B124)</f>
        <v/>
      </c>
      <c r="C124" s="7" t="str">
        <f aca="false">IF(A124="","",Students!E124)</f>
        <v/>
      </c>
      <c r="D124" s="7" t="str">
        <f aca="false">IF(A124="","",C124+7)</f>
        <v/>
      </c>
      <c r="E124" s="7" t="str">
        <f aca="false">IF(A124="","",C124+21)</f>
        <v/>
      </c>
      <c r="F124" s="7" t="str">
        <f aca="false">IF(A124="","",C124+35)</f>
        <v/>
      </c>
      <c r="G124" s="7" t="str">
        <f aca="false">IF(A124="","",C124+49)</f>
        <v/>
      </c>
      <c r="H124" s="7" t="str">
        <f aca="false">IF(A124="","",C124+63)</f>
        <v/>
      </c>
      <c r="I124" s="7" t="str">
        <f aca="false">IF(A124="","",C124+70)</f>
        <v/>
      </c>
      <c r="J124" s="7" t="str">
        <f aca="false">IF(A124="","",Students!F124)</f>
        <v/>
      </c>
    </row>
    <row r="125" customFormat="false" ht="15" hidden="false" customHeight="true" outlineLevel="0" collapsed="false">
      <c r="A125" s="11" t="str">
        <f aca="false">IF(Students!A125="","",Students!A125)</f>
        <v/>
      </c>
      <c r="B125" s="11" t="str">
        <f aca="false">IF(A125="","",Students!B125)</f>
        <v/>
      </c>
      <c r="C125" s="7" t="str">
        <f aca="false">IF(A125="","",Students!E125)</f>
        <v/>
      </c>
      <c r="D125" s="7" t="str">
        <f aca="false">IF(A125="","",C125+7)</f>
        <v/>
      </c>
      <c r="E125" s="7" t="str">
        <f aca="false">IF(A125="","",C125+21)</f>
        <v/>
      </c>
      <c r="F125" s="7" t="str">
        <f aca="false">IF(A125="","",C125+35)</f>
        <v/>
      </c>
      <c r="G125" s="7" t="str">
        <f aca="false">IF(A125="","",C125+49)</f>
        <v/>
      </c>
      <c r="H125" s="7" t="str">
        <f aca="false">IF(A125="","",C125+63)</f>
        <v/>
      </c>
      <c r="I125" s="7" t="str">
        <f aca="false">IF(A125="","",C125+70)</f>
        <v/>
      </c>
      <c r="J125" s="7" t="str">
        <f aca="false">IF(A125="","",Students!F125)</f>
        <v/>
      </c>
    </row>
    <row r="126" customFormat="false" ht="15" hidden="false" customHeight="true" outlineLevel="0" collapsed="false">
      <c r="A126" s="11" t="str">
        <f aca="false">IF(Students!A126="","",Students!A126)</f>
        <v/>
      </c>
      <c r="B126" s="11" t="str">
        <f aca="false">IF(A126="","",Students!B126)</f>
        <v/>
      </c>
      <c r="C126" s="7" t="str">
        <f aca="false">IF(A126="","",Students!E126)</f>
        <v/>
      </c>
      <c r="D126" s="7" t="str">
        <f aca="false">IF(A126="","",C126+7)</f>
        <v/>
      </c>
      <c r="E126" s="7" t="str">
        <f aca="false">IF(A126="","",C126+21)</f>
        <v/>
      </c>
      <c r="F126" s="7" t="str">
        <f aca="false">IF(A126="","",C126+35)</f>
        <v/>
      </c>
      <c r="G126" s="7" t="str">
        <f aca="false">IF(A126="","",C126+49)</f>
        <v/>
      </c>
      <c r="H126" s="7" t="str">
        <f aca="false">IF(A126="","",C126+63)</f>
        <v/>
      </c>
      <c r="I126" s="7" t="str">
        <f aca="false">IF(A126="","",C126+70)</f>
        <v/>
      </c>
      <c r="J126" s="7" t="str">
        <f aca="false">IF(A126="","",Students!F126)</f>
        <v/>
      </c>
    </row>
    <row r="127" customFormat="false" ht="15" hidden="false" customHeight="true" outlineLevel="0" collapsed="false">
      <c r="A127" s="11" t="str">
        <f aca="false">IF(Students!A127="","",Students!A127)</f>
        <v/>
      </c>
      <c r="B127" s="11" t="str">
        <f aca="false">IF(A127="","",Students!B127)</f>
        <v/>
      </c>
      <c r="C127" s="7" t="str">
        <f aca="false">IF(A127="","",Students!E127)</f>
        <v/>
      </c>
      <c r="D127" s="7" t="str">
        <f aca="false">IF(A127="","",C127+7)</f>
        <v/>
      </c>
      <c r="E127" s="7" t="str">
        <f aca="false">IF(A127="","",C127+21)</f>
        <v/>
      </c>
      <c r="F127" s="7" t="str">
        <f aca="false">IF(A127="","",C127+35)</f>
        <v/>
      </c>
      <c r="G127" s="7" t="str">
        <f aca="false">IF(A127="","",C127+49)</f>
        <v/>
      </c>
      <c r="H127" s="7" t="str">
        <f aca="false">IF(A127="","",C127+63)</f>
        <v/>
      </c>
      <c r="I127" s="7" t="str">
        <f aca="false">IF(A127="","",C127+70)</f>
        <v/>
      </c>
      <c r="J127" s="7" t="str">
        <f aca="false">IF(A127="","",Students!F127)</f>
        <v/>
      </c>
    </row>
    <row r="128" customFormat="false" ht="15" hidden="false" customHeight="true" outlineLevel="0" collapsed="false">
      <c r="A128" s="11" t="str">
        <f aca="false">IF(Students!A128="","",Students!A128)</f>
        <v/>
      </c>
      <c r="B128" s="11" t="str">
        <f aca="false">IF(A128="","",Students!B128)</f>
        <v/>
      </c>
      <c r="C128" s="7" t="str">
        <f aca="false">IF(A128="","",Students!E128)</f>
        <v/>
      </c>
      <c r="D128" s="7" t="str">
        <f aca="false">IF(A128="","",C128+7)</f>
        <v/>
      </c>
      <c r="E128" s="7" t="str">
        <f aca="false">IF(A128="","",C128+21)</f>
        <v/>
      </c>
      <c r="F128" s="7" t="str">
        <f aca="false">IF(A128="","",C128+35)</f>
        <v/>
      </c>
      <c r="G128" s="7" t="str">
        <f aca="false">IF(A128="","",C128+49)</f>
        <v/>
      </c>
      <c r="H128" s="7" t="str">
        <f aca="false">IF(A128="","",C128+63)</f>
        <v/>
      </c>
      <c r="I128" s="7" t="str">
        <f aca="false">IF(A128="","",C128+70)</f>
        <v/>
      </c>
      <c r="J128" s="7" t="str">
        <f aca="false">IF(A128="","",Students!F128)</f>
        <v/>
      </c>
    </row>
    <row r="129" customFormat="false" ht="15" hidden="false" customHeight="true" outlineLevel="0" collapsed="false">
      <c r="A129" s="11" t="str">
        <f aca="false">IF(Students!A129="","",Students!A129)</f>
        <v/>
      </c>
      <c r="B129" s="11" t="str">
        <f aca="false">IF(A129="","",Students!B129)</f>
        <v/>
      </c>
      <c r="C129" s="7" t="str">
        <f aca="false">IF(A129="","",Students!E129)</f>
        <v/>
      </c>
      <c r="D129" s="7" t="str">
        <f aca="false">IF(A129="","",C129+7)</f>
        <v/>
      </c>
      <c r="E129" s="7" t="str">
        <f aca="false">IF(A129="","",C129+21)</f>
        <v/>
      </c>
      <c r="F129" s="7" t="str">
        <f aca="false">IF(A129="","",C129+35)</f>
        <v/>
      </c>
      <c r="G129" s="7" t="str">
        <f aca="false">IF(A129="","",C129+49)</f>
        <v/>
      </c>
      <c r="H129" s="7" t="str">
        <f aca="false">IF(A129="","",C129+63)</f>
        <v/>
      </c>
      <c r="I129" s="7" t="str">
        <f aca="false">IF(A129="","",C129+70)</f>
        <v/>
      </c>
      <c r="J129" s="7" t="str">
        <f aca="false">IF(A129="","",Students!F129)</f>
        <v/>
      </c>
    </row>
    <row r="130" customFormat="false" ht="15" hidden="false" customHeight="true" outlineLevel="0" collapsed="false">
      <c r="A130" s="11" t="str">
        <f aca="false">IF(Students!A130="","",Students!A130)</f>
        <v/>
      </c>
      <c r="B130" s="11" t="str">
        <f aca="false">IF(A130="","",Students!B130)</f>
        <v/>
      </c>
      <c r="C130" s="7" t="str">
        <f aca="false">IF(A130="","",Students!E130)</f>
        <v/>
      </c>
      <c r="D130" s="7" t="str">
        <f aca="false">IF(A130="","",C130+7)</f>
        <v/>
      </c>
      <c r="E130" s="7" t="str">
        <f aca="false">IF(A130="","",C130+21)</f>
        <v/>
      </c>
      <c r="F130" s="7" t="str">
        <f aca="false">IF(A130="","",C130+35)</f>
        <v/>
      </c>
      <c r="G130" s="7" t="str">
        <f aca="false">IF(A130="","",C130+49)</f>
        <v/>
      </c>
      <c r="H130" s="7" t="str">
        <f aca="false">IF(A130="","",C130+63)</f>
        <v/>
      </c>
      <c r="I130" s="7" t="str">
        <f aca="false">IF(A130="","",C130+70)</f>
        <v/>
      </c>
      <c r="J130" s="7" t="str">
        <f aca="false">IF(A130="","",Students!F130)</f>
        <v/>
      </c>
    </row>
    <row r="131" customFormat="false" ht="15" hidden="false" customHeight="true" outlineLevel="0" collapsed="false">
      <c r="A131" s="11" t="str">
        <f aca="false">IF(Students!A131="","",Students!A131)</f>
        <v/>
      </c>
      <c r="B131" s="11" t="str">
        <f aca="false">IF(A131="","",Students!B131)</f>
        <v/>
      </c>
      <c r="C131" s="7" t="str">
        <f aca="false">IF(A131="","",Students!E131)</f>
        <v/>
      </c>
      <c r="D131" s="7" t="str">
        <f aca="false">IF(A131="","",C131+7)</f>
        <v/>
      </c>
      <c r="E131" s="7" t="str">
        <f aca="false">IF(A131="","",C131+21)</f>
        <v/>
      </c>
      <c r="F131" s="7" t="str">
        <f aca="false">IF(A131="","",C131+35)</f>
        <v/>
      </c>
      <c r="G131" s="7" t="str">
        <f aca="false">IF(A131="","",C131+49)</f>
        <v/>
      </c>
      <c r="H131" s="7" t="str">
        <f aca="false">IF(A131="","",C131+63)</f>
        <v/>
      </c>
      <c r="I131" s="7" t="str">
        <f aca="false">IF(A131="","",C131+70)</f>
        <v/>
      </c>
      <c r="J131" s="7" t="str">
        <f aca="false">IF(A131="","",Students!F131)</f>
        <v/>
      </c>
    </row>
    <row r="132" customFormat="false" ht="15" hidden="false" customHeight="true" outlineLevel="0" collapsed="false">
      <c r="A132" s="11" t="str">
        <f aca="false">IF(Students!A132="","",Students!A132)</f>
        <v/>
      </c>
      <c r="B132" s="11" t="str">
        <f aca="false">IF(A132="","",Students!B132)</f>
        <v/>
      </c>
      <c r="C132" s="7" t="str">
        <f aca="false">IF(A132="","",Students!E132)</f>
        <v/>
      </c>
      <c r="D132" s="7" t="str">
        <f aca="false">IF(A132="","",C132+7)</f>
        <v/>
      </c>
      <c r="E132" s="7" t="str">
        <f aca="false">IF(A132="","",C132+21)</f>
        <v/>
      </c>
      <c r="F132" s="7" t="str">
        <f aca="false">IF(A132="","",C132+35)</f>
        <v/>
      </c>
      <c r="G132" s="7" t="str">
        <f aca="false">IF(A132="","",C132+49)</f>
        <v/>
      </c>
      <c r="H132" s="7" t="str">
        <f aca="false">IF(A132="","",C132+63)</f>
        <v/>
      </c>
      <c r="I132" s="7" t="str">
        <f aca="false">IF(A132="","",C132+70)</f>
        <v/>
      </c>
      <c r="J132" s="7" t="str">
        <f aca="false">IF(A132="","",Students!F132)</f>
        <v/>
      </c>
    </row>
    <row r="133" customFormat="false" ht="15" hidden="false" customHeight="true" outlineLevel="0" collapsed="false">
      <c r="A133" s="11" t="str">
        <f aca="false">IF(Students!A133="","",Students!A133)</f>
        <v/>
      </c>
      <c r="B133" s="11" t="str">
        <f aca="false">IF(A133="","",Students!B133)</f>
        <v/>
      </c>
      <c r="C133" s="7" t="str">
        <f aca="false">IF(A133="","",Students!E133)</f>
        <v/>
      </c>
      <c r="D133" s="7" t="str">
        <f aca="false">IF(A133="","",C133+7)</f>
        <v/>
      </c>
      <c r="E133" s="7" t="str">
        <f aca="false">IF(A133="","",C133+21)</f>
        <v/>
      </c>
      <c r="F133" s="7" t="str">
        <f aca="false">IF(A133="","",C133+35)</f>
        <v/>
      </c>
      <c r="G133" s="7" t="str">
        <f aca="false">IF(A133="","",C133+49)</f>
        <v/>
      </c>
      <c r="H133" s="7" t="str">
        <f aca="false">IF(A133="","",C133+63)</f>
        <v/>
      </c>
      <c r="I133" s="7" t="str">
        <f aca="false">IF(A133="","",C133+70)</f>
        <v/>
      </c>
      <c r="J133" s="7" t="str">
        <f aca="false">IF(A133="","",Students!F133)</f>
        <v/>
      </c>
    </row>
    <row r="134" customFormat="false" ht="15" hidden="false" customHeight="true" outlineLevel="0" collapsed="false">
      <c r="A134" s="11" t="str">
        <f aca="false">IF(Students!A134="","",Students!A134)</f>
        <v/>
      </c>
      <c r="B134" s="11" t="str">
        <f aca="false">IF(A134="","",Students!B134)</f>
        <v/>
      </c>
      <c r="C134" s="7" t="str">
        <f aca="false">IF(A134="","",Students!E134)</f>
        <v/>
      </c>
      <c r="D134" s="7" t="str">
        <f aca="false">IF(A134="","",C134+7)</f>
        <v/>
      </c>
      <c r="E134" s="7" t="str">
        <f aca="false">IF(A134="","",C134+21)</f>
        <v/>
      </c>
      <c r="F134" s="7" t="str">
        <f aca="false">IF(A134="","",C134+35)</f>
        <v/>
      </c>
      <c r="G134" s="7" t="str">
        <f aca="false">IF(A134="","",C134+49)</f>
        <v/>
      </c>
      <c r="H134" s="7" t="str">
        <f aca="false">IF(A134="","",C134+63)</f>
        <v/>
      </c>
      <c r="I134" s="7" t="str">
        <f aca="false">IF(A134="","",C134+70)</f>
        <v/>
      </c>
      <c r="J134" s="7" t="str">
        <f aca="false">IF(A134="","",Students!F134)</f>
        <v/>
      </c>
    </row>
    <row r="135" customFormat="false" ht="15" hidden="false" customHeight="true" outlineLevel="0" collapsed="false">
      <c r="A135" s="11" t="str">
        <f aca="false">IF(Students!A135="","",Students!A135)</f>
        <v/>
      </c>
      <c r="B135" s="11" t="str">
        <f aca="false">IF(A135="","",Students!B135)</f>
        <v/>
      </c>
      <c r="C135" s="7" t="str">
        <f aca="false">IF(A135="","",Students!E135)</f>
        <v/>
      </c>
      <c r="D135" s="7" t="str">
        <f aca="false">IF(A135="","",C135+7)</f>
        <v/>
      </c>
      <c r="E135" s="7" t="str">
        <f aca="false">IF(A135="","",C135+21)</f>
        <v/>
      </c>
      <c r="F135" s="7" t="str">
        <f aca="false">IF(A135="","",C135+35)</f>
        <v/>
      </c>
      <c r="G135" s="7" t="str">
        <f aca="false">IF(A135="","",C135+49)</f>
        <v/>
      </c>
      <c r="H135" s="7" t="str">
        <f aca="false">IF(A135="","",C135+63)</f>
        <v/>
      </c>
      <c r="I135" s="7" t="str">
        <f aca="false">IF(A135="","",C135+70)</f>
        <v/>
      </c>
      <c r="J135" s="7" t="str">
        <f aca="false">IF(A135="","",Students!F135)</f>
        <v/>
      </c>
    </row>
    <row r="136" customFormat="false" ht="15" hidden="false" customHeight="true" outlineLevel="0" collapsed="false">
      <c r="A136" s="11" t="str">
        <f aca="false">IF(Students!A136="","",Students!A136)</f>
        <v/>
      </c>
      <c r="B136" s="11" t="str">
        <f aca="false">IF(A136="","",Students!B136)</f>
        <v/>
      </c>
      <c r="C136" s="7" t="str">
        <f aca="false">IF(A136="","",Students!E136)</f>
        <v/>
      </c>
      <c r="D136" s="7" t="str">
        <f aca="false">IF(A136="","",C136+7)</f>
        <v/>
      </c>
      <c r="E136" s="7" t="str">
        <f aca="false">IF(A136="","",C136+21)</f>
        <v/>
      </c>
      <c r="F136" s="7" t="str">
        <f aca="false">IF(A136="","",C136+35)</f>
        <v/>
      </c>
      <c r="G136" s="7" t="str">
        <f aca="false">IF(A136="","",C136+49)</f>
        <v/>
      </c>
      <c r="H136" s="7" t="str">
        <f aca="false">IF(A136="","",C136+63)</f>
        <v/>
      </c>
      <c r="I136" s="7" t="str">
        <f aca="false">IF(A136="","",C136+70)</f>
        <v/>
      </c>
      <c r="J136" s="7" t="str">
        <f aca="false">IF(A136="","",Students!F136)</f>
        <v/>
      </c>
    </row>
    <row r="137" customFormat="false" ht="15" hidden="false" customHeight="true" outlineLevel="0" collapsed="false">
      <c r="A137" s="11" t="str">
        <f aca="false">IF(Students!A137="","",Students!A137)</f>
        <v/>
      </c>
      <c r="B137" s="11" t="str">
        <f aca="false">IF(A137="","",Students!B137)</f>
        <v/>
      </c>
      <c r="C137" s="7" t="str">
        <f aca="false">IF(A137="","",Students!E137)</f>
        <v/>
      </c>
      <c r="D137" s="7" t="str">
        <f aca="false">IF(A137="","",C137+7)</f>
        <v/>
      </c>
      <c r="E137" s="7" t="str">
        <f aca="false">IF(A137="","",C137+21)</f>
        <v/>
      </c>
      <c r="F137" s="7" t="str">
        <f aca="false">IF(A137="","",C137+35)</f>
        <v/>
      </c>
      <c r="G137" s="7" t="str">
        <f aca="false">IF(A137="","",C137+49)</f>
        <v/>
      </c>
      <c r="H137" s="7" t="str">
        <f aca="false">IF(A137="","",C137+63)</f>
        <v/>
      </c>
      <c r="I137" s="7" t="str">
        <f aca="false">IF(A137="","",C137+70)</f>
        <v/>
      </c>
      <c r="J137" s="7" t="str">
        <f aca="false">IF(A137="","",Students!F137)</f>
        <v/>
      </c>
    </row>
    <row r="138" customFormat="false" ht="15" hidden="false" customHeight="true" outlineLevel="0" collapsed="false">
      <c r="A138" s="11" t="str">
        <f aca="false">IF(Students!A138="","",Students!A138)</f>
        <v/>
      </c>
      <c r="B138" s="11" t="str">
        <f aca="false">IF(A138="","",Students!B138)</f>
        <v/>
      </c>
      <c r="C138" s="7" t="str">
        <f aca="false">IF(A138="","",Students!E138)</f>
        <v/>
      </c>
      <c r="D138" s="7" t="str">
        <f aca="false">IF(A138="","",C138+7)</f>
        <v/>
      </c>
      <c r="E138" s="7" t="str">
        <f aca="false">IF(A138="","",C138+21)</f>
        <v/>
      </c>
      <c r="F138" s="7" t="str">
        <f aca="false">IF(A138="","",C138+35)</f>
        <v/>
      </c>
      <c r="G138" s="7" t="str">
        <f aca="false">IF(A138="","",C138+49)</f>
        <v/>
      </c>
      <c r="H138" s="7" t="str">
        <f aca="false">IF(A138="","",C138+63)</f>
        <v/>
      </c>
      <c r="I138" s="7" t="str">
        <f aca="false">IF(A138="","",C138+70)</f>
        <v/>
      </c>
      <c r="J138" s="7" t="str">
        <f aca="false">IF(A138="","",Students!F138)</f>
        <v/>
      </c>
    </row>
    <row r="139" customFormat="false" ht="15" hidden="false" customHeight="true" outlineLevel="0" collapsed="false">
      <c r="A139" s="11" t="str">
        <f aca="false">IF(Students!A139="","",Students!A139)</f>
        <v/>
      </c>
      <c r="B139" s="11" t="str">
        <f aca="false">IF(A139="","",Students!B139)</f>
        <v/>
      </c>
      <c r="C139" s="7" t="str">
        <f aca="false">IF(A139="","",Students!E139)</f>
        <v/>
      </c>
      <c r="D139" s="7" t="str">
        <f aca="false">IF(A139="","",C139+7)</f>
        <v/>
      </c>
      <c r="E139" s="7" t="str">
        <f aca="false">IF(A139="","",C139+21)</f>
        <v/>
      </c>
      <c r="F139" s="7" t="str">
        <f aca="false">IF(A139="","",C139+35)</f>
        <v/>
      </c>
      <c r="G139" s="7" t="str">
        <f aca="false">IF(A139="","",C139+49)</f>
        <v/>
      </c>
      <c r="H139" s="7" t="str">
        <f aca="false">IF(A139="","",C139+63)</f>
        <v/>
      </c>
      <c r="I139" s="7" t="str">
        <f aca="false">IF(A139="","",C139+70)</f>
        <v/>
      </c>
      <c r="J139" s="7" t="str">
        <f aca="false">IF(A139="","",Students!F139)</f>
        <v/>
      </c>
    </row>
    <row r="140" customFormat="false" ht="15" hidden="false" customHeight="true" outlineLevel="0" collapsed="false">
      <c r="A140" s="11" t="str">
        <f aca="false">IF(Students!A140="","",Students!A140)</f>
        <v/>
      </c>
      <c r="B140" s="11" t="str">
        <f aca="false">IF(A140="","",Students!B140)</f>
        <v/>
      </c>
      <c r="C140" s="7" t="str">
        <f aca="false">IF(A140="","",Students!E140)</f>
        <v/>
      </c>
      <c r="D140" s="7" t="str">
        <f aca="false">IF(A140="","",C140+7)</f>
        <v/>
      </c>
      <c r="E140" s="7" t="str">
        <f aca="false">IF(A140="","",C140+21)</f>
        <v/>
      </c>
      <c r="F140" s="7" t="str">
        <f aca="false">IF(A140="","",C140+35)</f>
        <v/>
      </c>
      <c r="G140" s="7" t="str">
        <f aca="false">IF(A140="","",C140+49)</f>
        <v/>
      </c>
      <c r="H140" s="7" t="str">
        <f aca="false">IF(A140="","",C140+63)</f>
        <v/>
      </c>
      <c r="I140" s="7" t="str">
        <f aca="false">IF(A140="","",C140+70)</f>
        <v/>
      </c>
      <c r="J140" s="7" t="str">
        <f aca="false">IF(A140="","",Students!F140)</f>
        <v/>
      </c>
    </row>
    <row r="141" customFormat="false" ht="15" hidden="false" customHeight="true" outlineLevel="0" collapsed="false">
      <c r="A141" s="11" t="str">
        <f aca="false">IF(Students!A141="","",Students!A141)</f>
        <v/>
      </c>
      <c r="B141" s="11" t="str">
        <f aca="false">IF(A141="","",Students!B141)</f>
        <v/>
      </c>
      <c r="C141" s="7" t="str">
        <f aca="false">IF(A141="","",Students!E141)</f>
        <v/>
      </c>
      <c r="D141" s="7" t="str">
        <f aca="false">IF(A141="","",C141+7)</f>
        <v/>
      </c>
      <c r="E141" s="7" t="str">
        <f aca="false">IF(A141="","",C141+21)</f>
        <v/>
      </c>
      <c r="F141" s="7" t="str">
        <f aca="false">IF(A141="","",C141+35)</f>
        <v/>
      </c>
      <c r="G141" s="7" t="str">
        <f aca="false">IF(A141="","",C141+49)</f>
        <v/>
      </c>
      <c r="H141" s="7" t="str">
        <f aca="false">IF(A141="","",C141+63)</f>
        <v/>
      </c>
      <c r="I141" s="7" t="str">
        <f aca="false">IF(A141="","",C141+70)</f>
        <v/>
      </c>
      <c r="J141" s="7" t="str">
        <f aca="false">IF(A141="","",Students!F141)</f>
        <v/>
      </c>
    </row>
    <row r="142" customFormat="false" ht="15" hidden="false" customHeight="true" outlineLevel="0" collapsed="false">
      <c r="A142" s="11" t="str">
        <f aca="false">IF(Students!A142="","",Students!A142)</f>
        <v/>
      </c>
      <c r="B142" s="11" t="str">
        <f aca="false">IF(A142="","",Students!B142)</f>
        <v/>
      </c>
      <c r="C142" s="7" t="str">
        <f aca="false">IF(A142="","",Students!E142)</f>
        <v/>
      </c>
      <c r="D142" s="7" t="str">
        <f aca="false">IF(A142="","",C142+7)</f>
        <v/>
      </c>
      <c r="E142" s="7" t="str">
        <f aca="false">IF(A142="","",C142+21)</f>
        <v/>
      </c>
      <c r="F142" s="7" t="str">
        <f aca="false">IF(A142="","",C142+35)</f>
        <v/>
      </c>
      <c r="G142" s="7" t="str">
        <f aca="false">IF(A142="","",C142+49)</f>
        <v/>
      </c>
      <c r="H142" s="7" t="str">
        <f aca="false">IF(A142="","",C142+63)</f>
        <v/>
      </c>
      <c r="I142" s="7" t="str">
        <f aca="false">IF(A142="","",C142+70)</f>
        <v/>
      </c>
      <c r="J142" s="7" t="str">
        <f aca="false">IF(A142="","",Students!F142)</f>
        <v/>
      </c>
    </row>
    <row r="143" customFormat="false" ht="15" hidden="false" customHeight="true" outlineLevel="0" collapsed="false">
      <c r="A143" s="11" t="str">
        <f aca="false">IF(Students!A143="","",Students!A143)</f>
        <v/>
      </c>
      <c r="B143" s="11" t="str">
        <f aca="false">IF(A143="","",Students!B143)</f>
        <v/>
      </c>
      <c r="C143" s="7" t="str">
        <f aca="false">IF(A143="","",Students!E143)</f>
        <v/>
      </c>
      <c r="D143" s="7" t="str">
        <f aca="false">IF(A143="","",C143+7)</f>
        <v/>
      </c>
      <c r="E143" s="7" t="str">
        <f aca="false">IF(A143="","",C143+21)</f>
        <v/>
      </c>
      <c r="F143" s="7" t="str">
        <f aca="false">IF(A143="","",C143+35)</f>
        <v/>
      </c>
      <c r="G143" s="7" t="str">
        <f aca="false">IF(A143="","",C143+49)</f>
        <v/>
      </c>
      <c r="H143" s="7" t="str">
        <f aca="false">IF(A143="","",C143+63)</f>
        <v/>
      </c>
      <c r="I143" s="7" t="str">
        <f aca="false">IF(A143="","",C143+70)</f>
        <v/>
      </c>
      <c r="J143" s="7" t="str">
        <f aca="false">IF(A143="","",Students!F143)</f>
        <v/>
      </c>
    </row>
    <row r="144" customFormat="false" ht="15" hidden="false" customHeight="true" outlineLevel="0" collapsed="false">
      <c r="A144" s="11" t="str">
        <f aca="false">IF(Students!A144="","",Students!A144)</f>
        <v/>
      </c>
      <c r="B144" s="11" t="str">
        <f aca="false">IF(A144="","",Students!B144)</f>
        <v/>
      </c>
      <c r="C144" s="7" t="str">
        <f aca="false">IF(A144="","",Students!E144)</f>
        <v/>
      </c>
      <c r="D144" s="7" t="str">
        <f aca="false">IF(A144="","",C144+7)</f>
        <v/>
      </c>
      <c r="E144" s="7" t="str">
        <f aca="false">IF(A144="","",C144+21)</f>
        <v/>
      </c>
      <c r="F144" s="7" t="str">
        <f aca="false">IF(A144="","",C144+35)</f>
        <v/>
      </c>
      <c r="G144" s="7" t="str">
        <f aca="false">IF(A144="","",C144+49)</f>
        <v/>
      </c>
      <c r="H144" s="7" t="str">
        <f aca="false">IF(A144="","",C144+63)</f>
        <v/>
      </c>
      <c r="I144" s="7" t="str">
        <f aca="false">IF(A144="","",C144+70)</f>
        <v/>
      </c>
      <c r="J144" s="7" t="str">
        <f aca="false">IF(A144="","",Students!F144)</f>
        <v/>
      </c>
    </row>
    <row r="145" customFormat="false" ht="15" hidden="false" customHeight="true" outlineLevel="0" collapsed="false">
      <c r="A145" s="11" t="str">
        <f aca="false">IF(Students!A145="","",Students!A145)</f>
        <v/>
      </c>
      <c r="B145" s="11" t="str">
        <f aca="false">IF(A145="","",Students!B145)</f>
        <v/>
      </c>
      <c r="C145" s="7" t="str">
        <f aca="false">IF(A145="","",Students!E145)</f>
        <v/>
      </c>
      <c r="D145" s="7" t="str">
        <f aca="false">IF(A145="","",C145+7)</f>
        <v/>
      </c>
      <c r="E145" s="7" t="str">
        <f aca="false">IF(A145="","",C145+21)</f>
        <v/>
      </c>
      <c r="F145" s="7" t="str">
        <f aca="false">IF(A145="","",C145+35)</f>
        <v/>
      </c>
      <c r="G145" s="7" t="str">
        <f aca="false">IF(A145="","",C145+49)</f>
        <v/>
      </c>
      <c r="H145" s="7" t="str">
        <f aca="false">IF(A145="","",C145+63)</f>
        <v/>
      </c>
      <c r="I145" s="7" t="str">
        <f aca="false">IF(A145="","",C145+70)</f>
        <v/>
      </c>
      <c r="J145" s="7" t="str">
        <f aca="false">IF(A145="","",Students!F145)</f>
        <v/>
      </c>
    </row>
    <row r="146" customFormat="false" ht="15" hidden="false" customHeight="true" outlineLevel="0" collapsed="false">
      <c r="A146" s="11" t="str">
        <f aca="false">IF(Students!A146="","",Students!A146)</f>
        <v/>
      </c>
      <c r="B146" s="11" t="str">
        <f aca="false">IF(A146="","",Students!B146)</f>
        <v/>
      </c>
      <c r="C146" s="7" t="str">
        <f aca="false">IF(A146="","",Students!E146)</f>
        <v/>
      </c>
      <c r="D146" s="7" t="str">
        <f aca="false">IF(A146="","",C146+7)</f>
        <v/>
      </c>
      <c r="E146" s="7" t="str">
        <f aca="false">IF(A146="","",C146+21)</f>
        <v/>
      </c>
      <c r="F146" s="7" t="str">
        <f aca="false">IF(A146="","",C146+35)</f>
        <v/>
      </c>
      <c r="G146" s="7" t="str">
        <f aca="false">IF(A146="","",C146+49)</f>
        <v/>
      </c>
      <c r="H146" s="7" t="str">
        <f aca="false">IF(A146="","",C146+63)</f>
        <v/>
      </c>
      <c r="I146" s="7" t="str">
        <f aca="false">IF(A146="","",C146+70)</f>
        <v/>
      </c>
      <c r="J146" s="7" t="str">
        <f aca="false">IF(A146="","",Students!F146)</f>
        <v/>
      </c>
    </row>
    <row r="147" customFormat="false" ht="15" hidden="false" customHeight="true" outlineLevel="0" collapsed="false">
      <c r="A147" s="11" t="str">
        <f aca="false">IF(Students!A147="","",Students!A147)</f>
        <v/>
      </c>
      <c r="B147" s="11" t="str">
        <f aca="false">IF(A147="","",Students!B147)</f>
        <v/>
      </c>
      <c r="C147" s="7" t="str">
        <f aca="false">IF(A147="","",Students!E147)</f>
        <v/>
      </c>
      <c r="D147" s="7" t="str">
        <f aca="false">IF(A147="","",C147+7)</f>
        <v/>
      </c>
      <c r="E147" s="7" t="str">
        <f aca="false">IF(A147="","",C147+21)</f>
        <v/>
      </c>
      <c r="F147" s="7" t="str">
        <f aca="false">IF(A147="","",C147+35)</f>
        <v/>
      </c>
      <c r="G147" s="7" t="str">
        <f aca="false">IF(A147="","",C147+49)</f>
        <v/>
      </c>
      <c r="H147" s="7" t="str">
        <f aca="false">IF(A147="","",C147+63)</f>
        <v/>
      </c>
      <c r="I147" s="7" t="str">
        <f aca="false">IF(A147="","",C147+70)</f>
        <v/>
      </c>
      <c r="J147" s="7" t="str">
        <f aca="false">IF(A147="","",Students!F147)</f>
        <v/>
      </c>
    </row>
    <row r="148" customFormat="false" ht="15" hidden="false" customHeight="true" outlineLevel="0" collapsed="false">
      <c r="A148" s="11" t="str">
        <f aca="false">IF(Students!A148="","",Students!A148)</f>
        <v/>
      </c>
      <c r="B148" s="11" t="str">
        <f aca="false">IF(A148="","",Students!B148)</f>
        <v/>
      </c>
      <c r="C148" s="7" t="str">
        <f aca="false">IF(A148="","",Students!E148)</f>
        <v/>
      </c>
      <c r="D148" s="7" t="str">
        <f aca="false">IF(A148="","",C148+7)</f>
        <v/>
      </c>
      <c r="E148" s="7" t="str">
        <f aca="false">IF(A148="","",C148+21)</f>
        <v/>
      </c>
      <c r="F148" s="7" t="str">
        <f aca="false">IF(A148="","",C148+35)</f>
        <v/>
      </c>
      <c r="G148" s="7" t="str">
        <f aca="false">IF(A148="","",C148+49)</f>
        <v/>
      </c>
      <c r="H148" s="7" t="str">
        <f aca="false">IF(A148="","",C148+63)</f>
        <v/>
      </c>
      <c r="I148" s="7" t="str">
        <f aca="false">IF(A148="","",C148+70)</f>
        <v/>
      </c>
      <c r="J148" s="7" t="str">
        <f aca="false">IF(A148="","",Students!F148)</f>
        <v/>
      </c>
    </row>
    <row r="149" customFormat="false" ht="15" hidden="false" customHeight="true" outlineLevel="0" collapsed="false">
      <c r="A149" s="11" t="str">
        <f aca="false">IF(Students!A149="","",Students!A149)</f>
        <v/>
      </c>
      <c r="B149" s="11" t="str">
        <f aca="false">IF(A149="","",Students!B149)</f>
        <v/>
      </c>
      <c r="C149" s="7" t="str">
        <f aca="false">IF(A149="","",Students!E149)</f>
        <v/>
      </c>
      <c r="D149" s="7" t="str">
        <f aca="false">IF(A149="","",C149+7)</f>
        <v/>
      </c>
      <c r="E149" s="7" t="str">
        <f aca="false">IF(A149="","",C149+21)</f>
        <v/>
      </c>
      <c r="F149" s="7" t="str">
        <f aca="false">IF(A149="","",C149+35)</f>
        <v/>
      </c>
      <c r="G149" s="7" t="str">
        <f aca="false">IF(A149="","",C149+49)</f>
        <v/>
      </c>
      <c r="H149" s="7" t="str">
        <f aca="false">IF(A149="","",C149+63)</f>
        <v/>
      </c>
      <c r="I149" s="7" t="str">
        <f aca="false">IF(A149="","",C149+70)</f>
        <v/>
      </c>
      <c r="J149" s="7" t="str">
        <f aca="false">IF(A149="","",Students!F149)</f>
        <v/>
      </c>
    </row>
    <row r="150" customFormat="false" ht="15" hidden="false" customHeight="true" outlineLevel="0" collapsed="false">
      <c r="A150" s="11" t="str">
        <f aca="false">IF(Students!A150="","",Students!A150)</f>
        <v/>
      </c>
      <c r="B150" s="11" t="str">
        <f aca="false">IF(A150="","",Students!B150)</f>
        <v/>
      </c>
      <c r="C150" s="7" t="str">
        <f aca="false">IF(A150="","",Students!E150)</f>
        <v/>
      </c>
      <c r="D150" s="7" t="str">
        <f aca="false">IF(A150="","",C150+7)</f>
        <v/>
      </c>
      <c r="E150" s="7" t="str">
        <f aca="false">IF(A150="","",C150+21)</f>
        <v/>
      </c>
      <c r="F150" s="7" t="str">
        <f aca="false">IF(A150="","",C150+35)</f>
        <v/>
      </c>
      <c r="G150" s="7" t="str">
        <f aca="false">IF(A150="","",C150+49)</f>
        <v/>
      </c>
      <c r="H150" s="7" t="str">
        <f aca="false">IF(A150="","",C150+63)</f>
        <v/>
      </c>
      <c r="I150" s="7" t="str">
        <f aca="false">IF(A150="","",C150+70)</f>
        <v/>
      </c>
      <c r="J150" s="7" t="str">
        <f aca="false">IF(A150="","",Students!F150)</f>
        <v/>
      </c>
    </row>
    <row r="151" customFormat="false" ht="15" hidden="false" customHeight="true" outlineLevel="0" collapsed="false">
      <c r="A151" s="11" t="str">
        <f aca="false">IF(Students!A151="","",Students!A151)</f>
        <v/>
      </c>
      <c r="B151" s="11" t="str">
        <f aca="false">IF(A151="","",Students!B151)</f>
        <v/>
      </c>
      <c r="C151" s="7" t="str">
        <f aca="false">IF(A151="","",Students!E151)</f>
        <v/>
      </c>
      <c r="D151" s="7" t="str">
        <f aca="false">IF(A151="","",C151+7)</f>
        <v/>
      </c>
      <c r="E151" s="7" t="str">
        <f aca="false">IF(A151="","",C151+21)</f>
        <v/>
      </c>
      <c r="F151" s="7" t="str">
        <f aca="false">IF(A151="","",C151+35)</f>
        <v/>
      </c>
      <c r="G151" s="7" t="str">
        <f aca="false">IF(A151="","",C151+49)</f>
        <v/>
      </c>
      <c r="H151" s="7" t="str">
        <f aca="false">IF(A151="","",C151+63)</f>
        <v/>
      </c>
      <c r="I151" s="7" t="str">
        <f aca="false">IF(A151="","",C151+70)</f>
        <v/>
      </c>
      <c r="J151" s="7" t="str">
        <f aca="false">IF(A151="","",Students!F151)</f>
        <v/>
      </c>
    </row>
    <row r="152" customFormat="false" ht="15" hidden="false" customHeight="true" outlineLevel="0" collapsed="false">
      <c r="A152" s="11" t="str">
        <f aca="false">IF(Students!A152="","",Students!A152)</f>
        <v/>
      </c>
      <c r="B152" s="11" t="str">
        <f aca="false">IF(A152="","",Students!B152)</f>
        <v/>
      </c>
      <c r="C152" s="7" t="str">
        <f aca="false">IF(A152="","",Students!E152)</f>
        <v/>
      </c>
      <c r="D152" s="7" t="str">
        <f aca="false">IF(A152="","",C152+7)</f>
        <v/>
      </c>
      <c r="E152" s="7" t="str">
        <f aca="false">IF(A152="","",C152+21)</f>
        <v/>
      </c>
      <c r="F152" s="7" t="str">
        <f aca="false">IF(A152="","",C152+35)</f>
        <v/>
      </c>
      <c r="G152" s="7" t="str">
        <f aca="false">IF(A152="","",C152+49)</f>
        <v/>
      </c>
      <c r="H152" s="7" t="str">
        <f aca="false">IF(A152="","",C152+63)</f>
        <v/>
      </c>
      <c r="I152" s="7" t="str">
        <f aca="false">IF(A152="","",C152+70)</f>
        <v/>
      </c>
      <c r="J152" s="7" t="str">
        <f aca="false">IF(A152="","",Students!F152)</f>
        <v/>
      </c>
    </row>
    <row r="153" customFormat="false" ht="15" hidden="false" customHeight="true" outlineLevel="0" collapsed="false">
      <c r="A153" s="11" t="str">
        <f aca="false">IF(Students!A153="","",Students!A153)</f>
        <v/>
      </c>
      <c r="B153" s="11" t="str">
        <f aca="false">IF(A153="","",Students!B153)</f>
        <v/>
      </c>
      <c r="C153" s="7" t="str">
        <f aca="false">IF(A153="","",Students!E153)</f>
        <v/>
      </c>
      <c r="D153" s="7" t="str">
        <f aca="false">IF(A153="","",C153+7)</f>
        <v/>
      </c>
      <c r="E153" s="7" t="str">
        <f aca="false">IF(A153="","",C153+21)</f>
        <v/>
      </c>
      <c r="F153" s="7" t="str">
        <f aca="false">IF(A153="","",C153+35)</f>
        <v/>
      </c>
      <c r="G153" s="7" t="str">
        <f aca="false">IF(A153="","",C153+49)</f>
        <v/>
      </c>
      <c r="H153" s="7" t="str">
        <f aca="false">IF(A153="","",C153+63)</f>
        <v/>
      </c>
      <c r="I153" s="7" t="str">
        <f aca="false">IF(A153="","",C153+70)</f>
        <v/>
      </c>
      <c r="J153" s="7" t="str">
        <f aca="false">IF(A153="","",Students!F153)</f>
        <v/>
      </c>
    </row>
    <row r="154" customFormat="false" ht="15" hidden="false" customHeight="true" outlineLevel="0" collapsed="false">
      <c r="A154" s="11" t="str">
        <f aca="false">IF(Students!A154="","",Students!A154)</f>
        <v/>
      </c>
      <c r="B154" s="11" t="str">
        <f aca="false">IF(A154="","",Students!B154)</f>
        <v/>
      </c>
      <c r="C154" s="7" t="str">
        <f aca="false">IF(A154="","",Students!E154)</f>
        <v/>
      </c>
      <c r="D154" s="7" t="str">
        <f aca="false">IF(A154="","",C154+7)</f>
        <v/>
      </c>
      <c r="E154" s="7" t="str">
        <f aca="false">IF(A154="","",C154+21)</f>
        <v/>
      </c>
      <c r="F154" s="7" t="str">
        <f aca="false">IF(A154="","",C154+35)</f>
        <v/>
      </c>
      <c r="G154" s="7" t="str">
        <f aca="false">IF(A154="","",C154+49)</f>
        <v/>
      </c>
      <c r="H154" s="7" t="str">
        <f aca="false">IF(A154="","",C154+63)</f>
        <v/>
      </c>
      <c r="I154" s="7" t="str">
        <f aca="false">IF(A154="","",C154+70)</f>
        <v/>
      </c>
      <c r="J154" s="7" t="str">
        <f aca="false">IF(A154="","",Students!F154)</f>
        <v/>
      </c>
    </row>
    <row r="155" customFormat="false" ht="15" hidden="false" customHeight="true" outlineLevel="0" collapsed="false">
      <c r="A155" s="11" t="str">
        <f aca="false">IF(Students!A155="","",Students!A155)</f>
        <v/>
      </c>
      <c r="B155" s="11" t="str">
        <f aca="false">IF(A155="","",Students!B155)</f>
        <v/>
      </c>
      <c r="C155" s="7" t="str">
        <f aca="false">IF(A155="","",Students!E155)</f>
        <v/>
      </c>
      <c r="D155" s="7" t="str">
        <f aca="false">IF(A155="","",C155+7)</f>
        <v/>
      </c>
      <c r="E155" s="7" t="str">
        <f aca="false">IF(A155="","",C155+21)</f>
        <v/>
      </c>
      <c r="F155" s="7" t="str">
        <f aca="false">IF(A155="","",C155+35)</f>
        <v/>
      </c>
      <c r="G155" s="7" t="str">
        <f aca="false">IF(A155="","",C155+49)</f>
        <v/>
      </c>
      <c r="H155" s="7" t="str">
        <f aca="false">IF(A155="","",C155+63)</f>
        <v/>
      </c>
      <c r="I155" s="7" t="str">
        <f aca="false">IF(A155="","",C155+70)</f>
        <v/>
      </c>
      <c r="J155" s="7" t="str">
        <f aca="false">IF(A155="","",Students!F155)</f>
        <v/>
      </c>
    </row>
    <row r="156" customFormat="false" ht="15" hidden="false" customHeight="true" outlineLevel="0" collapsed="false">
      <c r="A156" s="11" t="str">
        <f aca="false">IF(Students!A156="","",Students!A156)</f>
        <v/>
      </c>
      <c r="B156" s="11" t="str">
        <f aca="false">IF(A156="","",Students!B156)</f>
        <v/>
      </c>
      <c r="C156" s="7" t="str">
        <f aca="false">IF(A156="","",Students!E156)</f>
        <v/>
      </c>
      <c r="D156" s="7" t="str">
        <f aca="false">IF(A156="","",C156+7)</f>
        <v/>
      </c>
      <c r="E156" s="7" t="str">
        <f aca="false">IF(A156="","",C156+21)</f>
        <v/>
      </c>
      <c r="F156" s="7" t="str">
        <f aca="false">IF(A156="","",C156+35)</f>
        <v/>
      </c>
      <c r="G156" s="7" t="str">
        <f aca="false">IF(A156="","",C156+49)</f>
        <v/>
      </c>
      <c r="H156" s="7" t="str">
        <f aca="false">IF(A156="","",C156+63)</f>
        <v/>
      </c>
      <c r="I156" s="7" t="str">
        <f aca="false">IF(A156="","",C156+70)</f>
        <v/>
      </c>
      <c r="J156" s="7" t="str">
        <f aca="false">IF(A156="","",Students!F156)</f>
        <v/>
      </c>
    </row>
    <row r="157" customFormat="false" ht="15" hidden="false" customHeight="true" outlineLevel="0" collapsed="false">
      <c r="A157" s="11" t="str">
        <f aca="false">IF(Students!A157="","",Students!A157)</f>
        <v/>
      </c>
      <c r="B157" s="11" t="str">
        <f aca="false">IF(A157="","",Students!B157)</f>
        <v/>
      </c>
      <c r="C157" s="7" t="str">
        <f aca="false">IF(A157="","",Students!E157)</f>
        <v/>
      </c>
      <c r="D157" s="7" t="str">
        <f aca="false">IF(A157="","",C157+7)</f>
        <v/>
      </c>
      <c r="E157" s="7" t="str">
        <f aca="false">IF(A157="","",C157+21)</f>
        <v/>
      </c>
      <c r="F157" s="7" t="str">
        <f aca="false">IF(A157="","",C157+35)</f>
        <v/>
      </c>
      <c r="G157" s="7" t="str">
        <f aca="false">IF(A157="","",C157+49)</f>
        <v/>
      </c>
      <c r="H157" s="7" t="str">
        <f aca="false">IF(A157="","",C157+63)</f>
        <v/>
      </c>
      <c r="I157" s="7" t="str">
        <f aca="false">IF(A157="","",C157+70)</f>
        <v/>
      </c>
      <c r="J157" s="7" t="str">
        <f aca="false">IF(A157="","",Students!F157)</f>
        <v/>
      </c>
    </row>
    <row r="158" customFormat="false" ht="15" hidden="false" customHeight="true" outlineLevel="0" collapsed="false">
      <c r="A158" s="11" t="str">
        <f aca="false">IF(Students!A158="","",Students!A158)</f>
        <v/>
      </c>
      <c r="B158" s="11" t="str">
        <f aca="false">IF(A158="","",Students!B158)</f>
        <v/>
      </c>
      <c r="C158" s="7" t="str">
        <f aca="false">IF(A158="","",Students!E158)</f>
        <v/>
      </c>
      <c r="D158" s="7" t="str">
        <f aca="false">IF(A158="","",C158+7)</f>
        <v/>
      </c>
      <c r="E158" s="7" t="str">
        <f aca="false">IF(A158="","",C158+21)</f>
        <v/>
      </c>
      <c r="F158" s="7" t="str">
        <f aca="false">IF(A158="","",C158+35)</f>
        <v/>
      </c>
      <c r="G158" s="7" t="str">
        <f aca="false">IF(A158="","",C158+49)</f>
        <v/>
      </c>
      <c r="H158" s="7" t="str">
        <f aca="false">IF(A158="","",C158+63)</f>
        <v/>
      </c>
      <c r="I158" s="7" t="str">
        <f aca="false">IF(A158="","",C158+70)</f>
        <v/>
      </c>
      <c r="J158" s="7" t="str">
        <f aca="false">IF(A158="","",Students!F158)</f>
        <v/>
      </c>
    </row>
    <row r="159" customFormat="false" ht="15" hidden="false" customHeight="true" outlineLevel="0" collapsed="false">
      <c r="A159" s="11" t="str">
        <f aca="false">IF(Students!A159="","",Students!A159)</f>
        <v/>
      </c>
      <c r="B159" s="11" t="str">
        <f aca="false">IF(A159="","",Students!B159)</f>
        <v/>
      </c>
      <c r="C159" s="7" t="str">
        <f aca="false">IF(A159="","",Students!E159)</f>
        <v/>
      </c>
      <c r="D159" s="7" t="str">
        <f aca="false">IF(A159="","",C159+7)</f>
        <v/>
      </c>
      <c r="E159" s="7" t="str">
        <f aca="false">IF(A159="","",C159+21)</f>
        <v/>
      </c>
      <c r="F159" s="7" t="str">
        <f aca="false">IF(A159="","",C159+35)</f>
        <v/>
      </c>
      <c r="G159" s="7" t="str">
        <f aca="false">IF(A159="","",C159+49)</f>
        <v/>
      </c>
      <c r="H159" s="7" t="str">
        <f aca="false">IF(A159="","",C159+63)</f>
        <v/>
      </c>
      <c r="I159" s="7" t="str">
        <f aca="false">IF(A159="","",C159+70)</f>
        <v/>
      </c>
      <c r="J159" s="7" t="str">
        <f aca="false">IF(A159="","",Students!F159)</f>
        <v/>
      </c>
    </row>
    <row r="160" customFormat="false" ht="15" hidden="false" customHeight="true" outlineLevel="0" collapsed="false">
      <c r="A160" s="11" t="str">
        <f aca="false">IF(Students!A160="","",Students!A160)</f>
        <v/>
      </c>
      <c r="B160" s="11" t="str">
        <f aca="false">IF(A160="","",Students!B160)</f>
        <v/>
      </c>
      <c r="C160" s="7" t="str">
        <f aca="false">IF(A160="","",Students!E160)</f>
        <v/>
      </c>
      <c r="D160" s="7" t="str">
        <f aca="false">IF(A160="","",C160+7)</f>
        <v/>
      </c>
      <c r="E160" s="7" t="str">
        <f aca="false">IF(A160="","",C160+21)</f>
        <v/>
      </c>
      <c r="F160" s="7" t="str">
        <f aca="false">IF(A160="","",C160+35)</f>
        <v/>
      </c>
      <c r="G160" s="7" t="str">
        <f aca="false">IF(A160="","",C160+49)</f>
        <v/>
      </c>
      <c r="H160" s="7" t="str">
        <f aca="false">IF(A160="","",C160+63)</f>
        <v/>
      </c>
      <c r="I160" s="7" t="str">
        <f aca="false">IF(A160="","",C160+70)</f>
        <v/>
      </c>
      <c r="J160" s="7" t="str">
        <f aca="false">IF(A160="","",Students!F160)</f>
        <v/>
      </c>
    </row>
    <row r="161" customFormat="false" ht="15" hidden="false" customHeight="true" outlineLevel="0" collapsed="false">
      <c r="A161" s="11" t="str">
        <f aca="false">IF(Students!A161="","",Students!A161)</f>
        <v/>
      </c>
      <c r="B161" s="11" t="str">
        <f aca="false">IF(A161="","",Students!B161)</f>
        <v/>
      </c>
      <c r="C161" s="7" t="str">
        <f aca="false">IF(A161="","",Students!E161)</f>
        <v/>
      </c>
      <c r="D161" s="7" t="str">
        <f aca="false">IF(A161="","",C161+7)</f>
        <v/>
      </c>
      <c r="E161" s="7" t="str">
        <f aca="false">IF(A161="","",C161+21)</f>
        <v/>
      </c>
      <c r="F161" s="7" t="str">
        <f aca="false">IF(A161="","",C161+35)</f>
        <v/>
      </c>
      <c r="G161" s="7" t="str">
        <f aca="false">IF(A161="","",C161+49)</f>
        <v/>
      </c>
      <c r="H161" s="7" t="str">
        <f aca="false">IF(A161="","",C161+63)</f>
        <v/>
      </c>
      <c r="I161" s="7" t="str">
        <f aca="false">IF(A161="","",C161+70)</f>
        <v/>
      </c>
      <c r="J161" s="7" t="str">
        <f aca="false">IF(A161="","",Students!F161)</f>
        <v/>
      </c>
    </row>
    <row r="162" customFormat="false" ht="15" hidden="false" customHeight="true" outlineLevel="0" collapsed="false">
      <c r="A162" s="11" t="str">
        <f aca="false">IF(Students!A162="","",Students!A162)</f>
        <v/>
      </c>
      <c r="B162" s="11" t="str">
        <f aca="false">IF(A162="","",Students!B162)</f>
        <v/>
      </c>
      <c r="C162" s="7" t="str">
        <f aca="false">IF(A162="","",Students!E162)</f>
        <v/>
      </c>
      <c r="D162" s="7" t="str">
        <f aca="false">IF(A162="","",C162+7)</f>
        <v/>
      </c>
      <c r="E162" s="7" t="str">
        <f aca="false">IF(A162="","",C162+21)</f>
        <v/>
      </c>
      <c r="F162" s="7" t="str">
        <f aca="false">IF(A162="","",C162+35)</f>
        <v/>
      </c>
      <c r="G162" s="7" t="str">
        <f aca="false">IF(A162="","",C162+49)</f>
        <v/>
      </c>
      <c r="H162" s="7" t="str">
        <f aca="false">IF(A162="","",C162+63)</f>
        <v/>
      </c>
      <c r="I162" s="7" t="str">
        <f aca="false">IF(A162="","",C162+70)</f>
        <v/>
      </c>
      <c r="J162" s="7" t="str">
        <f aca="false">IF(A162="","",Students!F162)</f>
        <v/>
      </c>
    </row>
    <row r="163" customFormat="false" ht="15" hidden="false" customHeight="true" outlineLevel="0" collapsed="false">
      <c r="A163" s="11" t="str">
        <f aca="false">IF(Students!A163="","",Students!A163)</f>
        <v/>
      </c>
      <c r="B163" s="11" t="str">
        <f aca="false">IF(A163="","",Students!B163)</f>
        <v/>
      </c>
      <c r="C163" s="7" t="str">
        <f aca="false">IF(A163="","",Students!E163)</f>
        <v/>
      </c>
      <c r="D163" s="7" t="str">
        <f aca="false">IF(A163="","",C163+7)</f>
        <v/>
      </c>
      <c r="E163" s="7" t="str">
        <f aca="false">IF(A163="","",C163+21)</f>
        <v/>
      </c>
      <c r="F163" s="7" t="str">
        <f aca="false">IF(A163="","",C163+35)</f>
        <v/>
      </c>
      <c r="G163" s="7" t="str">
        <f aca="false">IF(A163="","",C163+49)</f>
        <v/>
      </c>
      <c r="H163" s="7" t="str">
        <f aca="false">IF(A163="","",C163+63)</f>
        <v/>
      </c>
      <c r="I163" s="7" t="str">
        <f aca="false">IF(A163="","",C163+70)</f>
        <v/>
      </c>
      <c r="J163" s="7" t="str">
        <f aca="false">IF(A163="","",Students!F163)</f>
        <v/>
      </c>
    </row>
    <row r="164" customFormat="false" ht="15" hidden="false" customHeight="true" outlineLevel="0" collapsed="false">
      <c r="A164" s="11" t="str">
        <f aca="false">IF(Students!A164="","",Students!A164)</f>
        <v/>
      </c>
      <c r="B164" s="11" t="str">
        <f aca="false">IF(A164="","",Students!B164)</f>
        <v/>
      </c>
      <c r="C164" s="7" t="str">
        <f aca="false">IF(A164="","",Students!E164)</f>
        <v/>
      </c>
      <c r="D164" s="7" t="str">
        <f aca="false">IF(A164="","",C164+7)</f>
        <v/>
      </c>
      <c r="E164" s="7" t="str">
        <f aca="false">IF(A164="","",C164+21)</f>
        <v/>
      </c>
      <c r="F164" s="7" t="str">
        <f aca="false">IF(A164="","",C164+35)</f>
        <v/>
      </c>
      <c r="G164" s="7" t="str">
        <f aca="false">IF(A164="","",C164+49)</f>
        <v/>
      </c>
      <c r="H164" s="7" t="str">
        <f aca="false">IF(A164="","",C164+63)</f>
        <v/>
      </c>
      <c r="I164" s="7" t="str">
        <f aca="false">IF(A164="","",C164+70)</f>
        <v/>
      </c>
      <c r="J164" s="7" t="str">
        <f aca="false">IF(A164="","",Students!F164)</f>
        <v/>
      </c>
    </row>
    <row r="165" customFormat="false" ht="15" hidden="false" customHeight="true" outlineLevel="0" collapsed="false">
      <c r="A165" s="11" t="str">
        <f aca="false">IF(Students!A165="","",Students!A165)</f>
        <v/>
      </c>
      <c r="B165" s="11" t="str">
        <f aca="false">IF(A165="","",Students!B165)</f>
        <v/>
      </c>
      <c r="C165" s="7" t="str">
        <f aca="false">IF(A165="","",Students!E165)</f>
        <v/>
      </c>
      <c r="D165" s="7" t="str">
        <f aca="false">IF(A165="","",C165+7)</f>
        <v/>
      </c>
      <c r="E165" s="7" t="str">
        <f aca="false">IF(A165="","",C165+21)</f>
        <v/>
      </c>
      <c r="F165" s="7" t="str">
        <f aca="false">IF(A165="","",C165+35)</f>
        <v/>
      </c>
      <c r="G165" s="7" t="str">
        <f aca="false">IF(A165="","",C165+49)</f>
        <v/>
      </c>
      <c r="H165" s="7" t="str">
        <f aca="false">IF(A165="","",C165+63)</f>
        <v/>
      </c>
      <c r="I165" s="7" t="str">
        <f aca="false">IF(A165="","",C165+70)</f>
        <v/>
      </c>
      <c r="J165" s="7" t="str">
        <f aca="false">IF(A165="","",Students!F165)</f>
        <v/>
      </c>
    </row>
    <row r="166" customFormat="false" ht="15" hidden="false" customHeight="true" outlineLevel="0" collapsed="false">
      <c r="A166" s="11" t="str">
        <f aca="false">IF(Students!A166="","",Students!A166)</f>
        <v/>
      </c>
      <c r="B166" s="11" t="str">
        <f aca="false">IF(A166="","",Students!B166)</f>
        <v/>
      </c>
      <c r="C166" s="7" t="str">
        <f aca="false">IF(A166="","",Students!E166)</f>
        <v/>
      </c>
      <c r="D166" s="7" t="str">
        <f aca="false">IF(A166="","",C166+7)</f>
        <v/>
      </c>
      <c r="E166" s="7" t="str">
        <f aca="false">IF(A166="","",C166+21)</f>
        <v/>
      </c>
      <c r="F166" s="7" t="str">
        <f aca="false">IF(A166="","",C166+35)</f>
        <v/>
      </c>
      <c r="G166" s="7" t="str">
        <f aca="false">IF(A166="","",C166+49)</f>
        <v/>
      </c>
      <c r="H166" s="7" t="str">
        <f aca="false">IF(A166="","",C166+63)</f>
        <v/>
      </c>
      <c r="I166" s="7" t="str">
        <f aca="false">IF(A166="","",C166+70)</f>
        <v/>
      </c>
      <c r="J166" s="7" t="str">
        <f aca="false">IF(A166="","",Students!F166)</f>
        <v/>
      </c>
    </row>
    <row r="167" customFormat="false" ht="15" hidden="false" customHeight="true" outlineLevel="0" collapsed="false">
      <c r="A167" s="11" t="str">
        <f aca="false">IF(Students!A167="","",Students!A167)</f>
        <v/>
      </c>
      <c r="B167" s="11" t="str">
        <f aca="false">IF(A167="","",Students!B167)</f>
        <v/>
      </c>
      <c r="C167" s="7" t="str">
        <f aca="false">IF(A167="","",Students!E167)</f>
        <v/>
      </c>
      <c r="D167" s="7" t="str">
        <f aca="false">IF(A167="","",C167+7)</f>
        <v/>
      </c>
      <c r="E167" s="7" t="str">
        <f aca="false">IF(A167="","",C167+21)</f>
        <v/>
      </c>
      <c r="F167" s="7" t="str">
        <f aca="false">IF(A167="","",C167+35)</f>
        <v/>
      </c>
      <c r="G167" s="7" t="str">
        <f aca="false">IF(A167="","",C167+49)</f>
        <v/>
      </c>
      <c r="H167" s="7" t="str">
        <f aca="false">IF(A167="","",C167+63)</f>
        <v/>
      </c>
      <c r="I167" s="7" t="str">
        <f aca="false">IF(A167="","",C167+70)</f>
        <v/>
      </c>
      <c r="J167" s="7" t="str">
        <f aca="false">IF(A167="","",Students!F167)</f>
        <v/>
      </c>
    </row>
    <row r="168" customFormat="false" ht="15" hidden="false" customHeight="true" outlineLevel="0" collapsed="false">
      <c r="A168" s="11" t="str">
        <f aca="false">IF(Students!A168="","",Students!A168)</f>
        <v/>
      </c>
      <c r="B168" s="11" t="str">
        <f aca="false">IF(A168="","",Students!B168)</f>
        <v/>
      </c>
      <c r="C168" s="7" t="str">
        <f aca="false">IF(A168="","",Students!E168)</f>
        <v/>
      </c>
      <c r="D168" s="7" t="str">
        <f aca="false">IF(A168="","",C168+7)</f>
        <v/>
      </c>
      <c r="E168" s="7" t="str">
        <f aca="false">IF(A168="","",C168+21)</f>
        <v/>
      </c>
      <c r="F168" s="7" t="str">
        <f aca="false">IF(A168="","",C168+35)</f>
        <v/>
      </c>
      <c r="G168" s="7" t="str">
        <f aca="false">IF(A168="","",C168+49)</f>
        <v/>
      </c>
      <c r="H168" s="7" t="str">
        <f aca="false">IF(A168="","",C168+63)</f>
        <v/>
      </c>
      <c r="I168" s="7" t="str">
        <f aca="false">IF(A168="","",C168+70)</f>
        <v/>
      </c>
      <c r="J168" s="7" t="str">
        <f aca="false">IF(A168="","",Students!F168)</f>
        <v/>
      </c>
    </row>
    <row r="169" customFormat="false" ht="15" hidden="false" customHeight="true" outlineLevel="0" collapsed="false">
      <c r="A169" s="11" t="str">
        <f aca="false">IF(Students!A169="","",Students!A169)</f>
        <v/>
      </c>
      <c r="B169" s="11" t="str">
        <f aca="false">IF(A169="","",Students!B169)</f>
        <v/>
      </c>
      <c r="C169" s="7" t="str">
        <f aca="false">IF(A169="","",Students!E169)</f>
        <v/>
      </c>
      <c r="D169" s="7" t="str">
        <f aca="false">IF(A169="","",C169+7)</f>
        <v/>
      </c>
      <c r="E169" s="7" t="str">
        <f aca="false">IF(A169="","",C169+21)</f>
        <v/>
      </c>
      <c r="F169" s="7" t="str">
        <f aca="false">IF(A169="","",C169+35)</f>
        <v/>
      </c>
      <c r="G169" s="7" t="str">
        <f aca="false">IF(A169="","",C169+49)</f>
        <v/>
      </c>
      <c r="H169" s="7" t="str">
        <f aca="false">IF(A169="","",C169+63)</f>
        <v/>
      </c>
      <c r="I169" s="7" t="str">
        <f aca="false">IF(A169="","",C169+70)</f>
        <v/>
      </c>
      <c r="J169" s="7" t="str">
        <f aca="false">IF(A169="","",Students!F169)</f>
        <v/>
      </c>
    </row>
    <row r="170" customFormat="false" ht="15" hidden="false" customHeight="true" outlineLevel="0" collapsed="false">
      <c r="A170" s="11" t="str">
        <f aca="false">IF(Students!A170="","",Students!A170)</f>
        <v/>
      </c>
      <c r="B170" s="11" t="str">
        <f aca="false">IF(A170="","",Students!B170)</f>
        <v/>
      </c>
      <c r="C170" s="7" t="str">
        <f aca="false">IF(A170="","",Students!E170)</f>
        <v/>
      </c>
      <c r="D170" s="7" t="str">
        <f aca="false">IF(A170="","",C170+7)</f>
        <v/>
      </c>
      <c r="E170" s="7" t="str">
        <f aca="false">IF(A170="","",C170+21)</f>
        <v/>
      </c>
      <c r="F170" s="7" t="str">
        <f aca="false">IF(A170="","",C170+35)</f>
        <v/>
      </c>
      <c r="G170" s="7" t="str">
        <f aca="false">IF(A170="","",C170+49)</f>
        <v/>
      </c>
      <c r="H170" s="7" t="str">
        <f aca="false">IF(A170="","",C170+63)</f>
        <v/>
      </c>
      <c r="I170" s="7" t="str">
        <f aca="false">IF(A170="","",C170+70)</f>
        <v/>
      </c>
      <c r="J170" s="7" t="str">
        <f aca="false">IF(A170="","",Students!F170)</f>
        <v/>
      </c>
    </row>
    <row r="171" customFormat="false" ht="15" hidden="false" customHeight="true" outlineLevel="0" collapsed="false">
      <c r="A171" s="11" t="str">
        <f aca="false">IF(Students!A171="","",Students!A171)</f>
        <v/>
      </c>
      <c r="B171" s="11" t="str">
        <f aca="false">IF(A171="","",Students!B171)</f>
        <v/>
      </c>
      <c r="C171" s="7" t="str">
        <f aca="false">IF(A171="","",Students!E171)</f>
        <v/>
      </c>
      <c r="D171" s="7" t="str">
        <f aca="false">IF(A171="","",C171+7)</f>
        <v/>
      </c>
      <c r="E171" s="7" t="str">
        <f aca="false">IF(A171="","",C171+21)</f>
        <v/>
      </c>
      <c r="F171" s="7" t="str">
        <f aca="false">IF(A171="","",C171+35)</f>
        <v/>
      </c>
      <c r="G171" s="7" t="str">
        <f aca="false">IF(A171="","",C171+49)</f>
        <v/>
      </c>
      <c r="H171" s="7" t="str">
        <f aca="false">IF(A171="","",C171+63)</f>
        <v/>
      </c>
      <c r="I171" s="7" t="str">
        <f aca="false">IF(A171="","",C171+70)</f>
        <v/>
      </c>
      <c r="J171" s="7" t="str">
        <f aca="false">IF(A171="","",Students!F171)</f>
        <v/>
      </c>
    </row>
    <row r="172" customFormat="false" ht="15" hidden="false" customHeight="true" outlineLevel="0" collapsed="false">
      <c r="A172" s="11" t="str">
        <f aca="false">IF(Students!A172="","",Students!A172)</f>
        <v/>
      </c>
      <c r="B172" s="11" t="str">
        <f aca="false">IF(A172="","",Students!B172)</f>
        <v/>
      </c>
      <c r="C172" s="7" t="str">
        <f aca="false">IF(A172="","",Students!E172)</f>
        <v/>
      </c>
      <c r="D172" s="7" t="str">
        <f aca="false">IF(A172="","",C172+7)</f>
        <v/>
      </c>
      <c r="E172" s="7" t="str">
        <f aca="false">IF(A172="","",C172+21)</f>
        <v/>
      </c>
      <c r="F172" s="7" t="str">
        <f aca="false">IF(A172="","",C172+35)</f>
        <v/>
      </c>
      <c r="G172" s="7" t="str">
        <f aca="false">IF(A172="","",C172+49)</f>
        <v/>
      </c>
      <c r="H172" s="7" t="str">
        <f aca="false">IF(A172="","",C172+63)</f>
        <v/>
      </c>
      <c r="I172" s="7" t="str">
        <f aca="false">IF(A172="","",C172+70)</f>
        <v/>
      </c>
      <c r="J172" s="7" t="str">
        <f aca="false">IF(A172="","",Students!F172)</f>
        <v/>
      </c>
    </row>
    <row r="173" customFormat="false" ht="15" hidden="false" customHeight="true" outlineLevel="0" collapsed="false">
      <c r="A173" s="11" t="str">
        <f aca="false">IF(Students!A173="","",Students!A173)</f>
        <v/>
      </c>
      <c r="B173" s="11" t="str">
        <f aca="false">IF(A173="","",Students!B173)</f>
        <v/>
      </c>
      <c r="C173" s="7" t="str">
        <f aca="false">IF(A173="","",Students!E173)</f>
        <v/>
      </c>
      <c r="D173" s="7" t="str">
        <f aca="false">IF(A173="","",C173+7)</f>
        <v/>
      </c>
      <c r="E173" s="7" t="str">
        <f aca="false">IF(A173="","",C173+21)</f>
        <v/>
      </c>
      <c r="F173" s="7" t="str">
        <f aca="false">IF(A173="","",C173+35)</f>
        <v/>
      </c>
      <c r="G173" s="7" t="str">
        <f aca="false">IF(A173="","",C173+49)</f>
        <v/>
      </c>
      <c r="H173" s="7" t="str">
        <f aca="false">IF(A173="","",C173+63)</f>
        <v/>
      </c>
      <c r="I173" s="7" t="str">
        <f aca="false">IF(A173="","",C173+70)</f>
        <v/>
      </c>
      <c r="J173" s="7" t="str">
        <f aca="false">IF(A173="","",Students!F173)</f>
        <v/>
      </c>
    </row>
    <row r="174" customFormat="false" ht="15" hidden="false" customHeight="true" outlineLevel="0" collapsed="false">
      <c r="A174" s="11" t="str">
        <f aca="false">IF(Students!A174="","",Students!A174)</f>
        <v/>
      </c>
      <c r="B174" s="11" t="str">
        <f aca="false">IF(A174="","",Students!B174)</f>
        <v/>
      </c>
      <c r="C174" s="7" t="str">
        <f aca="false">IF(A174="","",Students!E174)</f>
        <v/>
      </c>
      <c r="D174" s="7" t="str">
        <f aca="false">IF(A174="","",C174+7)</f>
        <v/>
      </c>
      <c r="E174" s="7" t="str">
        <f aca="false">IF(A174="","",C174+21)</f>
        <v/>
      </c>
      <c r="F174" s="7" t="str">
        <f aca="false">IF(A174="","",C174+35)</f>
        <v/>
      </c>
      <c r="G174" s="7" t="str">
        <f aca="false">IF(A174="","",C174+49)</f>
        <v/>
      </c>
      <c r="H174" s="7" t="str">
        <f aca="false">IF(A174="","",C174+63)</f>
        <v/>
      </c>
      <c r="I174" s="7" t="str">
        <f aca="false">IF(A174="","",C174+70)</f>
        <v/>
      </c>
      <c r="J174" s="7" t="str">
        <f aca="false">IF(A174="","",Students!F174)</f>
        <v/>
      </c>
    </row>
    <row r="175" customFormat="false" ht="15" hidden="false" customHeight="true" outlineLevel="0" collapsed="false">
      <c r="A175" s="11" t="str">
        <f aca="false">IF(Students!A175="","",Students!A175)</f>
        <v/>
      </c>
      <c r="B175" s="11" t="str">
        <f aca="false">IF(A175="","",Students!B175)</f>
        <v/>
      </c>
      <c r="C175" s="7" t="str">
        <f aca="false">IF(A175="","",Students!E175)</f>
        <v/>
      </c>
      <c r="D175" s="7" t="str">
        <f aca="false">IF(A175="","",C175+7)</f>
        <v/>
      </c>
      <c r="E175" s="7" t="str">
        <f aca="false">IF(A175="","",C175+21)</f>
        <v/>
      </c>
      <c r="F175" s="7" t="str">
        <f aca="false">IF(A175="","",C175+35)</f>
        <v/>
      </c>
      <c r="G175" s="7" t="str">
        <f aca="false">IF(A175="","",C175+49)</f>
        <v/>
      </c>
      <c r="H175" s="7" t="str">
        <f aca="false">IF(A175="","",C175+63)</f>
        <v/>
      </c>
      <c r="I175" s="7" t="str">
        <f aca="false">IF(A175="","",C175+70)</f>
        <v/>
      </c>
      <c r="J175" s="7" t="str">
        <f aca="false">IF(A175="","",Students!F175)</f>
        <v/>
      </c>
    </row>
    <row r="176" customFormat="false" ht="15" hidden="false" customHeight="true" outlineLevel="0" collapsed="false">
      <c r="A176" s="11" t="str">
        <f aca="false">IF(Students!A176="","",Students!A176)</f>
        <v/>
      </c>
      <c r="B176" s="11" t="str">
        <f aca="false">IF(A176="","",Students!B176)</f>
        <v/>
      </c>
      <c r="C176" s="7" t="str">
        <f aca="false">IF(A176="","",Students!E176)</f>
        <v/>
      </c>
      <c r="D176" s="7" t="str">
        <f aca="false">IF(A176="","",C176+7)</f>
        <v/>
      </c>
      <c r="E176" s="7" t="str">
        <f aca="false">IF(A176="","",C176+21)</f>
        <v/>
      </c>
      <c r="F176" s="7" t="str">
        <f aca="false">IF(A176="","",C176+35)</f>
        <v/>
      </c>
      <c r="G176" s="7" t="str">
        <f aca="false">IF(A176="","",C176+49)</f>
        <v/>
      </c>
      <c r="H176" s="7" t="str">
        <f aca="false">IF(A176="","",C176+63)</f>
        <v/>
      </c>
      <c r="I176" s="7" t="str">
        <f aca="false">IF(A176="","",C176+70)</f>
        <v/>
      </c>
      <c r="J176" s="7" t="str">
        <f aca="false">IF(A176="","",Students!F176)</f>
        <v/>
      </c>
    </row>
    <row r="177" customFormat="false" ht="15" hidden="false" customHeight="true" outlineLevel="0" collapsed="false">
      <c r="A177" s="11" t="str">
        <f aca="false">IF(Students!A177="","",Students!A177)</f>
        <v/>
      </c>
      <c r="B177" s="11" t="str">
        <f aca="false">IF(A177="","",Students!B177)</f>
        <v/>
      </c>
      <c r="C177" s="7" t="str">
        <f aca="false">IF(A177="","",Students!E177)</f>
        <v/>
      </c>
      <c r="D177" s="7" t="str">
        <f aca="false">IF(A177="","",C177+7)</f>
        <v/>
      </c>
      <c r="E177" s="7" t="str">
        <f aca="false">IF(A177="","",C177+21)</f>
        <v/>
      </c>
      <c r="F177" s="7" t="str">
        <f aca="false">IF(A177="","",C177+35)</f>
        <v/>
      </c>
      <c r="G177" s="7" t="str">
        <f aca="false">IF(A177="","",C177+49)</f>
        <v/>
      </c>
      <c r="H177" s="7" t="str">
        <f aca="false">IF(A177="","",C177+63)</f>
        <v/>
      </c>
      <c r="I177" s="7" t="str">
        <f aca="false">IF(A177="","",C177+70)</f>
        <v/>
      </c>
      <c r="J177" s="7" t="str">
        <f aca="false">IF(A177="","",Students!F177)</f>
        <v/>
      </c>
    </row>
    <row r="178" customFormat="false" ht="15" hidden="false" customHeight="true" outlineLevel="0" collapsed="false">
      <c r="A178" s="11" t="str">
        <f aca="false">IF(Students!A178="","",Students!A178)</f>
        <v/>
      </c>
      <c r="B178" s="11" t="str">
        <f aca="false">IF(A178="","",Students!B178)</f>
        <v/>
      </c>
      <c r="C178" s="7" t="str">
        <f aca="false">IF(A178="","",Students!E178)</f>
        <v/>
      </c>
      <c r="D178" s="7" t="str">
        <f aca="false">IF(A178="","",C178+7)</f>
        <v/>
      </c>
      <c r="E178" s="7" t="str">
        <f aca="false">IF(A178="","",C178+21)</f>
        <v/>
      </c>
      <c r="F178" s="7" t="str">
        <f aca="false">IF(A178="","",C178+35)</f>
        <v/>
      </c>
      <c r="G178" s="7" t="str">
        <f aca="false">IF(A178="","",C178+49)</f>
        <v/>
      </c>
      <c r="H178" s="7" t="str">
        <f aca="false">IF(A178="","",C178+63)</f>
        <v/>
      </c>
      <c r="I178" s="7" t="str">
        <f aca="false">IF(A178="","",C178+70)</f>
        <v/>
      </c>
      <c r="J178" s="7" t="str">
        <f aca="false">IF(A178="","",Students!F178)</f>
        <v/>
      </c>
    </row>
    <row r="179" customFormat="false" ht="15" hidden="false" customHeight="true" outlineLevel="0" collapsed="false">
      <c r="A179" s="11" t="str">
        <f aca="false">IF(Students!A179="","",Students!A179)</f>
        <v/>
      </c>
      <c r="B179" s="11" t="str">
        <f aca="false">IF(A179="","",Students!B179)</f>
        <v/>
      </c>
      <c r="C179" s="7" t="str">
        <f aca="false">IF(A179="","",Students!E179)</f>
        <v/>
      </c>
      <c r="D179" s="7" t="str">
        <f aca="false">IF(A179="","",C179+7)</f>
        <v/>
      </c>
      <c r="E179" s="7" t="str">
        <f aca="false">IF(A179="","",C179+21)</f>
        <v/>
      </c>
      <c r="F179" s="7" t="str">
        <f aca="false">IF(A179="","",C179+35)</f>
        <v/>
      </c>
      <c r="G179" s="7" t="str">
        <f aca="false">IF(A179="","",C179+49)</f>
        <v/>
      </c>
      <c r="H179" s="7" t="str">
        <f aca="false">IF(A179="","",C179+63)</f>
        <v/>
      </c>
      <c r="I179" s="7" t="str">
        <f aca="false">IF(A179="","",C179+70)</f>
        <v/>
      </c>
      <c r="J179" s="7" t="str">
        <f aca="false">IF(A179="","",Students!F179)</f>
        <v/>
      </c>
    </row>
    <row r="180" customFormat="false" ht="15" hidden="false" customHeight="true" outlineLevel="0" collapsed="false">
      <c r="A180" s="11" t="str">
        <f aca="false">IF(Students!A180="","",Students!A180)</f>
        <v/>
      </c>
      <c r="B180" s="11" t="str">
        <f aca="false">IF(A180="","",Students!B180)</f>
        <v/>
      </c>
      <c r="C180" s="7" t="str">
        <f aca="false">IF(A180="","",Students!E180)</f>
        <v/>
      </c>
      <c r="D180" s="7" t="str">
        <f aca="false">IF(A180="","",C180+7)</f>
        <v/>
      </c>
      <c r="E180" s="7" t="str">
        <f aca="false">IF(A180="","",C180+21)</f>
        <v/>
      </c>
      <c r="F180" s="7" t="str">
        <f aca="false">IF(A180="","",C180+35)</f>
        <v/>
      </c>
      <c r="G180" s="7" t="str">
        <f aca="false">IF(A180="","",C180+49)</f>
        <v/>
      </c>
      <c r="H180" s="7" t="str">
        <f aca="false">IF(A180="","",C180+63)</f>
        <v/>
      </c>
      <c r="I180" s="7" t="str">
        <f aca="false">IF(A180="","",C180+70)</f>
        <v/>
      </c>
      <c r="J180" s="7" t="str">
        <f aca="false">IF(A180="","",Students!F180)</f>
        <v/>
      </c>
    </row>
    <row r="181" customFormat="false" ht="15" hidden="false" customHeight="true" outlineLevel="0" collapsed="false">
      <c r="A181" s="11" t="str">
        <f aca="false">IF(Students!A181="","",Students!A181)</f>
        <v/>
      </c>
      <c r="B181" s="11" t="str">
        <f aca="false">IF(A181="","",Students!B181)</f>
        <v/>
      </c>
      <c r="C181" s="7" t="str">
        <f aca="false">IF(A181="","",Students!E181)</f>
        <v/>
      </c>
      <c r="D181" s="7" t="str">
        <f aca="false">IF(A181="","",C181+7)</f>
        <v/>
      </c>
      <c r="E181" s="7" t="str">
        <f aca="false">IF(A181="","",C181+21)</f>
        <v/>
      </c>
      <c r="F181" s="7" t="str">
        <f aca="false">IF(A181="","",C181+35)</f>
        <v/>
      </c>
      <c r="G181" s="7" t="str">
        <f aca="false">IF(A181="","",C181+49)</f>
        <v/>
      </c>
      <c r="H181" s="7" t="str">
        <f aca="false">IF(A181="","",C181+63)</f>
        <v/>
      </c>
      <c r="I181" s="7" t="str">
        <f aca="false">IF(A181="","",C181+70)</f>
        <v/>
      </c>
      <c r="J181" s="7" t="str">
        <f aca="false">IF(A181="","",Students!F181)</f>
        <v/>
      </c>
    </row>
    <row r="182" customFormat="false" ht="15" hidden="false" customHeight="true" outlineLevel="0" collapsed="false">
      <c r="A182" s="11" t="str">
        <f aca="false">IF(Students!A182="","",Students!A182)</f>
        <v/>
      </c>
      <c r="B182" s="11" t="str">
        <f aca="false">IF(A182="","",Students!B182)</f>
        <v/>
      </c>
      <c r="C182" s="7" t="str">
        <f aca="false">IF(A182="","",Students!E182)</f>
        <v/>
      </c>
      <c r="D182" s="7" t="str">
        <f aca="false">IF(A182="","",C182+7)</f>
        <v/>
      </c>
      <c r="E182" s="7" t="str">
        <f aca="false">IF(A182="","",C182+21)</f>
        <v/>
      </c>
      <c r="F182" s="7" t="str">
        <f aca="false">IF(A182="","",C182+35)</f>
        <v/>
      </c>
      <c r="G182" s="7" t="str">
        <f aca="false">IF(A182="","",C182+49)</f>
        <v/>
      </c>
      <c r="H182" s="7" t="str">
        <f aca="false">IF(A182="","",C182+63)</f>
        <v/>
      </c>
      <c r="I182" s="7" t="str">
        <f aca="false">IF(A182="","",C182+70)</f>
        <v/>
      </c>
      <c r="J182" s="7" t="str">
        <f aca="false">IF(A182="","",Students!F182)</f>
        <v/>
      </c>
    </row>
    <row r="183" customFormat="false" ht="15" hidden="false" customHeight="true" outlineLevel="0" collapsed="false">
      <c r="A183" s="11" t="str">
        <f aca="false">IF(Students!A183="","",Students!A183)</f>
        <v/>
      </c>
      <c r="B183" s="11" t="str">
        <f aca="false">IF(A183="","",Students!B183)</f>
        <v/>
      </c>
      <c r="C183" s="7" t="str">
        <f aca="false">IF(A183="","",Students!E183)</f>
        <v/>
      </c>
      <c r="D183" s="7" t="str">
        <f aca="false">IF(A183="","",C183+7)</f>
        <v/>
      </c>
      <c r="E183" s="7" t="str">
        <f aca="false">IF(A183="","",C183+21)</f>
        <v/>
      </c>
      <c r="F183" s="7" t="str">
        <f aca="false">IF(A183="","",C183+35)</f>
        <v/>
      </c>
      <c r="G183" s="7" t="str">
        <f aca="false">IF(A183="","",C183+49)</f>
        <v/>
      </c>
      <c r="H183" s="7" t="str">
        <f aca="false">IF(A183="","",C183+63)</f>
        <v/>
      </c>
      <c r="I183" s="7" t="str">
        <f aca="false">IF(A183="","",C183+70)</f>
        <v/>
      </c>
      <c r="J183" s="7" t="str">
        <f aca="false">IF(A183="","",Students!F183)</f>
        <v/>
      </c>
    </row>
    <row r="184" customFormat="false" ht="15" hidden="false" customHeight="true" outlineLevel="0" collapsed="false">
      <c r="A184" s="11" t="str">
        <f aca="false">IF(Students!A184="","",Students!A184)</f>
        <v/>
      </c>
      <c r="B184" s="11" t="str">
        <f aca="false">IF(A184="","",Students!B184)</f>
        <v/>
      </c>
      <c r="C184" s="7" t="str">
        <f aca="false">IF(A184="","",Students!E184)</f>
        <v/>
      </c>
      <c r="D184" s="7" t="str">
        <f aca="false">IF(A184="","",C184+7)</f>
        <v/>
      </c>
      <c r="E184" s="7" t="str">
        <f aca="false">IF(A184="","",C184+21)</f>
        <v/>
      </c>
      <c r="F184" s="7" t="str">
        <f aca="false">IF(A184="","",C184+35)</f>
        <v/>
      </c>
      <c r="G184" s="7" t="str">
        <f aca="false">IF(A184="","",C184+49)</f>
        <v/>
      </c>
      <c r="H184" s="7" t="str">
        <f aca="false">IF(A184="","",C184+63)</f>
        <v/>
      </c>
      <c r="I184" s="7" t="str">
        <f aca="false">IF(A184="","",C184+70)</f>
        <v/>
      </c>
      <c r="J184" s="7" t="str">
        <f aca="false">IF(A184="","",Students!F184)</f>
        <v/>
      </c>
    </row>
    <row r="185" customFormat="false" ht="15" hidden="false" customHeight="true" outlineLevel="0" collapsed="false">
      <c r="A185" s="11" t="str">
        <f aca="false">IF(Students!A185="","",Students!A185)</f>
        <v/>
      </c>
      <c r="B185" s="11" t="str">
        <f aca="false">IF(A185="","",Students!B185)</f>
        <v/>
      </c>
      <c r="C185" s="7" t="str">
        <f aca="false">IF(A185="","",Students!E185)</f>
        <v/>
      </c>
      <c r="D185" s="7" t="str">
        <f aca="false">IF(A185="","",C185+7)</f>
        <v/>
      </c>
      <c r="E185" s="7" t="str">
        <f aca="false">IF(A185="","",C185+21)</f>
        <v/>
      </c>
      <c r="F185" s="7" t="str">
        <f aca="false">IF(A185="","",C185+35)</f>
        <v/>
      </c>
      <c r="G185" s="7" t="str">
        <f aca="false">IF(A185="","",C185+49)</f>
        <v/>
      </c>
      <c r="H185" s="7" t="str">
        <f aca="false">IF(A185="","",C185+63)</f>
        <v/>
      </c>
      <c r="I185" s="7" t="str">
        <f aca="false">IF(A185="","",C185+70)</f>
        <v/>
      </c>
      <c r="J185" s="7" t="str">
        <f aca="false">IF(A185="","",Students!F185)</f>
        <v/>
      </c>
    </row>
    <row r="186" customFormat="false" ht="15" hidden="false" customHeight="true" outlineLevel="0" collapsed="false">
      <c r="A186" s="11" t="str">
        <f aca="false">IF(Students!A186="","",Students!A186)</f>
        <v/>
      </c>
      <c r="B186" s="11" t="str">
        <f aca="false">IF(A186="","",Students!B186)</f>
        <v/>
      </c>
      <c r="C186" s="7" t="str">
        <f aca="false">IF(A186="","",Students!E186)</f>
        <v/>
      </c>
      <c r="D186" s="7" t="str">
        <f aca="false">IF(A186="","",C186+7)</f>
        <v/>
      </c>
      <c r="E186" s="7" t="str">
        <f aca="false">IF(A186="","",C186+21)</f>
        <v/>
      </c>
      <c r="F186" s="7" t="str">
        <f aca="false">IF(A186="","",C186+35)</f>
        <v/>
      </c>
      <c r="G186" s="7" t="str">
        <f aca="false">IF(A186="","",C186+49)</f>
        <v/>
      </c>
      <c r="H186" s="7" t="str">
        <f aca="false">IF(A186="","",C186+63)</f>
        <v/>
      </c>
      <c r="I186" s="7" t="str">
        <f aca="false">IF(A186="","",C186+70)</f>
        <v/>
      </c>
      <c r="J186" s="7" t="str">
        <f aca="false">IF(A186="","",Students!F186)</f>
        <v/>
      </c>
    </row>
    <row r="187" customFormat="false" ht="15" hidden="false" customHeight="true" outlineLevel="0" collapsed="false">
      <c r="A187" s="11" t="str">
        <f aca="false">IF(Students!A187="","",Students!A187)</f>
        <v/>
      </c>
      <c r="B187" s="11" t="str">
        <f aca="false">IF(A187="","",Students!B187)</f>
        <v/>
      </c>
      <c r="C187" s="7" t="str">
        <f aca="false">IF(A187="","",Students!E187)</f>
        <v/>
      </c>
      <c r="D187" s="7" t="str">
        <f aca="false">IF(A187="","",C187+7)</f>
        <v/>
      </c>
      <c r="E187" s="7" t="str">
        <f aca="false">IF(A187="","",C187+21)</f>
        <v/>
      </c>
      <c r="F187" s="7" t="str">
        <f aca="false">IF(A187="","",C187+35)</f>
        <v/>
      </c>
      <c r="G187" s="7" t="str">
        <f aca="false">IF(A187="","",C187+49)</f>
        <v/>
      </c>
      <c r="H187" s="7" t="str">
        <f aca="false">IF(A187="","",C187+63)</f>
        <v/>
      </c>
      <c r="I187" s="7" t="str">
        <f aca="false">IF(A187="","",C187+70)</f>
        <v/>
      </c>
      <c r="J187" s="7" t="str">
        <f aca="false">IF(A187="","",Students!F187)</f>
        <v/>
      </c>
    </row>
    <row r="188" customFormat="false" ht="15" hidden="false" customHeight="true" outlineLevel="0" collapsed="false">
      <c r="A188" s="11" t="str">
        <f aca="false">IF(Students!A188="","",Students!A188)</f>
        <v/>
      </c>
      <c r="B188" s="11" t="str">
        <f aca="false">IF(A188="","",Students!B188)</f>
        <v/>
      </c>
      <c r="C188" s="7" t="str">
        <f aca="false">IF(A188="","",Students!E188)</f>
        <v/>
      </c>
      <c r="D188" s="7" t="str">
        <f aca="false">IF(A188="","",C188+7)</f>
        <v/>
      </c>
      <c r="E188" s="7" t="str">
        <f aca="false">IF(A188="","",C188+21)</f>
        <v/>
      </c>
      <c r="F188" s="7" t="str">
        <f aca="false">IF(A188="","",C188+35)</f>
        <v/>
      </c>
      <c r="G188" s="7" t="str">
        <f aca="false">IF(A188="","",C188+49)</f>
        <v/>
      </c>
      <c r="H188" s="7" t="str">
        <f aca="false">IF(A188="","",C188+63)</f>
        <v/>
      </c>
      <c r="I188" s="7" t="str">
        <f aca="false">IF(A188="","",C188+70)</f>
        <v/>
      </c>
      <c r="J188" s="7" t="str">
        <f aca="false">IF(A188="","",Students!F188)</f>
        <v/>
      </c>
    </row>
    <row r="189" customFormat="false" ht="15" hidden="false" customHeight="true" outlineLevel="0" collapsed="false">
      <c r="A189" s="11" t="str">
        <f aca="false">IF(Students!A189="","",Students!A189)</f>
        <v/>
      </c>
      <c r="B189" s="11" t="str">
        <f aca="false">IF(A189="","",Students!B189)</f>
        <v/>
      </c>
      <c r="C189" s="7" t="str">
        <f aca="false">IF(A189="","",Students!E189)</f>
        <v/>
      </c>
      <c r="D189" s="7" t="str">
        <f aca="false">IF(A189="","",C189+7)</f>
        <v/>
      </c>
      <c r="E189" s="7" t="str">
        <f aca="false">IF(A189="","",C189+21)</f>
        <v/>
      </c>
      <c r="F189" s="7" t="str">
        <f aca="false">IF(A189="","",C189+35)</f>
        <v/>
      </c>
      <c r="G189" s="7" t="str">
        <f aca="false">IF(A189="","",C189+49)</f>
        <v/>
      </c>
      <c r="H189" s="7" t="str">
        <f aca="false">IF(A189="","",C189+63)</f>
        <v/>
      </c>
      <c r="I189" s="7" t="str">
        <f aca="false">IF(A189="","",C189+70)</f>
        <v/>
      </c>
      <c r="J189" s="7" t="str">
        <f aca="false">IF(A189="","",Students!F189)</f>
        <v/>
      </c>
    </row>
    <row r="190" customFormat="false" ht="15" hidden="false" customHeight="true" outlineLevel="0" collapsed="false">
      <c r="A190" s="11" t="str">
        <f aca="false">IF(Students!A190="","",Students!A190)</f>
        <v/>
      </c>
      <c r="B190" s="11" t="str">
        <f aca="false">IF(A190="","",Students!B190)</f>
        <v/>
      </c>
      <c r="C190" s="7" t="str">
        <f aca="false">IF(A190="","",Students!E190)</f>
        <v/>
      </c>
      <c r="D190" s="7" t="str">
        <f aca="false">IF(A190="","",C190+7)</f>
        <v/>
      </c>
      <c r="E190" s="7" t="str">
        <f aca="false">IF(A190="","",C190+21)</f>
        <v/>
      </c>
      <c r="F190" s="7" t="str">
        <f aca="false">IF(A190="","",C190+35)</f>
        <v/>
      </c>
      <c r="G190" s="7" t="str">
        <f aca="false">IF(A190="","",C190+49)</f>
        <v/>
      </c>
      <c r="H190" s="7" t="str">
        <f aca="false">IF(A190="","",C190+63)</f>
        <v/>
      </c>
      <c r="I190" s="7" t="str">
        <f aca="false">IF(A190="","",C190+70)</f>
        <v/>
      </c>
      <c r="J190" s="7" t="str">
        <f aca="false">IF(A190="","",Students!F190)</f>
        <v/>
      </c>
    </row>
    <row r="191" customFormat="false" ht="15" hidden="false" customHeight="true" outlineLevel="0" collapsed="false">
      <c r="A191" s="11" t="str">
        <f aca="false">IF(Students!A191="","",Students!A191)</f>
        <v/>
      </c>
      <c r="B191" s="11" t="str">
        <f aca="false">IF(A191="","",Students!B191)</f>
        <v/>
      </c>
      <c r="C191" s="7" t="str">
        <f aca="false">IF(A191="","",Students!E191)</f>
        <v/>
      </c>
      <c r="D191" s="7" t="str">
        <f aca="false">IF(A191="","",C191+7)</f>
        <v/>
      </c>
      <c r="E191" s="7" t="str">
        <f aca="false">IF(A191="","",C191+21)</f>
        <v/>
      </c>
      <c r="F191" s="7" t="str">
        <f aca="false">IF(A191="","",C191+35)</f>
        <v/>
      </c>
      <c r="G191" s="7" t="str">
        <f aca="false">IF(A191="","",C191+49)</f>
        <v/>
      </c>
      <c r="H191" s="7" t="str">
        <f aca="false">IF(A191="","",C191+63)</f>
        <v/>
      </c>
      <c r="I191" s="7" t="str">
        <f aca="false">IF(A191="","",C191+70)</f>
        <v/>
      </c>
      <c r="J191" s="7" t="str">
        <f aca="false">IF(A191="","",Students!F191)</f>
        <v/>
      </c>
    </row>
    <row r="192" customFormat="false" ht="15" hidden="false" customHeight="true" outlineLevel="0" collapsed="false">
      <c r="A192" s="11" t="str">
        <f aca="false">IF(Students!A192="","",Students!A192)</f>
        <v/>
      </c>
      <c r="B192" s="11" t="str">
        <f aca="false">IF(A192="","",Students!B192)</f>
        <v/>
      </c>
      <c r="C192" s="7" t="str">
        <f aca="false">IF(A192="","",Students!E192)</f>
        <v/>
      </c>
      <c r="D192" s="7" t="str">
        <f aca="false">IF(A192="","",C192+7)</f>
        <v/>
      </c>
      <c r="E192" s="7" t="str">
        <f aca="false">IF(A192="","",C192+21)</f>
        <v/>
      </c>
      <c r="F192" s="7" t="str">
        <f aca="false">IF(A192="","",C192+35)</f>
        <v/>
      </c>
      <c r="G192" s="7" t="str">
        <f aca="false">IF(A192="","",C192+49)</f>
        <v/>
      </c>
      <c r="H192" s="7" t="str">
        <f aca="false">IF(A192="","",C192+63)</f>
        <v/>
      </c>
      <c r="I192" s="7" t="str">
        <f aca="false">IF(A192="","",C192+70)</f>
        <v/>
      </c>
      <c r="J192" s="7" t="str">
        <f aca="false">IF(A192="","",Students!F192)</f>
        <v/>
      </c>
    </row>
    <row r="193" customFormat="false" ht="15" hidden="false" customHeight="true" outlineLevel="0" collapsed="false">
      <c r="A193" s="11" t="str">
        <f aca="false">IF(Students!A193="","",Students!A193)</f>
        <v/>
      </c>
      <c r="B193" s="11" t="str">
        <f aca="false">IF(A193="","",Students!B193)</f>
        <v/>
      </c>
      <c r="C193" s="7" t="str">
        <f aca="false">IF(A193="","",Students!E193)</f>
        <v/>
      </c>
      <c r="D193" s="7" t="str">
        <f aca="false">IF(A193="","",C193+7)</f>
        <v/>
      </c>
      <c r="E193" s="7" t="str">
        <f aca="false">IF(A193="","",C193+21)</f>
        <v/>
      </c>
      <c r="F193" s="7" t="str">
        <f aca="false">IF(A193="","",C193+35)</f>
        <v/>
      </c>
      <c r="G193" s="7" t="str">
        <f aca="false">IF(A193="","",C193+49)</f>
        <v/>
      </c>
      <c r="H193" s="7" t="str">
        <f aca="false">IF(A193="","",C193+63)</f>
        <v/>
      </c>
      <c r="I193" s="7" t="str">
        <f aca="false">IF(A193="","",C193+70)</f>
        <v/>
      </c>
      <c r="J193" s="7" t="str">
        <f aca="false">IF(A193="","",Students!F193)</f>
        <v/>
      </c>
    </row>
    <row r="194" customFormat="false" ht="15" hidden="false" customHeight="true" outlineLevel="0" collapsed="false">
      <c r="A194" s="11" t="str">
        <f aca="false">IF(Students!A194="","",Students!A194)</f>
        <v/>
      </c>
      <c r="B194" s="11" t="str">
        <f aca="false">IF(A194="","",Students!B194)</f>
        <v/>
      </c>
      <c r="C194" s="7" t="str">
        <f aca="false">IF(A194="","",Students!E194)</f>
        <v/>
      </c>
      <c r="D194" s="7" t="str">
        <f aca="false">IF(A194="","",C194+7)</f>
        <v/>
      </c>
      <c r="E194" s="7" t="str">
        <f aca="false">IF(A194="","",C194+21)</f>
        <v/>
      </c>
      <c r="F194" s="7" t="str">
        <f aca="false">IF(A194="","",C194+35)</f>
        <v/>
      </c>
      <c r="G194" s="7" t="str">
        <f aca="false">IF(A194="","",C194+49)</f>
        <v/>
      </c>
      <c r="H194" s="7" t="str">
        <f aca="false">IF(A194="","",C194+63)</f>
        <v/>
      </c>
      <c r="I194" s="7" t="str">
        <f aca="false">IF(A194="","",C194+70)</f>
        <v/>
      </c>
      <c r="J194" s="7" t="str">
        <f aca="false">IF(A194="","",Students!F194)</f>
        <v/>
      </c>
    </row>
    <row r="195" customFormat="false" ht="15" hidden="false" customHeight="true" outlineLevel="0" collapsed="false">
      <c r="A195" s="11" t="str">
        <f aca="false">IF(Students!A195="","",Students!A195)</f>
        <v/>
      </c>
      <c r="B195" s="11" t="str">
        <f aca="false">IF(A195="","",Students!B195)</f>
        <v/>
      </c>
      <c r="C195" s="7" t="str">
        <f aca="false">IF(A195="","",Students!E195)</f>
        <v/>
      </c>
      <c r="D195" s="7" t="str">
        <f aca="false">IF(A195="","",C195+7)</f>
        <v/>
      </c>
      <c r="E195" s="7" t="str">
        <f aca="false">IF(A195="","",C195+21)</f>
        <v/>
      </c>
      <c r="F195" s="7" t="str">
        <f aca="false">IF(A195="","",C195+35)</f>
        <v/>
      </c>
      <c r="G195" s="7" t="str">
        <f aca="false">IF(A195="","",C195+49)</f>
        <v/>
      </c>
      <c r="H195" s="7" t="str">
        <f aca="false">IF(A195="","",C195+63)</f>
        <v/>
      </c>
      <c r="I195" s="7" t="str">
        <f aca="false">IF(A195="","",C195+70)</f>
        <v/>
      </c>
      <c r="J195" s="7" t="str">
        <f aca="false">IF(A195="","",Students!F195)</f>
        <v/>
      </c>
    </row>
    <row r="196" customFormat="false" ht="15" hidden="false" customHeight="true" outlineLevel="0" collapsed="false">
      <c r="A196" s="11" t="str">
        <f aca="false">IF(Students!A196="","",Students!A196)</f>
        <v/>
      </c>
      <c r="B196" s="11" t="str">
        <f aca="false">IF(A196="","",Students!B196)</f>
        <v/>
      </c>
      <c r="C196" s="7" t="str">
        <f aca="false">IF(A196="","",Students!E196)</f>
        <v/>
      </c>
      <c r="D196" s="7" t="str">
        <f aca="false">IF(A196="","",C196+7)</f>
        <v/>
      </c>
      <c r="E196" s="7" t="str">
        <f aca="false">IF(A196="","",C196+21)</f>
        <v/>
      </c>
      <c r="F196" s="7" t="str">
        <f aca="false">IF(A196="","",C196+35)</f>
        <v/>
      </c>
      <c r="G196" s="7" t="str">
        <f aca="false">IF(A196="","",C196+49)</f>
        <v/>
      </c>
      <c r="H196" s="7" t="str">
        <f aca="false">IF(A196="","",C196+63)</f>
        <v/>
      </c>
      <c r="I196" s="7" t="str">
        <f aca="false">IF(A196="","",C196+70)</f>
        <v/>
      </c>
      <c r="J196" s="7" t="str">
        <f aca="false">IF(A196="","",Students!F196)</f>
        <v/>
      </c>
    </row>
    <row r="197" customFormat="false" ht="15" hidden="false" customHeight="true" outlineLevel="0" collapsed="false">
      <c r="A197" s="11" t="str">
        <f aca="false">IF(Students!A197="","",Students!A197)</f>
        <v/>
      </c>
      <c r="B197" s="11" t="str">
        <f aca="false">IF(A197="","",Students!B197)</f>
        <v/>
      </c>
      <c r="C197" s="7" t="str">
        <f aca="false">IF(A197="","",Students!E197)</f>
        <v/>
      </c>
      <c r="D197" s="7" t="str">
        <f aca="false">IF(A197="","",C197+7)</f>
        <v/>
      </c>
      <c r="E197" s="7" t="str">
        <f aca="false">IF(A197="","",C197+21)</f>
        <v/>
      </c>
      <c r="F197" s="7" t="str">
        <f aca="false">IF(A197="","",C197+35)</f>
        <v/>
      </c>
      <c r="G197" s="7" t="str">
        <f aca="false">IF(A197="","",C197+49)</f>
        <v/>
      </c>
      <c r="H197" s="7" t="str">
        <f aca="false">IF(A197="","",C197+63)</f>
        <v/>
      </c>
      <c r="I197" s="7" t="str">
        <f aca="false">IF(A197="","",C197+70)</f>
        <v/>
      </c>
      <c r="J197" s="7" t="str">
        <f aca="false">IF(A197="","",Students!F197)</f>
        <v/>
      </c>
    </row>
    <row r="198" customFormat="false" ht="15" hidden="false" customHeight="true" outlineLevel="0" collapsed="false">
      <c r="A198" s="11" t="str">
        <f aca="false">IF(Students!A198="","",Students!A198)</f>
        <v/>
      </c>
      <c r="B198" s="11" t="str">
        <f aca="false">IF(A198="","",Students!B198)</f>
        <v/>
      </c>
      <c r="C198" s="7" t="str">
        <f aca="false">IF(A198="","",Students!E198)</f>
        <v/>
      </c>
      <c r="D198" s="7" t="str">
        <f aca="false">IF(A198="","",C198+7)</f>
        <v/>
      </c>
      <c r="E198" s="7" t="str">
        <f aca="false">IF(A198="","",C198+21)</f>
        <v/>
      </c>
      <c r="F198" s="7" t="str">
        <f aca="false">IF(A198="","",C198+35)</f>
        <v/>
      </c>
      <c r="G198" s="7" t="str">
        <f aca="false">IF(A198="","",C198+49)</f>
        <v/>
      </c>
      <c r="H198" s="7" t="str">
        <f aca="false">IF(A198="","",C198+63)</f>
        <v/>
      </c>
      <c r="I198" s="7" t="str">
        <f aca="false">IF(A198="","",C198+70)</f>
        <v/>
      </c>
      <c r="J198" s="7" t="str">
        <f aca="false">IF(A198="","",Students!F198)</f>
        <v/>
      </c>
    </row>
    <row r="199" customFormat="false" ht="15" hidden="false" customHeight="true" outlineLevel="0" collapsed="false">
      <c r="A199" s="11" t="str">
        <f aca="false">IF(Students!A199="","",Students!A199)</f>
        <v/>
      </c>
      <c r="B199" s="11" t="str">
        <f aca="false">IF(A199="","",Students!B199)</f>
        <v/>
      </c>
      <c r="C199" s="7" t="str">
        <f aca="false">IF(A199="","",Students!E199)</f>
        <v/>
      </c>
      <c r="D199" s="7" t="str">
        <f aca="false">IF(A199="","",C199+7)</f>
        <v/>
      </c>
      <c r="E199" s="7" t="str">
        <f aca="false">IF(A199="","",C199+21)</f>
        <v/>
      </c>
      <c r="F199" s="7" t="str">
        <f aca="false">IF(A199="","",C199+35)</f>
        <v/>
      </c>
      <c r="G199" s="7" t="str">
        <f aca="false">IF(A199="","",C199+49)</f>
        <v/>
      </c>
      <c r="H199" s="7" t="str">
        <f aca="false">IF(A199="","",C199+63)</f>
        <v/>
      </c>
      <c r="I199" s="7" t="str">
        <f aca="false">IF(A199="","",C199+70)</f>
        <v/>
      </c>
      <c r="J199" s="7" t="str">
        <f aca="false">IF(A199="","",Students!F199)</f>
        <v/>
      </c>
    </row>
    <row r="200" customFormat="false" ht="15" hidden="false" customHeight="true" outlineLevel="0" collapsed="false">
      <c r="A200" s="11" t="str">
        <f aca="false">IF(Students!A200="","",Students!A200)</f>
        <v/>
      </c>
      <c r="B200" s="11" t="str">
        <f aca="false">IF(A200="","",Students!B200)</f>
        <v/>
      </c>
      <c r="C200" s="7" t="str">
        <f aca="false">IF(A200="","",Students!E200)</f>
        <v/>
      </c>
      <c r="D200" s="7" t="str">
        <f aca="false">IF(A200="","",C200+7)</f>
        <v/>
      </c>
      <c r="E200" s="7" t="str">
        <f aca="false">IF(A200="","",C200+21)</f>
        <v/>
      </c>
      <c r="F200" s="7" t="str">
        <f aca="false">IF(A200="","",C200+35)</f>
        <v/>
      </c>
      <c r="G200" s="7" t="str">
        <f aca="false">IF(A200="","",C200+49)</f>
        <v/>
      </c>
      <c r="H200" s="7" t="str">
        <f aca="false">IF(A200="","",C200+63)</f>
        <v/>
      </c>
      <c r="I200" s="7" t="str">
        <f aca="false">IF(A200="","",C200+70)</f>
        <v/>
      </c>
      <c r="J200" s="7" t="str">
        <f aca="false">IF(A200="","",Students!F200)</f>
        <v/>
      </c>
    </row>
    <row r="201" customFormat="false" ht="15" hidden="false" customHeight="true" outlineLevel="0" collapsed="false">
      <c r="A201" s="11" t="str">
        <f aca="false">IF(Students!A201="","",Students!A201)</f>
        <v/>
      </c>
      <c r="B201" s="11" t="str">
        <f aca="false">IF(A201="","",Students!B201)</f>
        <v/>
      </c>
      <c r="C201" s="7" t="str">
        <f aca="false">IF(A201="","",Students!E201)</f>
        <v/>
      </c>
      <c r="D201" s="7" t="str">
        <f aca="false">IF(A201="","",C201+7)</f>
        <v/>
      </c>
      <c r="E201" s="7" t="str">
        <f aca="false">IF(A201="","",C201+21)</f>
        <v/>
      </c>
      <c r="F201" s="7" t="str">
        <f aca="false">IF(A201="","",C201+35)</f>
        <v/>
      </c>
      <c r="G201" s="7" t="str">
        <f aca="false">IF(A201="","",C201+49)</f>
        <v/>
      </c>
      <c r="H201" s="7" t="str">
        <f aca="false">IF(A201="","",C201+63)</f>
        <v/>
      </c>
      <c r="I201" s="7" t="str">
        <f aca="false">IF(A201="","",C201+70)</f>
        <v/>
      </c>
      <c r="J201" s="7" t="str">
        <f aca="false">IF(A201="","",Students!F201)</f>
        <v/>
      </c>
    </row>
    <row r="202" customFormat="false" ht="15" hidden="false" customHeight="true" outlineLevel="0" collapsed="false">
      <c r="A202" s="11" t="str">
        <f aca="false">IF(Students!A202="","",Students!A202)</f>
        <v/>
      </c>
      <c r="B202" s="11" t="str">
        <f aca="false">IF(A202="","",Students!B202)</f>
        <v/>
      </c>
      <c r="C202" s="7" t="str">
        <f aca="false">IF(A202="","",Students!E202)</f>
        <v/>
      </c>
      <c r="D202" s="7" t="str">
        <f aca="false">IF(A202="","",C202+7)</f>
        <v/>
      </c>
      <c r="E202" s="7" t="str">
        <f aca="false">IF(A202="","",C202+21)</f>
        <v/>
      </c>
      <c r="F202" s="7" t="str">
        <f aca="false">IF(A202="","",C202+35)</f>
        <v/>
      </c>
      <c r="G202" s="7" t="str">
        <f aca="false">IF(A202="","",C202+49)</f>
        <v/>
      </c>
      <c r="H202" s="7" t="str">
        <f aca="false">IF(A202="","",C202+63)</f>
        <v/>
      </c>
      <c r="I202" s="7" t="str">
        <f aca="false">IF(A202="","",C202+70)</f>
        <v/>
      </c>
      <c r="J202" s="7" t="str">
        <f aca="false">IF(A202="","",Students!F202)</f>
        <v/>
      </c>
    </row>
    <row r="203" customFormat="false" ht="15" hidden="false" customHeight="true" outlineLevel="0" collapsed="false">
      <c r="A203" s="11" t="str">
        <f aca="false">IF(Students!A203="","",Students!A203)</f>
        <v/>
      </c>
      <c r="B203" s="11" t="str">
        <f aca="false">IF(A203="","",Students!B203)</f>
        <v/>
      </c>
      <c r="C203" s="7" t="str">
        <f aca="false">IF(A203="","",Students!E203)</f>
        <v/>
      </c>
      <c r="D203" s="7" t="str">
        <f aca="false">IF(A203="","",C203+7)</f>
        <v/>
      </c>
      <c r="E203" s="7" t="str">
        <f aca="false">IF(A203="","",C203+21)</f>
        <v/>
      </c>
      <c r="F203" s="7" t="str">
        <f aca="false">IF(A203="","",C203+35)</f>
        <v/>
      </c>
      <c r="G203" s="7" t="str">
        <f aca="false">IF(A203="","",C203+49)</f>
        <v/>
      </c>
      <c r="H203" s="7" t="str">
        <f aca="false">IF(A203="","",C203+63)</f>
        <v/>
      </c>
      <c r="I203" s="7" t="str">
        <f aca="false">IF(A203="","",C203+70)</f>
        <v/>
      </c>
      <c r="J203" s="7" t="str">
        <f aca="false">IF(A203="","",Students!F203)</f>
        <v/>
      </c>
    </row>
  </sheetData>
  <mergeCells count="1">
    <mergeCell ref="A1:J1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2026-08-28T15:10:46Z</dcterms:created>
  <dc:creator>openpyxl</dc:creator>
  <dc:description/>
  <dc:language>en-US</dc:language>
  <cp:lastModifiedBy/>
  <dcterms:modified xsi:type="dcterms:W3CDTF">2026-08-28T15:11:40Z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